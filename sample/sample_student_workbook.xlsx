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comment3.xml" ContentType="application/vnd.openxmlformats-officedocument.spreadsheetml.comments+xml"/>
  <Override PartName="/xl/worksheets/sheet13.xml" ContentType="application/vnd.openxmlformats-officedocument.spreadsheetml.worksheet+xml"/>
  <Override PartName="/xl/comments/comment4.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 Home" sheetId="1" state="visible" r:id="rId1"/>
    <sheet xmlns:r="http://schemas.openxmlformats.org/officeDocument/2006/relationships" name="7806" sheetId="2" state="visible" r:id="rId2"/>
    <sheet xmlns:r="http://schemas.openxmlformats.org/officeDocument/2006/relationships" name="7812" sheetId="3" state="visible" r:id="rId3"/>
    <sheet xmlns:r="http://schemas.openxmlformats.org/officeDocument/2006/relationships" name="7811" sheetId="4" state="visible" r:id="rId4"/>
    <sheet xmlns:r="http://schemas.openxmlformats.org/officeDocument/2006/relationships" name="7807" sheetId="5" state="visible" r:id="rId5"/>
    <sheet xmlns:r="http://schemas.openxmlformats.org/officeDocument/2006/relationships" name="7810" sheetId="6" state="visible" r:id="rId6"/>
    <sheet xmlns:r="http://schemas.openxmlformats.org/officeDocument/2006/relationships" name="7140" sheetId="7" state="visible" r:id="rId7"/>
    <sheet xmlns:r="http://schemas.openxmlformats.org/officeDocument/2006/relationships" name="7808" sheetId="8" state="visible" r:id="rId8"/>
    <sheet xmlns:r="http://schemas.openxmlformats.org/officeDocument/2006/relationships" name="7805" sheetId="9" state="visible" r:id="rId9"/>
    <sheet xmlns:r="http://schemas.openxmlformats.org/officeDocument/2006/relationships" name="7813" sheetId="10" state="visible" r:id="rId10"/>
    <sheet xmlns:r="http://schemas.openxmlformats.org/officeDocument/2006/relationships" name="7815" sheetId="11" state="visible" r:id="rId11"/>
    <sheet xmlns:r="http://schemas.openxmlformats.org/officeDocument/2006/relationships" name="📊 Dashboard" sheetId="12" state="visible" r:id="rId12"/>
    <sheet xmlns:r="http://schemas.openxmlformats.org/officeDocument/2006/relationships" name="All CHOICE" sheetId="13" state="visible" r:id="rId13"/>
    <sheet xmlns:r="http://schemas.openxmlformats.org/officeDocument/2006/relationships" name="📚 Competencies" sheetId="14" state="visible" r:id="rId14"/>
    <sheet xmlns:r="http://schemas.openxmlformats.org/officeDocument/2006/relationships" name="⭐ Choice Library-All Aligned" sheetId="15" state="visible" r:id="rId15"/>
    <sheet xmlns:r="http://schemas.openxmlformats.org/officeDocument/2006/relationships" name="⭐ Choice Library-By Course if y" sheetId="16" state="visible" r:id="rId16"/>
    <sheet xmlns:r="http://schemas.openxmlformats.org/officeDocument/2006/relationships" name="📓 Journals" sheetId="17" state="visible" r:id="rId17"/>
    <sheet xmlns:r="http://schemas.openxmlformats.org/officeDocument/2006/relationships" name="CHOICE calc" sheetId="18" state="hidden" r:id="rId18"/>
  </sheets>
  <definedNames>
    <definedName name="_xlnm._FilterDatabase" localSheetId="15" hidden="1">'⭐ Choice Library-By Course if y'!$A$3:$D$113</definedName>
  </definedNames>
  <calcPr calcId="124519" fullCalcOnLoad="1"/>
</workbook>
</file>

<file path=xl/styles.xml><?xml version="1.0" encoding="utf-8"?>
<styleSheet xmlns="http://schemas.openxmlformats.org/spreadsheetml/2006/main">
  <numFmts count="2">
    <numFmt numFmtId="164" formatCode="m/d/yyyy"/>
    <numFmt numFmtId="165" formatCode="yyyy-mm-dd"/>
  </numFmts>
  <fonts count="79">
    <font>
      <name val="Calibri"/>
      <color theme="1"/>
      <sz val="11"/>
      <scheme val="minor"/>
    </font>
    <font>
      <name val="Calibri"/>
      <b val="1"/>
      <color rgb="FFFFFFFF"/>
      <sz val="20"/>
    </font>
    <font/>
    <font>
      <name val="Calibri"/>
      <i val="1"/>
      <color rgb="FF1B2A4A"/>
      <sz val="11"/>
    </font>
    <font>
      <name val="Calibri"/>
      <b val="1"/>
      <color rgb="FFFFFFFF"/>
      <sz val="12"/>
    </font>
    <font>
      <name val="Calibri"/>
      <b val="1"/>
      <color rgb="FFFFFFFF"/>
      <sz val="11"/>
    </font>
    <font>
      <name val="Calibri"/>
      <color theme="1"/>
      <sz val="11"/>
    </font>
    <font>
      <name val="Calibri"/>
      <color rgb="FF333333"/>
      <sz val="12"/>
    </font>
    <font>
      <name val="Calibri"/>
      <b val="1"/>
      <color rgb="FFFFFFFF"/>
      <sz val="10"/>
    </font>
    <font>
      <name val="Calibri"/>
      <color rgb="FF222222"/>
      <sz val="10"/>
    </font>
    <font>
      <name val="Calibri"/>
      <b val="1"/>
      <color theme="1"/>
    </font>
    <font>
      <name val="Calibri"/>
      <color theme="1"/>
      <sz val="10"/>
    </font>
    <font>
      <name val="Calibri"/>
      <b val="1"/>
      <color rgb="FFFFFFFF"/>
      <sz val="14"/>
    </font>
    <font>
      <name val="Calibri"/>
      <i val="1"/>
      <color rgb="FF555555"/>
      <sz val="10"/>
    </font>
    <font>
      <name val="Calibri"/>
      <b val="1"/>
      <color rgb="FF1B2A4A"/>
      <sz val="9"/>
    </font>
    <font>
      <name val="Calibri"/>
      <b val="1"/>
      <color rgb="FF1B2A4A"/>
      <sz val="12"/>
    </font>
    <font>
      <name val="Calibri"/>
      <b val="1"/>
      <color rgb="FFFFFFFF"/>
      <sz val="9"/>
    </font>
    <font>
      <name val="Calibri"/>
      <i val="1"/>
      <color rgb="FF555555"/>
      <sz val="9"/>
    </font>
    <font>
      <name val="Calibri"/>
      <b val="1"/>
      <color rgb="FF1565C0"/>
      <sz val="9"/>
    </font>
    <font>
      <name val="Calibri"/>
      <b val="1"/>
      <color rgb="FF6A1B9A"/>
      <sz val="9"/>
    </font>
    <font>
      <name val="Calibri"/>
      <b val="1"/>
      <color rgb="FF00695C"/>
      <sz val="9"/>
    </font>
    <font>
      <name val="Calibri"/>
      <b val="1"/>
      <color rgb="FFE65100"/>
      <sz val="9"/>
    </font>
    <font>
      <name val="Calibri"/>
      <b val="1"/>
      <color rgb="FF2E7D32"/>
      <sz val="9"/>
    </font>
    <font>
      <name val="Calibri"/>
      <b val="1"/>
      <color rgb="FFAD1457"/>
      <sz val="9"/>
    </font>
    <font>
      <name val="Calibri"/>
      <i val="1"/>
      <color rgb="FF555555"/>
      <sz val="8"/>
    </font>
    <font>
      <name val="Calibri"/>
      <b val="1"/>
      <color rgb="FFFFFFFF"/>
      <sz val="8"/>
    </font>
    <font>
      <name val="Calibri"/>
      <b val="1"/>
      <color rgb="FFE57200"/>
      <sz val="9"/>
      <scheme val="minor"/>
    </font>
    <font>
      <name val="Calibri"/>
      <color rgb="FF000000"/>
      <sz val="10"/>
    </font>
    <font>
      <name val="Calibri"/>
      <color theme="1"/>
      <sz val="9"/>
    </font>
    <font>
      <name val="Calibri"/>
      <color rgb="FF111111"/>
      <sz val="9"/>
    </font>
    <font>
      <name val="Calibri"/>
      <b val="1"/>
      <color rgb="FF1B2A4A"/>
      <sz val="10"/>
    </font>
    <font>
      <name val="Calibri"/>
      <b val="1"/>
      <color rgb="FF1565C0"/>
      <sz val="10"/>
    </font>
    <font>
      <name val="Calibri"/>
      <b val="1"/>
      <color rgb="FF6A1B9A"/>
      <sz val="10"/>
    </font>
    <font>
      <name val="Calibri"/>
      <b val="1"/>
      <color rgb="FF00695C"/>
      <sz val="10"/>
    </font>
    <font>
      <name val="Calibri"/>
      <b val="1"/>
      <color rgb="FFE65100"/>
      <sz val="10"/>
    </font>
    <font>
      <name val="Calibri"/>
      <b val="1"/>
      <color rgb="FF2E7D32"/>
      <sz val="10"/>
    </font>
    <font>
      <name val="Calibri"/>
      <b val="1"/>
      <color rgb="FFAD1457"/>
      <sz val="10"/>
    </font>
    <font>
      <name val="Calibri"/>
      <color rgb="FF1B2A4A"/>
      <sz val="9"/>
    </font>
    <font>
      <name val="Calibri"/>
      <color theme="1"/>
    </font>
    <font>
      <name val="Calibri"/>
      <color rgb="FF2E7D32"/>
      <sz val="9"/>
    </font>
    <font>
      <name val="Calibri"/>
      <b val="1"/>
      <color rgb="FFFFFFFF"/>
      <sz val="7"/>
    </font>
    <font>
      <name val="Calibri"/>
      <i val="1"/>
      <color rgb="FFFFFFFF"/>
      <sz val="8"/>
    </font>
    <font>
      <name val="Calibri"/>
      <b val="1"/>
      <color rgb="FF6A1B9A"/>
    </font>
    <font>
      <name val="Calibri"/>
      <color rgb="FF333333"/>
      <sz val="9"/>
    </font>
    <font>
      <name val="Calibri"/>
      <b val="1"/>
      <color rgb="FFFFFFFF"/>
      <sz val="16"/>
    </font>
    <font>
      <name val="Calibri"/>
      <b val="1"/>
      <color rgb="FF1B2A4A"/>
    </font>
    <font>
      <name val="Calibri"/>
      <color rgb="FF555555"/>
      <sz val="9"/>
    </font>
    <font>
      <name val="Calibri"/>
      <b val="1"/>
      <color rgb="FF1565C0"/>
    </font>
    <font>
      <name val="Calibri"/>
      <color theme="1"/>
      <scheme val="minor"/>
    </font>
    <font>
      <name val="Calibri"/>
      <b val="1"/>
      <color rgb="FF00695C"/>
    </font>
    <font>
      <name val="Calibri"/>
      <b val="1"/>
      <color rgb="FFE65100"/>
    </font>
    <font>
      <name val="Calibri"/>
      <b val="1"/>
      <color rgb="FF2E7D32"/>
    </font>
    <font>
      <name val="Calibri"/>
      <b val="1"/>
      <color rgb="FFAD1457"/>
    </font>
    <font>
      <name val="Calibri"/>
      <b val="1"/>
      <color rgb="FFFFFFFF"/>
    </font>
    <font>
      <name val="Calibri"/>
      <b val="1"/>
      <color rgb="FF2E7D32"/>
      <sz val="11"/>
    </font>
    <font>
      <name val="Calibri"/>
      <color rgb="FF276221"/>
      <sz val="9"/>
    </font>
    <font>
      <name val="Calibri"/>
      <b val="1"/>
      <color rgb="FF276221"/>
      <sz val="9"/>
    </font>
    <font>
      <name val="Calibri"/>
      <b val="1"/>
      <color rgb="FF1565C0"/>
      <sz val="11"/>
    </font>
    <font>
      <name val="Calibri"/>
      <b val="1"/>
      <color rgb="FF6A1B9A"/>
      <sz val="11"/>
    </font>
    <font>
      <name val="Calibri"/>
      <b val="1"/>
      <color rgb="FFE65100"/>
      <sz val="11"/>
    </font>
    <font>
      <name val="Calibri"/>
      <b val="1"/>
      <color rgb="FFAD1457"/>
      <sz val="11"/>
    </font>
    <font>
      <name val="Calibri"/>
      <b val="1"/>
      <color rgb="FF555555"/>
    </font>
    <font>
      <name val="Calibri"/>
      <b val="1"/>
      <color rgb="FF276221"/>
      <sz val="11"/>
    </font>
    <font>
      <name val="Calibri"/>
      <b val="1"/>
      <color rgb="FFFFFFFF"/>
      <sz val="13"/>
    </font>
    <font>
      <name val="Calibri"/>
      <b val="1"/>
      <color rgb="FFF5A623"/>
      <sz val="14"/>
    </font>
    <font>
      <name val="Calibri"/>
      <b val="1"/>
      <color theme="1"/>
      <sz val="10"/>
    </font>
    <font>
      <name val="Calibri"/>
      <b val="1"/>
      <color rgb="FFB91C1C"/>
      <sz val="12"/>
    </font>
    <font>
      <name val="Calibri"/>
      <color rgb="FFFFFFFF"/>
      <sz val="16"/>
    </font>
    <font>
      <name val="Calibri"/>
      <i val="1"/>
      <color rgb="FFFFFFFF"/>
      <sz val="16"/>
    </font>
    <font>
      <name val="Calibri"/>
      <color rgb="FFFFFFFF"/>
      <sz val="16"/>
      <scheme val="minor"/>
    </font>
    <font>
      <name val="Calibri"/>
      <b val="1"/>
      <color theme="1"/>
      <sz val="11"/>
    </font>
    <font>
      <name val="Calibri"/>
      <color rgb="FF2D3748"/>
      <sz val="9"/>
    </font>
    <font>
      <name val="Calibri"/>
      <b val="1"/>
      <color rgb="FFF79646"/>
      <sz val="16"/>
    </font>
    <font>
      <name val="Calibri"/>
      <b val="1"/>
      <color rgb="FFF79646"/>
    </font>
    <font>
      <name val="Arial"/>
      <b val="1"/>
      <color rgb="FFFFFFFF"/>
      <sz val="13"/>
    </font>
    <font>
      <name val="Arial"/>
      <b val="1"/>
      <color rgb="FFFFFFFF"/>
      <sz val="9"/>
    </font>
    <font>
      <name val="Arial"/>
      <color theme="1"/>
      <sz val="9"/>
    </font>
    <font>
      <name val="Calibri"/>
      <i val="1"/>
      <color rgb="FFFFFFFF"/>
      <sz val="10"/>
    </font>
    <font>
      <name val="Calibri"/>
      <b val="1"/>
      <color rgb="FF1B2A4A"/>
      <sz val="11"/>
    </font>
  </fonts>
  <fills count="46">
    <fill>
      <patternFill/>
    </fill>
    <fill>
      <patternFill patternType="lightGray"/>
    </fill>
    <fill>
      <patternFill patternType="solid">
        <fgColor rgb="FF1B2A4A"/>
        <bgColor rgb="FF1B2A4A"/>
      </patternFill>
    </fill>
    <fill>
      <patternFill patternType="solid">
        <fgColor rgb="FFD6E4F0"/>
        <bgColor rgb="FFD6E4F0"/>
      </patternFill>
    </fill>
    <fill>
      <patternFill patternType="solid">
        <fgColor rgb="FF2E5FA3"/>
        <bgColor rgb="FF2E5FA3"/>
      </patternFill>
    </fill>
    <fill>
      <patternFill patternType="solid">
        <fgColor rgb="FFFFFFFF"/>
        <bgColor rgb="FFFFFFFF"/>
      </patternFill>
    </fill>
    <fill>
      <patternFill patternType="solid">
        <fgColor rgb="FF375623"/>
        <bgColor rgb="FF375623"/>
      </patternFill>
    </fill>
    <fill>
      <patternFill patternType="solid">
        <fgColor rgb="FFE57200"/>
        <bgColor rgb="FFE57200"/>
      </patternFill>
    </fill>
    <fill>
      <patternFill patternType="solid">
        <fgColor rgb="FFF5F5F5"/>
        <bgColor rgb="FFF5F5F5"/>
      </patternFill>
    </fill>
    <fill>
      <patternFill patternType="solid">
        <fgColor rgb="FFF57F17"/>
        <bgColor rgb="FFF57F17"/>
      </patternFill>
    </fill>
    <fill>
      <patternFill patternType="solid">
        <fgColor rgb="FF555555"/>
        <bgColor rgb="FF555555"/>
      </patternFill>
    </fill>
    <fill>
      <patternFill patternType="solid">
        <fgColor rgb="FFE0E0E0"/>
        <bgColor rgb="FFE0E0E0"/>
      </patternFill>
    </fill>
    <fill>
      <patternFill patternType="solid">
        <fgColor rgb="FFE3F2FD"/>
        <bgColor rgb="FFE3F2FD"/>
      </patternFill>
    </fill>
    <fill>
      <patternFill patternType="solid">
        <fgColor rgb="FFF3E5F5"/>
        <bgColor rgb="FFF3E5F5"/>
      </patternFill>
    </fill>
    <fill>
      <patternFill patternType="solid">
        <fgColor rgb="FFE0F2F1"/>
        <bgColor rgb="FFE0F2F1"/>
      </patternFill>
    </fill>
    <fill>
      <patternFill patternType="solid">
        <fgColor rgb="FFFFF3E0"/>
        <bgColor rgb="FFFFF3E0"/>
      </patternFill>
    </fill>
    <fill>
      <patternFill patternType="solid">
        <fgColor rgb="FFE8F5E9"/>
        <bgColor rgb="FFE8F5E9"/>
      </patternFill>
    </fill>
    <fill>
      <patternFill patternType="solid">
        <fgColor rgb="FFFCE4EC"/>
        <bgColor rgb="FFFCE4EC"/>
      </patternFill>
    </fill>
    <fill>
      <patternFill patternType="solid">
        <fgColor rgb="FF1565C0"/>
        <bgColor rgb="FF1565C0"/>
      </patternFill>
    </fill>
    <fill>
      <patternFill patternType="solid">
        <fgColor rgb="FF6A1B9A"/>
        <bgColor rgb="FF6A1B9A"/>
      </patternFill>
    </fill>
    <fill>
      <patternFill patternType="solid">
        <fgColor rgb="FF00695C"/>
        <bgColor rgb="FF00695C"/>
      </patternFill>
    </fill>
    <fill>
      <patternFill patternType="solid">
        <fgColor rgb="FFE65100"/>
        <bgColor rgb="FFE65100"/>
      </patternFill>
    </fill>
    <fill>
      <patternFill patternType="solid">
        <fgColor rgb="FF2E7D32"/>
        <bgColor rgb="FF2E7D32"/>
      </patternFill>
    </fill>
    <fill>
      <patternFill patternType="solid">
        <fgColor rgb="FFAD1457"/>
        <bgColor rgb="FFAD1457"/>
      </patternFill>
    </fill>
    <fill>
      <patternFill patternType="solid">
        <fgColor rgb="FFFFFDE7"/>
        <bgColor rgb="FFFFFDE7"/>
      </patternFill>
    </fill>
    <fill>
      <patternFill patternType="solid">
        <fgColor rgb="FFC6EFCE"/>
        <bgColor rgb="FFC6EFCE"/>
      </patternFill>
    </fill>
    <fill>
      <patternFill patternType="solid">
        <fgColor rgb="FFE8EDF4"/>
        <bgColor rgb="FFE8EDF4"/>
      </patternFill>
    </fill>
    <fill>
      <patternFill patternType="solid">
        <fgColor rgb="FFFEE2E2"/>
        <bgColor rgb="FFFEE2E2"/>
      </patternFill>
    </fill>
    <fill>
      <patternFill patternType="solid">
        <fgColor rgb="FF073763"/>
        <bgColor rgb="FF073763"/>
      </patternFill>
    </fill>
    <fill>
      <patternFill patternType="solid">
        <fgColor rgb="FFFFE599"/>
        <bgColor rgb="FFFFE599"/>
      </patternFill>
    </fill>
    <fill>
      <patternFill patternType="solid">
        <fgColor rgb="FF9FC5E8"/>
        <bgColor rgb="FF9FC5E8"/>
      </patternFill>
    </fill>
    <fill>
      <patternFill patternType="solid">
        <fgColor rgb="FFBF9000"/>
        <bgColor rgb="FFBF9000"/>
      </patternFill>
    </fill>
    <fill>
      <patternFill patternType="solid">
        <fgColor rgb="FFD9EAD3"/>
        <bgColor rgb="FFD9EAD3"/>
      </patternFill>
    </fill>
    <fill>
      <patternFill patternType="solid">
        <fgColor rgb="FFFFF2CC"/>
        <bgColor rgb="FFFFF2CC"/>
      </patternFill>
    </fill>
    <fill>
      <patternFill patternType="solid">
        <fgColor rgb="FF6AA84F"/>
        <bgColor rgb="FF6AA84F"/>
      </patternFill>
    </fill>
    <fill>
      <patternFill patternType="solid">
        <fgColor rgb="FF6D9EEB"/>
        <bgColor rgb="FF6D9EEB"/>
      </patternFill>
    </fill>
    <fill>
      <patternFill patternType="solid">
        <fgColor rgb="FF8E7CC3"/>
        <bgColor rgb="FF8E7CC3"/>
      </patternFill>
    </fill>
    <fill>
      <patternFill patternType="solid">
        <fgColor rgb="FF002060"/>
        <bgColor rgb="FF002060"/>
      </patternFill>
    </fill>
    <fill>
      <patternFill patternType="solid">
        <fgColor rgb="FFE26B0A"/>
        <bgColor rgb="FFE26B0A"/>
      </patternFill>
    </fill>
    <fill>
      <patternFill patternType="solid">
        <fgColor rgb="FFF79646"/>
        <bgColor rgb="FFF79646"/>
      </patternFill>
    </fill>
    <fill>
      <patternFill patternType="solid">
        <fgColor rgb="FF4472C4"/>
        <bgColor rgb="FF4472C4"/>
      </patternFill>
    </fill>
    <fill>
      <patternFill patternType="solid">
        <fgColor rgb="FF70AD47"/>
        <bgColor rgb="FF70AD47"/>
      </patternFill>
    </fill>
    <fill>
      <patternFill patternType="solid">
        <fgColor rgb="FFFF0000"/>
        <bgColor rgb="FFFF0000"/>
      </patternFill>
    </fill>
    <fill>
      <patternFill patternType="solid">
        <fgColor rgb="FF5B9BD5"/>
        <bgColor rgb="FF5B9BD5"/>
      </patternFill>
    </fill>
    <fill>
      <patternFill patternType="solid">
        <fgColor rgb="FF7030A0"/>
        <bgColor rgb="FF7030A0"/>
      </patternFill>
    </fill>
    <fill>
      <patternFill patternType="solid">
        <fgColor rgb="FFFFE599"/>
      </patternFill>
    </fill>
  </fills>
  <borders count="60">
    <border/>
    <border>
      <left/>
      <top/>
      <bottom/>
    </border>
    <border>
      <top/>
      <bottom/>
    </border>
    <border>
      <left/>
      <right/>
      <top/>
      <bottom/>
    </border>
    <border>
      <left style="thin">
        <color rgb="FFEEEEEE"/>
      </left>
      <right style="thin">
        <color rgb="FFEEEEEE"/>
      </right>
      <top style="thin">
        <color rgb="FFEEEEEE"/>
      </top>
      <bottom style="thin">
        <color rgb="FFEEEEEE"/>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left style="thin">
        <color rgb="FFCCCCCC"/>
      </left>
      <right style="thin">
        <color rgb="FFCCCCCC"/>
      </right>
      <top style="thin">
        <color rgb="FFCCCCCC"/>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CCCCCC"/>
      </left>
      <right style="thin">
        <color rgb="FFCCCCCC"/>
      </right>
      <bottom style="thin">
        <color rgb="FFCCCCCC"/>
      </bottom>
    </border>
    <border>
      <left style="thin">
        <color rgb="FFCCCCCC"/>
      </left>
      <top style="thin">
        <color rgb="FFCCCCCC"/>
      </top>
    </border>
    <border>
      <top style="thin">
        <color rgb="FFCCCCCC"/>
      </top>
    </border>
    <border>
      <left style="thin">
        <color rgb="FF000000"/>
      </left>
      <top style="thin">
        <color rgb="FF000000"/>
      </top>
    </border>
    <border>
      <top style="thin">
        <color rgb="FF000000"/>
      </top>
    </border>
    <border>
      <right style="thin">
        <color rgb="FF000000"/>
      </right>
      <top style="thin">
        <color rgb="FF000000"/>
      </top>
    </border>
    <border>
      <left/>
      <right style="thin">
        <color rgb="FF000000"/>
      </right>
      <top style="thin">
        <color rgb="FF000000"/>
      </top>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right style="thin">
        <color rgb="FF000000"/>
      </right>
      <bottom style="thin">
        <color rgb="FF000000"/>
      </bottom>
    </border>
    <border>
      <left/>
      <right style="thin">
        <color rgb="FF000000"/>
      </right>
      <top style="thin">
        <color rgb="FF000000"/>
      </top>
      <bottom/>
    </border>
    <border>
      <left style="thin">
        <color rgb="FFC8D0DC"/>
      </left>
      <right style="thin">
        <color rgb="FFC8D0DC"/>
      </right>
      <top style="thin">
        <color rgb="FFC8D0DC"/>
      </top>
      <bottom style="thin">
        <color rgb="FFC8D0DC"/>
      </bottom>
    </border>
    <border>
      <left style="thin">
        <color rgb="FF000000"/>
      </left>
      <right style="thin">
        <color rgb="FF000000"/>
      </right>
    </border>
    <border>
      <left style="thin">
        <color rgb="FF000000"/>
      </left>
      <top/>
    </border>
    <border>
      <top/>
    </border>
    <border>
      <right style="thin">
        <color rgb="FF000000"/>
      </right>
      <top/>
    </border>
    <border>
      <left style="thin">
        <color rgb="FF000000"/>
      </left>
      <right style="thin">
        <color rgb="FF000000"/>
      </right>
      <bottom style="thin">
        <color rgb="FF000000"/>
      </bottom>
    </border>
    <border>
      <left style="thin">
        <color rgb="FF000000"/>
      </left>
      <bottom style="thin">
        <color rgb="FFC8D0DC"/>
      </bottom>
    </border>
    <border>
      <bottom style="thin">
        <color rgb="FFC8D0DC"/>
      </bottom>
    </border>
    <border>
      <right style="thin">
        <color rgb="FF000000"/>
      </right>
      <bottom style="thin">
        <color rgb="FFC8D0DC"/>
      </bottom>
    </border>
    <border>
      <left style="medium">
        <color rgb="FF1B2A4A"/>
      </left>
      <right style="thin">
        <color rgb="FFC8D0DC"/>
      </right>
      <top style="thin">
        <color rgb="FFC8D0DC"/>
      </top>
      <bottom style="thin">
        <color rgb="FFC8D0DC"/>
      </bottom>
    </border>
    <border>
      <left style="thin">
        <color rgb="FFC8D0DC"/>
      </left>
      <right style="thin">
        <color rgb="FFC8D0DC"/>
      </right>
      <top style="thin">
        <color rgb="FFC8D0DC"/>
      </top>
    </border>
    <border>
      <left style="thin">
        <color rgb="FFC8D0DC"/>
      </left>
      <right style="thin">
        <color rgb="FF000000"/>
      </right>
      <top style="thin">
        <color rgb="FFC8D0DC"/>
      </top>
    </border>
    <border>
      <left style="thin">
        <color rgb="FF000000"/>
      </left>
      <top style="thin">
        <color rgb="FF000000"/>
      </top>
      <bottom/>
    </border>
    <border>
      <top style="thin">
        <color rgb="FF000000"/>
      </top>
      <bottom/>
    </border>
    <border>
      <right/>
      <top style="thin">
        <color rgb="FF000000"/>
      </top>
      <bottom/>
    </border>
    <border>
      <left style="thin">
        <color rgb="FFC8D0DC"/>
      </left>
      <right style="thin">
        <color rgb="FF000000"/>
      </right>
    </border>
    <border>
      <left style="thin">
        <color rgb="FF000000"/>
      </left>
      <right/>
      <top style="thin">
        <color rgb="FF000000"/>
      </top>
      <bottom style="thin">
        <color rgb="FF000000"/>
      </bottom>
    </border>
    <border>
      <left/>
      <right/>
      <top style="thin">
        <color rgb="FF000000"/>
      </top>
      <bottom style="thin">
        <color rgb="FF000000"/>
      </bottom>
    </border>
    <border>
      <right/>
      <top/>
    </border>
    <border>
      <right/>
    </border>
    <border>
      <bottom/>
    </border>
    <border>
      <right/>
      <bottom/>
    </border>
    <border>
      <right style="thin">
        <color rgb="FFCCCCCC"/>
      </right>
      <top style="thin">
        <color rgb="FFCCCCCC"/>
      </top>
      <bottom style="thin">
        <color rgb="FFCCCCCC"/>
      </bottom>
    </border>
    <border>
      <left style="thin">
        <color rgb="FF000000"/>
      </left>
      <top style="thin">
        <color rgb="FF000000"/>
      </top>
      <bottom style="thin">
        <color rgb="FFAAAAAA"/>
      </bottom>
    </border>
    <border>
      <top style="thin">
        <color rgb="FF000000"/>
      </top>
      <bottom style="thin">
        <color rgb="FFAAAAAA"/>
      </bottom>
    </border>
    <border>
      <left style="thin">
        <color rgb="FF000000"/>
      </left>
      <right style="thin">
        <color rgb="FFAAAAAA"/>
      </right>
      <bottom style="thin">
        <color rgb="FFAAAAAA"/>
      </bottom>
    </border>
    <border>
      <right style="thin">
        <color rgb="FFAAAAAA"/>
      </right>
      <bottom style="thin">
        <color rgb="FFAAAAAA"/>
      </bottom>
    </border>
    <border>
      <right style="thin">
        <color rgb="FF000000"/>
      </right>
    </border>
    <border>
      <left style="thin">
        <color rgb="FF000000"/>
      </left>
    </border>
    <border>
      <left style="thin">
        <color rgb="FF000000"/>
      </left>
      <right style="thin">
        <color rgb="FF000000"/>
      </right>
      <top/>
      <bottom style="thin">
        <color rgb="FFC8D0DC"/>
      </bottom>
    </border>
    <border>
      <left style="thin">
        <color rgb="FF000000"/>
      </left>
      <right/>
      <top style="thin">
        <color rgb="FF000000"/>
      </top>
      <bottom/>
    </border>
    <border>
      <right/>
      <top/>
      <bottom/>
    </border>
    <border>
      <right style="thin">
        <color rgb="FFCCCCCC"/>
      </right>
      <top style="thin">
        <color rgb="FFCCCCCC"/>
      </top>
    </border>
  </borders>
  <cellStyleXfs count="1">
    <xf numFmtId="0" fontId="0" fillId="0" borderId="0"/>
  </cellStyleXfs>
  <cellXfs count="415">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2" pivotButton="0" quotePrefix="0" xfId="0"/>
    <xf numFmtId="0" fontId="3" fillId="3" borderId="1" applyAlignment="1" pivotButton="0" quotePrefix="0" xfId="0">
      <alignment horizontal="center" vertical="center" wrapText="1"/>
    </xf>
    <xf numFmtId="0" fontId="4" fillId="2" borderId="1" applyAlignment="1" pivotButton="0" quotePrefix="0" xfId="0">
      <alignment horizontal="center" vertical="center"/>
    </xf>
    <xf numFmtId="0" fontId="5" fillId="4" borderId="1" applyAlignment="1" pivotButton="0" quotePrefix="0" xfId="0">
      <alignment horizontal="left" vertical="center"/>
    </xf>
    <xf numFmtId="0" fontId="6" fillId="5" borderId="3" applyAlignment="1" pivotButton="0" quotePrefix="0" xfId="0">
      <alignment vertical="bottom"/>
    </xf>
    <xf numFmtId="0" fontId="7" fillId="5" borderId="4" applyAlignment="1" pivotButton="0" quotePrefix="0" xfId="0">
      <alignment horizontal="left"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4" fillId="7" borderId="1" applyAlignment="1" pivotButton="0" quotePrefix="0" xfId="0">
      <alignment horizontal="center" vertical="center"/>
    </xf>
    <xf numFmtId="0" fontId="8" fillId="2" borderId="5" applyAlignment="1" pivotButton="0" quotePrefix="0" xfId="0">
      <alignment horizontal="center" vertical="center"/>
    </xf>
    <xf numFmtId="0" fontId="9" fillId="8" borderId="5" applyAlignment="1" pivotButton="0" quotePrefix="0" xfId="0">
      <alignment horizontal="left" vertical="center" wrapText="1"/>
    </xf>
    <xf numFmtId="0" fontId="10" fillId="9" borderId="0" pivotButton="0" quotePrefix="0" xfId="0"/>
    <xf numFmtId="0" fontId="8" fillId="10" borderId="3" applyAlignment="1" pivotButton="0" quotePrefix="0" xfId="0">
      <alignment horizontal="center" vertical="center"/>
    </xf>
    <xf numFmtId="0" fontId="11" fillId="11" borderId="5" applyAlignment="1" pivotButton="0" quotePrefix="0" xfId="0">
      <alignment horizontal="left" vertical="center"/>
    </xf>
    <xf numFmtId="0" fontId="8" fillId="0" borderId="0" applyAlignment="1" pivotButton="0" quotePrefix="0" xfId="0">
      <alignment horizontal="center" vertical="center"/>
    </xf>
    <xf numFmtId="0" fontId="11" fillId="0" borderId="5" applyAlignment="1" pivotButton="0" quotePrefix="0" xfId="0">
      <alignment horizontal="left" vertical="center"/>
    </xf>
    <xf numFmtId="0" fontId="12" fillId="2" borderId="1" applyAlignment="1" pivotButton="0" quotePrefix="0" xfId="0">
      <alignment horizontal="center" vertical="center"/>
    </xf>
    <xf numFmtId="0" fontId="13" fillId="3" borderId="6" applyAlignment="1" pivotButton="0" quotePrefix="0" xfId="0">
      <alignment horizontal="left" vertical="center"/>
    </xf>
    <xf numFmtId="0" fontId="2" fillId="0" borderId="7" pivotButton="0" quotePrefix="0" xfId="0"/>
    <xf numFmtId="0" fontId="14" fillId="3" borderId="6" applyAlignment="1" pivotButton="0" quotePrefix="0" xfId="0">
      <alignment horizontal="center" vertical="center"/>
    </xf>
    <xf numFmtId="0" fontId="15" fillId="5" borderId="5" applyAlignment="1" pivotButton="0" quotePrefix="0" xfId="0">
      <alignment horizontal="center" vertical="center"/>
    </xf>
    <xf numFmtId="0" fontId="16" fillId="7" borderId="6" applyAlignment="1" pivotButton="0" quotePrefix="0" xfId="0">
      <alignment horizontal="center" vertical="center"/>
    </xf>
    <xf numFmtId="0" fontId="4" fillId="7" borderId="5" applyAlignment="1" pivotButton="0" quotePrefix="0" xfId="0">
      <alignment horizontal="center" vertical="center"/>
    </xf>
    <xf numFmtId="0" fontId="17" fillId="8" borderId="1" applyAlignment="1" pivotButton="0" quotePrefix="0" xfId="0">
      <alignment horizontal="left" vertical="center"/>
    </xf>
    <xf numFmtId="0" fontId="18" fillId="12" borderId="5" applyAlignment="1" pivotButton="0" quotePrefix="0" xfId="0">
      <alignment horizontal="center" vertical="center"/>
    </xf>
    <xf numFmtId="0" fontId="19" fillId="13" borderId="5" applyAlignment="1" pivotButton="0" quotePrefix="0" xfId="0">
      <alignment horizontal="center" vertical="center"/>
    </xf>
    <xf numFmtId="0" fontId="20" fillId="14" borderId="5" applyAlignment="1" pivotButton="0" quotePrefix="0" xfId="0">
      <alignment horizontal="center" vertical="center"/>
    </xf>
    <xf numFmtId="0" fontId="21" fillId="15" borderId="5" applyAlignment="1" pivotButton="0" quotePrefix="0" xfId="0">
      <alignment horizontal="center" vertical="center"/>
    </xf>
    <xf numFmtId="0" fontId="22" fillId="16" borderId="5" applyAlignment="1" pivotButton="0" quotePrefix="0" xfId="0">
      <alignment horizontal="center" vertical="center"/>
    </xf>
    <xf numFmtId="0" fontId="23" fillId="17" borderId="5" applyAlignment="1" pivotButton="0" quotePrefix="0" xfId="0">
      <alignment horizontal="center" vertical="center"/>
    </xf>
    <xf numFmtId="0" fontId="24" fillId="8" borderId="3" applyAlignment="1" pivotButton="0" quotePrefix="0" xfId="0">
      <alignment vertical="bottom"/>
    </xf>
    <xf numFmtId="0" fontId="16" fillId="2" borderId="8" applyAlignment="1" pivotButton="0" quotePrefix="0" xfId="0">
      <alignment horizontal="center" vertical="center" wrapText="1"/>
    </xf>
    <xf numFmtId="0" fontId="25" fillId="18" borderId="8" applyAlignment="1" pivotButton="0" quotePrefix="0" xfId="0">
      <alignment horizontal="center" vertical="center" wrapText="1"/>
    </xf>
    <xf numFmtId="0" fontId="25" fillId="19" borderId="8" applyAlignment="1" pivotButton="0" quotePrefix="0" xfId="0">
      <alignment horizontal="center" vertical="center" wrapText="1"/>
    </xf>
    <xf numFmtId="0" fontId="25" fillId="20" borderId="8" applyAlignment="1" pivotButton="0" quotePrefix="0" xfId="0">
      <alignment horizontal="center" vertical="center" wrapText="1"/>
    </xf>
    <xf numFmtId="0" fontId="25" fillId="21" borderId="8" applyAlignment="1" pivotButton="0" quotePrefix="0" xfId="0">
      <alignment horizontal="center" vertical="center" wrapText="1"/>
    </xf>
    <xf numFmtId="0" fontId="25" fillId="22" borderId="8" applyAlignment="1" pivotButton="0" quotePrefix="0" xfId="0">
      <alignment horizontal="center" vertical="center" wrapText="1"/>
    </xf>
    <xf numFmtId="0" fontId="25" fillId="23" borderId="8" applyAlignment="1" pivotButton="0" quotePrefix="0" xfId="0">
      <alignment horizontal="center" vertical="center" wrapText="1"/>
    </xf>
    <xf numFmtId="0" fontId="26" fillId="2" borderId="0" applyAlignment="1" pivotButton="0" quotePrefix="0" xfId="0">
      <alignment horizontal="center" vertical="center"/>
    </xf>
    <xf numFmtId="0" fontId="25" fillId="4" borderId="9" applyAlignment="1" pivotButton="0" quotePrefix="0" xfId="0">
      <alignment horizontal="center" vertical="center" wrapText="1"/>
    </xf>
    <xf numFmtId="164" fontId="27" fillId="3" borderId="9" applyAlignment="1" pivotButton="0" quotePrefix="0" xfId="0">
      <alignment horizontal="center" vertical="center"/>
    </xf>
    <xf numFmtId="0" fontId="28" fillId="3" borderId="9" applyAlignment="1" pivotButton="0" quotePrefix="0" xfId="0">
      <alignment horizontal="center" vertical="center"/>
    </xf>
    <xf numFmtId="0" fontId="6" fillId="3" borderId="9" applyAlignment="1" pivotButton="0" quotePrefix="0" xfId="0">
      <alignment vertical="bottom"/>
    </xf>
    <xf numFmtId="0" fontId="29" fillId="3" borderId="9" applyAlignment="1" pivotButton="0" quotePrefix="0" xfId="0">
      <alignment vertical="center" wrapText="1"/>
    </xf>
    <xf numFmtId="0" fontId="30" fillId="3" borderId="9" applyAlignment="1" pivotButton="0" quotePrefix="0" xfId="0">
      <alignment horizontal="center" vertical="center"/>
    </xf>
    <xf numFmtId="0" fontId="31" fillId="8" borderId="9" applyAlignment="1" pivotButton="0" quotePrefix="0" xfId="0">
      <alignment horizontal="center" vertical="center"/>
    </xf>
    <xf numFmtId="0" fontId="32" fillId="8" borderId="9" applyAlignment="1" pivotButton="0" quotePrefix="0" xfId="0">
      <alignment horizontal="center" vertical="center"/>
    </xf>
    <xf numFmtId="0" fontId="33" fillId="8" borderId="9" applyAlignment="1" pivotButton="0" quotePrefix="0" xfId="0">
      <alignment horizontal="center" vertical="center"/>
    </xf>
    <xf numFmtId="0" fontId="34" fillId="15" borderId="9" applyAlignment="1" pivotButton="0" quotePrefix="0" xfId="0">
      <alignment horizontal="center" vertical="center"/>
    </xf>
    <xf numFmtId="0" fontId="35" fillId="8" borderId="9" applyAlignment="1" pivotButton="0" quotePrefix="0" xfId="0">
      <alignment horizontal="center" vertical="center"/>
    </xf>
    <xf numFmtId="0" fontId="36" fillId="8" borderId="9" applyAlignment="1" pivotButton="0" quotePrefix="0" xfId="0">
      <alignment horizontal="center" vertical="center"/>
    </xf>
    <xf numFmtId="0" fontId="37" fillId="3" borderId="9" applyAlignment="1" pivotButton="0" quotePrefix="0" xfId="0">
      <alignment vertical="center" wrapText="1"/>
    </xf>
    <xf numFmtId="0" fontId="38" fillId="0" borderId="9" pivotButton="0" quotePrefix="0" xfId="0"/>
    <xf numFmtId="0" fontId="25" fillId="6" borderId="9" applyAlignment="1" pivotButton="0" quotePrefix="0" xfId="0">
      <alignment horizontal="center" vertical="center" wrapText="1"/>
    </xf>
    <xf numFmtId="0" fontId="27" fillId="16" borderId="9" applyAlignment="1" pivotButton="0" quotePrefix="0" xfId="0">
      <alignment horizontal="center" vertical="center"/>
    </xf>
    <xf numFmtId="0" fontId="6" fillId="16" borderId="9" applyAlignment="1" pivotButton="0" quotePrefix="0" xfId="0">
      <alignment vertical="bottom"/>
    </xf>
    <xf numFmtId="0" fontId="28" fillId="16" borderId="9" applyAlignment="1" pivotButton="0" quotePrefix="0" xfId="0">
      <alignment vertical="center" wrapText="1"/>
    </xf>
    <xf numFmtId="0" fontId="30" fillId="16" borderId="9" applyAlignment="1" pivotButton="0" quotePrefix="0" xfId="0">
      <alignment horizontal="center" vertical="center"/>
    </xf>
    <xf numFmtId="0" fontId="39" fillId="16" borderId="9" applyAlignment="1" pivotButton="0" quotePrefix="0" xfId="0">
      <alignment vertical="center" wrapText="1"/>
    </xf>
    <xf numFmtId="0" fontId="8" fillId="7" borderId="10" applyAlignment="1" pivotButton="0" quotePrefix="0" xfId="0">
      <alignment horizontal="left" vertical="center"/>
    </xf>
    <xf numFmtId="0" fontId="2" fillId="0" borderId="11" pivotButton="0" quotePrefix="0" xfId="0"/>
    <xf numFmtId="0" fontId="2" fillId="0" borderId="12" pivotButton="0" quotePrefix="0" xfId="0"/>
    <xf numFmtId="0" fontId="16" fillId="7" borderId="10" applyAlignment="1" pivotButton="0" quotePrefix="0" xfId="0">
      <alignment horizontal="center" vertical="center"/>
    </xf>
    <xf numFmtId="0" fontId="40" fillId="18" borderId="9" applyAlignment="1" pivotButton="0" quotePrefix="0" xfId="0">
      <alignment horizontal="center" vertical="center" wrapText="1"/>
    </xf>
    <xf numFmtId="0" fontId="40" fillId="19" borderId="9" applyAlignment="1" pivotButton="0" quotePrefix="0" xfId="0">
      <alignment horizontal="center" vertical="center" wrapText="1"/>
    </xf>
    <xf numFmtId="0" fontId="40" fillId="20" borderId="9" applyAlignment="1" pivotButton="0" quotePrefix="0" xfId="0">
      <alignment horizontal="center" vertical="center" wrapText="1"/>
    </xf>
    <xf numFmtId="0" fontId="40" fillId="21" borderId="9" applyAlignment="1" pivotButton="0" quotePrefix="0" xfId="0">
      <alignment horizontal="center" vertical="center" wrapText="1"/>
    </xf>
    <xf numFmtId="0" fontId="40" fillId="22" borderId="9" applyAlignment="1" pivotButton="0" quotePrefix="0" xfId="0">
      <alignment horizontal="center" vertical="center" wrapText="1"/>
    </xf>
    <xf numFmtId="0" fontId="40" fillId="23" borderId="9" applyAlignment="1" pivotButton="0" quotePrefix="0" xfId="0">
      <alignment horizontal="center" vertical="center" wrapText="1"/>
    </xf>
    <xf numFmtId="0" fontId="41" fillId="7" borderId="9" applyAlignment="1" pivotButton="0" quotePrefix="0" xfId="0">
      <alignment horizontal="center" vertical="center"/>
    </xf>
    <xf numFmtId="0" fontId="25" fillId="9" borderId="9" applyAlignment="1" pivotButton="0" quotePrefix="0" xfId="0">
      <alignment horizontal="center" vertical="center" wrapText="1"/>
    </xf>
    <xf numFmtId="164" fontId="6" fillId="24" borderId="9" applyAlignment="1" pivotButton="0" quotePrefix="0" xfId="0">
      <alignment vertical="bottom"/>
    </xf>
    <xf numFmtId="0" fontId="6" fillId="24" borderId="9" applyAlignment="1" pivotButton="0" quotePrefix="0" xfId="0">
      <alignment vertical="bottom"/>
    </xf>
    <xf numFmtId="0" fontId="28" fillId="16" borderId="9" applyAlignment="1" pivotButton="0" quotePrefix="0" xfId="0">
      <alignment vertical="center" wrapText="1"/>
    </xf>
    <xf numFmtId="0" fontId="6" fillId="24" borderId="9" applyAlignment="1" pivotButton="0" quotePrefix="0" xfId="0">
      <alignment horizontal="center" vertical="center"/>
    </xf>
    <xf numFmtId="0" fontId="31" fillId="24" borderId="9" applyAlignment="1" pivotButton="0" quotePrefix="0" xfId="0">
      <alignment horizontal="center" vertical="center"/>
    </xf>
    <xf numFmtId="0" fontId="32" fillId="24" borderId="9" applyAlignment="1" pivotButton="0" quotePrefix="0" xfId="0">
      <alignment horizontal="center" vertical="center"/>
    </xf>
    <xf numFmtId="0" fontId="33" fillId="24" borderId="9" applyAlignment="1" pivotButton="0" quotePrefix="0" xfId="0">
      <alignment horizontal="center" vertical="center"/>
    </xf>
    <xf numFmtId="0" fontId="34" fillId="24" borderId="9" applyAlignment="1" pivotButton="0" quotePrefix="0" xfId="0">
      <alignment horizontal="center" vertical="center"/>
    </xf>
    <xf numFmtId="0" fontId="35" fillId="24" borderId="9" applyAlignment="1" pivotButton="0" quotePrefix="0" xfId="0">
      <alignment horizontal="center" vertical="center"/>
    </xf>
    <xf numFmtId="0" fontId="36" fillId="24" borderId="9" applyAlignment="1" pivotButton="0" quotePrefix="0" xfId="0">
      <alignment horizontal="center" vertical="center"/>
    </xf>
    <xf numFmtId="0" fontId="6" fillId="24" borderId="9" applyAlignment="1" pivotButton="0" quotePrefix="0" xfId="0">
      <alignment vertical="bottom"/>
    </xf>
    <xf numFmtId="0" fontId="31" fillId="24" borderId="9" applyAlignment="1" pivotButton="0" quotePrefix="0" xfId="0">
      <alignment horizontal="center" vertical="center"/>
    </xf>
    <xf numFmtId="0" fontId="33" fillId="24" borderId="9" applyAlignment="1" pivotButton="0" quotePrefix="0" xfId="0">
      <alignment horizontal="center" vertical="center"/>
    </xf>
    <xf numFmtId="0" fontId="25" fillId="9" borderId="9" applyAlignment="1" pivotButton="0" quotePrefix="0" xfId="0">
      <alignment horizontal="center" wrapText="1"/>
    </xf>
    <xf numFmtId="0" fontId="6" fillId="24" borderId="9" applyAlignment="1" pivotButton="0" quotePrefix="0" xfId="0">
      <alignment vertical="bottom"/>
    </xf>
    <xf numFmtId="0" fontId="28" fillId="16" borderId="9" applyAlignment="1" pivotButton="0" quotePrefix="0" xfId="0">
      <alignment wrapText="1"/>
    </xf>
    <xf numFmtId="0" fontId="6" fillId="24" borderId="9" applyAlignment="1" pivotButton="0" quotePrefix="0" xfId="0">
      <alignment horizontal="center"/>
    </xf>
    <xf numFmtId="0" fontId="6" fillId="24" borderId="9" pivotButton="0" quotePrefix="0" xfId="0"/>
    <xf numFmtId="0" fontId="42" fillId="24" borderId="9" applyAlignment="1" pivotButton="0" quotePrefix="0" xfId="0">
      <alignment horizontal="center"/>
    </xf>
    <xf numFmtId="0" fontId="6" fillId="24" borderId="9" pivotButton="0" quotePrefix="0" xfId="0"/>
    <xf numFmtId="0" fontId="6" fillId="0" borderId="9" applyAlignment="1" pivotButton="0" quotePrefix="0" xfId="0">
      <alignment vertical="bottom"/>
    </xf>
    <xf numFmtId="0" fontId="25" fillId="9" borderId="13" applyAlignment="1" pivotButton="0" quotePrefix="0" xfId="0">
      <alignment horizontal="center" vertical="center" wrapText="1"/>
    </xf>
    <xf numFmtId="0" fontId="6" fillId="24" borderId="13" applyAlignment="1" pivotButton="0" quotePrefix="0" xfId="0">
      <alignment vertical="bottom"/>
    </xf>
    <xf numFmtId="0" fontId="43" fillId="24" borderId="13" applyAlignment="1" pivotButton="0" quotePrefix="0" xfId="0">
      <alignment vertical="center" wrapText="1"/>
    </xf>
    <xf numFmtId="0" fontId="6" fillId="24" borderId="13" applyAlignment="1" pivotButton="0" quotePrefix="0" xfId="0">
      <alignment horizontal="center" vertical="center"/>
    </xf>
    <xf numFmtId="0" fontId="31" fillId="24" borderId="13" applyAlignment="1" pivotButton="0" quotePrefix="0" xfId="0">
      <alignment horizontal="center" vertical="center"/>
    </xf>
    <xf numFmtId="0" fontId="32" fillId="24" borderId="13" applyAlignment="1" pivotButton="0" quotePrefix="0" xfId="0">
      <alignment horizontal="center" vertical="center"/>
    </xf>
    <xf numFmtId="0" fontId="33" fillId="24" borderId="13" applyAlignment="1" pivotButton="0" quotePrefix="0" xfId="0">
      <alignment horizontal="center" vertical="center"/>
    </xf>
    <xf numFmtId="0" fontId="34" fillId="24" borderId="13" applyAlignment="1" pivotButton="0" quotePrefix="0" xfId="0">
      <alignment horizontal="center" vertical="center"/>
    </xf>
    <xf numFmtId="0" fontId="35" fillId="24" borderId="13" applyAlignment="1" pivotButton="0" quotePrefix="0" xfId="0">
      <alignment horizontal="center" vertical="center"/>
    </xf>
    <xf numFmtId="0" fontId="36" fillId="24" borderId="13" applyAlignment="1" pivotButton="0" quotePrefix="0" xfId="0">
      <alignment horizontal="center" vertical="center"/>
    </xf>
    <xf numFmtId="0" fontId="25" fillId="9" borderId="5" applyAlignment="1" pivotButton="0" quotePrefix="0" xfId="0">
      <alignment horizontal="center" vertical="center" wrapText="1"/>
    </xf>
    <xf numFmtId="0" fontId="6" fillId="24" borderId="5" applyAlignment="1" pivotButton="0" quotePrefix="0" xfId="0">
      <alignment vertical="bottom"/>
    </xf>
    <xf numFmtId="0" fontId="43" fillId="24" borderId="5" applyAlignment="1" pivotButton="0" quotePrefix="0" xfId="0">
      <alignment vertical="center" wrapText="1"/>
    </xf>
    <xf numFmtId="0" fontId="6" fillId="24" borderId="5" applyAlignment="1" pivotButton="0" quotePrefix="0" xfId="0">
      <alignment horizontal="center" vertical="center"/>
    </xf>
    <xf numFmtId="0" fontId="31" fillId="24" borderId="5" applyAlignment="1" pivotButton="0" quotePrefix="0" xfId="0">
      <alignment horizontal="center" vertical="center"/>
    </xf>
    <xf numFmtId="0" fontId="32" fillId="24" borderId="5" applyAlignment="1" pivotButton="0" quotePrefix="0" xfId="0">
      <alignment horizontal="center" vertical="center"/>
    </xf>
    <xf numFmtId="0" fontId="33" fillId="24" borderId="5" applyAlignment="1" pivotButton="0" quotePrefix="0" xfId="0">
      <alignment horizontal="center" vertical="center"/>
    </xf>
    <xf numFmtId="0" fontId="34" fillId="24" borderId="5" applyAlignment="1" pivotButton="0" quotePrefix="0" xfId="0">
      <alignment horizontal="center" vertical="center"/>
    </xf>
    <xf numFmtId="0" fontId="35" fillId="24" borderId="5" applyAlignment="1" pivotButton="0" quotePrefix="0" xfId="0">
      <alignment horizontal="center" vertical="center"/>
    </xf>
    <xf numFmtId="0" fontId="36" fillId="24" borderId="5" applyAlignment="1" pivotButton="0" quotePrefix="0" xfId="0">
      <alignment horizontal="center" vertical="center"/>
    </xf>
    <xf numFmtId="0" fontId="25" fillId="9" borderId="5" applyAlignment="1" pivotButton="0" quotePrefix="0" xfId="0">
      <alignment horizontal="center" vertical="center"/>
    </xf>
    <xf numFmtId="0" fontId="38" fillId="0" borderId="0" pivotButton="0" quotePrefix="0" xfId="0"/>
    <xf numFmtId="0" fontId="16" fillId="2" borderId="5" applyAlignment="1" pivotButton="0" quotePrefix="0" xfId="0">
      <alignment horizontal="center" vertical="center" wrapText="1"/>
    </xf>
    <xf numFmtId="0" fontId="25" fillId="18" borderId="5" applyAlignment="1" pivotButton="0" quotePrefix="0" xfId="0">
      <alignment horizontal="center" vertical="center" wrapText="1"/>
    </xf>
    <xf numFmtId="0" fontId="25" fillId="19" borderId="5" applyAlignment="1" pivotButton="0" quotePrefix="0" xfId="0">
      <alignment horizontal="center" vertical="center" wrapText="1"/>
    </xf>
    <xf numFmtId="0" fontId="25" fillId="20" borderId="5" applyAlignment="1" pivotButton="0" quotePrefix="0" xfId="0">
      <alignment horizontal="center" vertical="center" wrapText="1"/>
    </xf>
    <xf numFmtId="0" fontId="25" fillId="21" borderId="5" applyAlignment="1" pivotButton="0" quotePrefix="0" xfId="0">
      <alignment horizontal="center" vertical="center" wrapText="1"/>
    </xf>
    <xf numFmtId="0" fontId="25" fillId="22" borderId="5" applyAlignment="1" pivotButton="0" quotePrefix="0" xfId="0">
      <alignment horizontal="center" vertical="center" wrapText="1"/>
    </xf>
    <xf numFmtId="0" fontId="25" fillId="23" borderId="5" applyAlignment="1" pivotButton="0" quotePrefix="0" xfId="0">
      <alignment horizontal="center" vertical="center" wrapText="1"/>
    </xf>
    <xf numFmtId="0" fontId="25" fillId="4" borderId="5" applyAlignment="1" pivotButton="0" quotePrefix="0" xfId="0">
      <alignment horizontal="center" vertical="center" wrapText="1"/>
    </xf>
    <xf numFmtId="0" fontId="27" fillId="3" borderId="5" applyAlignment="1" pivotButton="0" quotePrefix="0" xfId="0">
      <alignment horizontal="center" vertical="center"/>
    </xf>
    <xf numFmtId="0" fontId="28" fillId="3" borderId="5" applyAlignment="1" pivotButton="0" quotePrefix="0" xfId="0">
      <alignment horizontal="center" vertical="center"/>
    </xf>
    <xf numFmtId="0" fontId="6" fillId="3" borderId="5" applyAlignment="1" pivotButton="0" quotePrefix="0" xfId="0">
      <alignment vertical="bottom"/>
    </xf>
    <xf numFmtId="0" fontId="29" fillId="3" borderId="5" applyAlignment="1" pivotButton="0" quotePrefix="0" xfId="0">
      <alignment vertical="center" wrapText="1"/>
    </xf>
    <xf numFmtId="0" fontId="30" fillId="3" borderId="5" applyAlignment="1" pivotButton="0" quotePrefix="0" xfId="0">
      <alignment horizontal="center" vertical="center"/>
    </xf>
    <xf numFmtId="0" fontId="31" fillId="8" borderId="5" applyAlignment="1" pivotButton="0" quotePrefix="0" xfId="0">
      <alignment horizontal="center" vertical="center"/>
    </xf>
    <xf numFmtId="0" fontId="32" fillId="13" borderId="5" applyAlignment="1" pivotButton="0" quotePrefix="0" xfId="0">
      <alignment horizontal="center" vertical="center"/>
    </xf>
    <xf numFmtId="0" fontId="33" fillId="8" borderId="5" applyAlignment="1" pivotButton="0" quotePrefix="0" xfId="0">
      <alignment horizontal="center" vertical="center"/>
    </xf>
    <xf numFmtId="0" fontId="34" fillId="8" borderId="5" applyAlignment="1" pivotButton="0" quotePrefix="0" xfId="0">
      <alignment horizontal="center" vertical="center"/>
    </xf>
    <xf numFmtId="0" fontId="35" fillId="8" borderId="5" applyAlignment="1" pivotButton="0" quotePrefix="0" xfId="0">
      <alignment horizontal="center" vertical="center"/>
    </xf>
    <xf numFmtId="0" fontId="36" fillId="8" borderId="5" applyAlignment="1" pivotButton="0" quotePrefix="0" xfId="0">
      <alignment horizontal="center" vertical="center"/>
    </xf>
    <xf numFmtId="0" fontId="37" fillId="3" borderId="5" applyAlignment="1" pivotButton="0" quotePrefix="0" xfId="0">
      <alignment vertical="center" wrapText="1"/>
    </xf>
    <xf numFmtId="0" fontId="25" fillId="6" borderId="5" applyAlignment="1" pivotButton="0" quotePrefix="0" xfId="0">
      <alignment horizontal="center" vertical="center" wrapText="1"/>
    </xf>
    <xf numFmtId="0" fontId="27" fillId="16" borderId="5" applyAlignment="1" pivotButton="0" quotePrefix="0" xfId="0">
      <alignment horizontal="center" vertical="center"/>
    </xf>
    <xf numFmtId="0" fontId="6" fillId="16" borderId="5" applyAlignment="1" pivotButton="0" quotePrefix="0" xfId="0">
      <alignment vertical="bottom"/>
    </xf>
    <xf numFmtId="0" fontId="28" fillId="16" borderId="5" applyAlignment="1" pivotButton="0" quotePrefix="0" xfId="0">
      <alignment vertical="center" wrapText="1"/>
    </xf>
    <xf numFmtId="0" fontId="30" fillId="16" borderId="5" applyAlignment="1" pivotButton="0" quotePrefix="0" xfId="0">
      <alignment horizontal="center" vertical="center"/>
    </xf>
    <xf numFmtId="0" fontId="39" fillId="16" borderId="5" applyAlignment="1" pivotButton="0" quotePrefix="0" xfId="0">
      <alignment vertical="center" wrapText="1"/>
    </xf>
    <xf numFmtId="0" fontId="8" fillId="7" borderId="14" applyAlignment="1" pivotButton="0" quotePrefix="0" xfId="0">
      <alignment horizontal="left" vertical="center"/>
    </xf>
    <xf numFmtId="0" fontId="2" fillId="0" borderId="15" pivotButton="0" quotePrefix="0" xfId="0"/>
    <xf numFmtId="0" fontId="16" fillId="7" borderId="14" applyAlignment="1" pivotButton="0" quotePrefix="0" xfId="0">
      <alignment horizontal="center" vertical="center"/>
    </xf>
    <xf numFmtId="0" fontId="40" fillId="18" borderId="8" applyAlignment="1" pivotButton="0" quotePrefix="0" xfId="0">
      <alignment horizontal="center" vertical="center" wrapText="1"/>
    </xf>
    <xf numFmtId="0" fontId="40" fillId="19" borderId="8" applyAlignment="1" pivotButton="0" quotePrefix="0" xfId="0">
      <alignment horizontal="center" vertical="center" wrapText="1"/>
    </xf>
    <xf numFmtId="0" fontId="40" fillId="20" borderId="8" applyAlignment="1" pivotButton="0" quotePrefix="0" xfId="0">
      <alignment horizontal="center" vertical="center" wrapText="1"/>
    </xf>
    <xf numFmtId="0" fontId="40" fillId="21" borderId="8" applyAlignment="1" pivotButton="0" quotePrefix="0" xfId="0">
      <alignment horizontal="center" vertical="center" wrapText="1"/>
    </xf>
    <xf numFmtId="0" fontId="40" fillId="22" borderId="8" applyAlignment="1" pivotButton="0" quotePrefix="0" xfId="0">
      <alignment horizontal="center" vertical="center" wrapText="1"/>
    </xf>
    <xf numFmtId="0" fontId="40" fillId="23" borderId="8" applyAlignment="1" pivotButton="0" quotePrefix="0" xfId="0">
      <alignment horizontal="center" vertical="center" wrapText="1"/>
    </xf>
    <xf numFmtId="0" fontId="41" fillId="7" borderId="8" applyAlignment="1" pivotButton="0" quotePrefix="0" xfId="0">
      <alignment horizontal="center" vertical="center"/>
    </xf>
    <xf numFmtId="0" fontId="43" fillId="24" borderId="9" applyAlignment="1" pivotButton="0" quotePrefix="0" xfId="0">
      <alignment vertical="center" wrapText="1"/>
    </xf>
    <xf numFmtId="0" fontId="6" fillId="24" borderId="9" applyAlignment="1" pivotButton="0" quotePrefix="0" xfId="0">
      <alignment horizontal="center" vertical="center"/>
    </xf>
    <xf numFmtId="0" fontId="32" fillId="24" borderId="9" applyAlignment="1" pivotButton="0" quotePrefix="0" xfId="0">
      <alignment horizontal="center" vertical="center"/>
    </xf>
    <xf numFmtId="0" fontId="25" fillId="9" borderId="9" applyAlignment="1" pivotButton="0" quotePrefix="0" xfId="0">
      <alignment horizontal="center" vertical="center"/>
    </xf>
    <xf numFmtId="0" fontId="25" fillId="9" borderId="13" applyAlignment="1" pivotButton="0" quotePrefix="0" xfId="0">
      <alignment horizontal="center" vertical="center"/>
    </xf>
    <xf numFmtId="0" fontId="12" fillId="2" borderId="1" applyAlignment="1" pivotButton="0" quotePrefix="0" xfId="0">
      <alignment horizontal="center" vertical="center"/>
    </xf>
    <xf numFmtId="0" fontId="27" fillId="3" borderId="9" applyAlignment="1" pivotButton="0" quotePrefix="0" xfId="0">
      <alignment horizontal="center" vertical="center"/>
    </xf>
    <xf numFmtId="0" fontId="31" fillId="12" borderId="9" applyAlignment="1" pivotButton="0" quotePrefix="0" xfId="0">
      <alignment horizontal="center" vertical="center"/>
    </xf>
    <xf numFmtId="0" fontId="34" fillId="8" borderId="9" applyAlignment="1" pivotButton="0" quotePrefix="0" xfId="0">
      <alignment horizontal="center" vertical="center"/>
    </xf>
    <xf numFmtId="0" fontId="32" fillId="13" borderId="9" applyAlignment="1" pivotButton="0" quotePrefix="0" xfId="0">
      <alignment horizontal="center" vertical="center"/>
    </xf>
    <xf numFmtId="0" fontId="35" fillId="16" borderId="9" applyAlignment="1" pivotButton="0" quotePrefix="0" xfId="0">
      <alignment horizontal="center" vertical="center"/>
    </xf>
    <xf numFmtId="0" fontId="36" fillId="17" borderId="9" applyAlignment="1" pivotButton="0" quotePrefix="0" xfId="0">
      <alignment horizontal="center" vertical="center"/>
    </xf>
    <xf numFmtId="0" fontId="33" fillId="14" borderId="9" applyAlignment="1" pivotButton="0" quotePrefix="0" xfId="0">
      <alignment horizontal="center" vertical="center"/>
    </xf>
    <xf numFmtId="164" fontId="6" fillId="24" borderId="9" applyAlignment="1" pivotButton="0" quotePrefix="0" xfId="0">
      <alignment vertical="bottom"/>
    </xf>
    <xf numFmtId="0" fontId="27" fillId="0" borderId="9" applyAlignment="1" pivotButton="0" quotePrefix="0" xfId="0">
      <alignment vertical="bottom" wrapText="1"/>
    </xf>
    <xf numFmtId="0" fontId="44" fillId="2" borderId="1" applyAlignment="1" pivotButton="0" quotePrefix="0" xfId="0">
      <alignment horizontal="center"/>
    </xf>
    <xf numFmtId="0" fontId="6" fillId="0" borderId="0" applyAlignment="1" pivotButton="0" quotePrefix="0" xfId="0">
      <alignment vertical="bottom"/>
    </xf>
    <xf numFmtId="0" fontId="5" fillId="2" borderId="1" applyAlignment="1" pivotButton="0" quotePrefix="0" xfId="0">
      <alignment horizontal="center"/>
    </xf>
    <xf numFmtId="0" fontId="6" fillId="10" borderId="5" pivotButton="0" quotePrefix="0" xfId="0"/>
    <xf numFmtId="0" fontId="16" fillId="10" borderId="5" applyAlignment="1" pivotButton="0" quotePrefix="0" xfId="0">
      <alignment horizontal="center"/>
    </xf>
    <xf numFmtId="0" fontId="16" fillId="10" borderId="5" applyAlignment="1" pivotButton="0" quotePrefix="0" xfId="0">
      <alignment horizontal="center" wrapText="1"/>
    </xf>
    <xf numFmtId="0" fontId="28" fillId="8" borderId="5" pivotButton="0" quotePrefix="0" xfId="0"/>
    <xf numFmtId="0" fontId="45" fillId="8" borderId="5" applyAlignment="1" pivotButton="0" quotePrefix="0" xfId="0">
      <alignment horizontal="center"/>
    </xf>
    <xf numFmtId="0" fontId="46" fillId="8" borderId="5" applyAlignment="1" pivotButton="0" quotePrefix="0" xfId="0">
      <alignment horizontal="center"/>
    </xf>
    <xf numFmtId="0" fontId="28" fillId="8" borderId="5" applyAlignment="1" pivotButton="0" quotePrefix="0" xfId="0">
      <alignment horizontal="center"/>
    </xf>
    <xf numFmtId="0" fontId="28" fillId="5" borderId="5" pivotButton="0" quotePrefix="0" xfId="0"/>
    <xf numFmtId="0" fontId="45" fillId="5" borderId="5" applyAlignment="1" pivotButton="0" quotePrefix="0" xfId="0">
      <alignment horizontal="center"/>
    </xf>
    <xf numFmtId="0" fontId="46" fillId="5" borderId="5" applyAlignment="1" pivotButton="0" quotePrefix="0" xfId="0">
      <alignment horizontal="center"/>
    </xf>
    <xf numFmtId="0" fontId="28" fillId="5" borderId="5" applyAlignment="1" pivotButton="0" quotePrefix="0" xfId="0">
      <alignment horizontal="center"/>
    </xf>
    <xf numFmtId="0" fontId="28" fillId="5" borderId="5" pivotButton="0" quotePrefix="0" xfId="0"/>
    <xf numFmtId="0" fontId="5" fillId="2" borderId="5" applyAlignment="1" pivotButton="0" quotePrefix="0" xfId="0">
      <alignment horizontal="center"/>
    </xf>
    <xf numFmtId="0" fontId="4" fillId="2" borderId="5" applyAlignment="1" pivotButton="0" quotePrefix="0" xfId="0">
      <alignment horizontal="center"/>
    </xf>
    <xf numFmtId="0" fontId="18" fillId="12" borderId="5" pivotButton="0" quotePrefix="0" xfId="0"/>
    <xf numFmtId="0" fontId="47" fillId="12" borderId="5" applyAlignment="1" pivotButton="0" quotePrefix="0" xfId="0">
      <alignment horizontal="center"/>
    </xf>
    <xf numFmtId="0" fontId="46" fillId="12" borderId="5" applyAlignment="1" pivotButton="0" quotePrefix="0" xfId="0">
      <alignment horizontal="center"/>
    </xf>
    <xf numFmtId="0" fontId="28" fillId="12" borderId="5" applyAlignment="1" pivotButton="0" quotePrefix="0" xfId="0">
      <alignment horizontal="center"/>
    </xf>
    <xf numFmtId="0" fontId="48" fillId="0" borderId="0" pivotButton="0" quotePrefix="0" xfId="0"/>
    <xf numFmtId="0" fontId="19" fillId="13" borderId="5" pivotButton="0" quotePrefix="0" xfId="0"/>
    <xf numFmtId="0" fontId="42" fillId="13" borderId="5" applyAlignment="1" pivotButton="0" quotePrefix="0" xfId="0">
      <alignment horizontal="center"/>
    </xf>
    <xf numFmtId="0" fontId="46" fillId="13" borderId="5" applyAlignment="1" pivotButton="0" quotePrefix="0" xfId="0">
      <alignment horizontal="center"/>
    </xf>
    <xf numFmtId="0" fontId="28" fillId="13" borderId="5" applyAlignment="1" pivotButton="0" quotePrefix="0" xfId="0">
      <alignment horizontal="center"/>
    </xf>
    <xf numFmtId="0" fontId="20" fillId="14" borderId="5" pivotButton="0" quotePrefix="0" xfId="0"/>
    <xf numFmtId="0" fontId="49" fillId="14" borderId="5" applyAlignment="1" pivotButton="0" quotePrefix="0" xfId="0">
      <alignment horizontal="center"/>
    </xf>
    <xf numFmtId="0" fontId="46" fillId="14" borderId="5" applyAlignment="1" pivotButton="0" quotePrefix="0" xfId="0">
      <alignment horizontal="center"/>
    </xf>
    <xf numFmtId="0" fontId="28" fillId="14" borderId="5" applyAlignment="1" pivotButton="0" quotePrefix="0" xfId="0">
      <alignment horizontal="center"/>
    </xf>
    <xf numFmtId="0" fontId="21" fillId="15" borderId="5" pivotButton="0" quotePrefix="0" xfId="0"/>
    <xf numFmtId="0" fontId="50" fillId="15" borderId="5" applyAlignment="1" pivotButton="0" quotePrefix="0" xfId="0">
      <alignment horizontal="center"/>
    </xf>
    <xf numFmtId="0" fontId="46" fillId="15" borderId="5" applyAlignment="1" pivotButton="0" quotePrefix="0" xfId="0">
      <alignment horizontal="center"/>
    </xf>
    <xf numFmtId="0" fontId="28" fillId="15" borderId="5" applyAlignment="1" pivotButton="0" quotePrefix="0" xfId="0">
      <alignment horizontal="center"/>
    </xf>
    <xf numFmtId="0" fontId="22" fillId="16" borderId="5" pivotButton="0" quotePrefix="0" xfId="0"/>
    <xf numFmtId="0" fontId="51" fillId="16" borderId="5" applyAlignment="1" pivotButton="0" quotePrefix="0" xfId="0">
      <alignment horizontal="center"/>
    </xf>
    <xf numFmtId="0" fontId="46" fillId="16" borderId="5" applyAlignment="1" pivotButton="0" quotePrefix="0" xfId="0">
      <alignment horizontal="center"/>
    </xf>
    <xf numFmtId="0" fontId="28" fillId="16" borderId="5" applyAlignment="1" pivotButton="0" quotePrefix="0" xfId="0">
      <alignment horizontal="center"/>
    </xf>
    <xf numFmtId="0" fontId="23" fillId="17" borderId="5" pivotButton="0" quotePrefix="0" xfId="0"/>
    <xf numFmtId="0" fontId="52" fillId="17" borderId="5" applyAlignment="1" pivotButton="0" quotePrefix="0" xfId="0">
      <alignment horizontal="center"/>
    </xf>
    <xf numFmtId="0" fontId="46" fillId="17" borderId="5" applyAlignment="1" pivotButton="0" quotePrefix="0" xfId="0">
      <alignment horizontal="center"/>
    </xf>
    <xf numFmtId="0" fontId="28" fillId="17" borderId="5" applyAlignment="1" pivotButton="0" quotePrefix="0" xfId="0">
      <alignment horizontal="center"/>
    </xf>
    <xf numFmtId="0" fontId="53" fillId="7" borderId="1" applyAlignment="1" pivotButton="0" quotePrefix="0" xfId="0">
      <alignment horizontal="center" wrapText="1"/>
    </xf>
    <xf numFmtId="0" fontId="17" fillId="3" borderId="1" applyAlignment="1" pivotButton="0" quotePrefix="0" xfId="0">
      <alignment horizontal="center"/>
    </xf>
    <xf numFmtId="0" fontId="16" fillId="2" borderId="5" applyAlignment="1" pivotButton="0" quotePrefix="0" xfId="0">
      <alignment horizontal="center"/>
    </xf>
    <xf numFmtId="0" fontId="51" fillId="16" borderId="5" pivotButton="0" quotePrefix="0" xfId="0"/>
    <xf numFmtId="0" fontId="54" fillId="16" borderId="5" applyAlignment="1" pivotButton="0" quotePrefix="0" xfId="0">
      <alignment horizontal="center"/>
    </xf>
    <xf numFmtId="0" fontId="55" fillId="25" borderId="5" applyAlignment="1" pivotButton="0" quotePrefix="0" xfId="0">
      <alignment horizontal="center"/>
    </xf>
    <xf numFmtId="0" fontId="56" fillId="25" borderId="5" applyAlignment="1" pivotButton="0" quotePrefix="0" xfId="0">
      <alignment horizontal="center"/>
    </xf>
    <xf numFmtId="0" fontId="47" fillId="12" borderId="5" pivotButton="0" quotePrefix="0" xfId="0"/>
    <xf numFmtId="0" fontId="57" fillId="12" borderId="5" applyAlignment="1" pivotButton="0" quotePrefix="0" xfId="0">
      <alignment horizontal="center"/>
    </xf>
    <xf numFmtId="0" fontId="42" fillId="13" borderId="5" pivotButton="0" quotePrefix="0" xfId="0"/>
    <xf numFmtId="0" fontId="58" fillId="13" borderId="5" applyAlignment="1" pivotButton="0" quotePrefix="0" xfId="0">
      <alignment horizontal="center"/>
    </xf>
    <xf numFmtId="0" fontId="50" fillId="15" borderId="5" pivotButton="0" quotePrefix="0" xfId="0"/>
    <xf numFmtId="0" fontId="59" fillId="15" borderId="5" applyAlignment="1" pivotButton="0" quotePrefix="0" xfId="0">
      <alignment horizontal="center"/>
    </xf>
    <xf numFmtId="0" fontId="52" fillId="17" borderId="5" pivotButton="0" quotePrefix="0" xfId="0"/>
    <xf numFmtId="0" fontId="60" fillId="17" borderId="5" applyAlignment="1" pivotButton="0" quotePrefix="0" xfId="0">
      <alignment horizontal="center"/>
    </xf>
    <xf numFmtId="0" fontId="61" fillId="8" borderId="5" pivotButton="0" quotePrefix="0" xfId="0"/>
    <xf numFmtId="0" fontId="62" fillId="25" borderId="5" applyAlignment="1" pivotButton="0" quotePrefix="0" xfId="0">
      <alignment horizontal="center"/>
    </xf>
    <xf numFmtId="0" fontId="53" fillId="2" borderId="5" pivotButton="0" quotePrefix="0" xfId="0"/>
    <xf numFmtId="0" fontId="53" fillId="2" borderId="5" applyAlignment="1" pivotButton="0" quotePrefix="0" xfId="0">
      <alignment horizontal="center"/>
    </xf>
    <xf numFmtId="0" fontId="16" fillId="2" borderId="5" applyAlignment="1" pivotButton="0" quotePrefix="0" xfId="0">
      <alignment horizontal="center" wrapText="1"/>
    </xf>
    <xf numFmtId="0" fontId="63" fillId="7" borderId="16" applyAlignment="1" pivotButton="0" quotePrefix="0" xfId="0">
      <alignment horizontal="left" vertical="center"/>
    </xf>
    <xf numFmtId="0" fontId="2" fillId="0" borderId="17" pivotButton="0" quotePrefix="0" xfId="0"/>
    <xf numFmtId="0" fontId="2" fillId="0" borderId="18" pivotButton="0" quotePrefix="0" xfId="0"/>
    <xf numFmtId="0" fontId="11" fillId="7" borderId="19" applyAlignment="1" pivotButton="0" quotePrefix="0" xfId="0">
      <alignment vertical="top" wrapText="1"/>
    </xf>
    <xf numFmtId="0" fontId="16" fillId="7" borderId="20" applyAlignment="1" pivotButton="0" quotePrefix="0" xfId="0">
      <alignment horizontal="right" vertical="center" wrapText="1"/>
    </xf>
    <xf numFmtId="0" fontId="64" fillId="7" borderId="9" applyAlignment="1" pivotButton="0" quotePrefix="0" xfId="0">
      <alignment horizontal="center" vertical="center"/>
    </xf>
    <xf numFmtId="0" fontId="65" fillId="7" borderId="21" applyAlignment="1" pivotButton="0" quotePrefix="0" xfId="0">
      <alignment vertical="top" wrapText="1"/>
    </xf>
    <xf numFmtId="0" fontId="48" fillId="0" borderId="0" applyAlignment="1" pivotButton="0" quotePrefix="0" xfId="0">
      <alignment wrapText="1"/>
    </xf>
    <xf numFmtId="0" fontId="2" fillId="0" borderId="22" pivotButton="0" quotePrefix="0" xfId="0"/>
    <xf numFmtId="0" fontId="2" fillId="0" borderId="23" pivotButton="0" quotePrefix="0" xfId="0"/>
    <xf numFmtId="0" fontId="2" fillId="0" borderId="24" pivotButton="0" quotePrefix="0" xfId="0"/>
    <xf numFmtId="0" fontId="2" fillId="0" borderId="25" pivotButton="0" quotePrefix="0" xfId="0"/>
    <xf numFmtId="0" fontId="14" fillId="26" borderId="26" applyAlignment="1" pivotButton="0" quotePrefix="0" xfId="0">
      <alignment horizontal="right" vertical="center" wrapText="1"/>
    </xf>
    <xf numFmtId="0" fontId="66" fillId="27" borderId="27" applyAlignment="1" pivotButton="0" quotePrefix="0" xfId="0">
      <alignment horizontal="center" vertical="center"/>
    </xf>
    <xf numFmtId="0" fontId="2" fillId="0" borderId="28" pivotButton="0" quotePrefix="0" xfId="0"/>
    <xf numFmtId="0" fontId="65" fillId="28" borderId="29" applyAlignment="1" pivotButton="0" quotePrefix="0" xfId="0">
      <alignment vertical="top" wrapText="1"/>
    </xf>
    <xf numFmtId="0" fontId="2" fillId="0" borderId="30" pivotButton="0" quotePrefix="0" xfId="0"/>
    <xf numFmtId="0" fontId="2" fillId="0" borderId="31" pivotButton="0" quotePrefix="0" xfId="0"/>
    <xf numFmtId="0" fontId="2" fillId="0" borderId="32" pivotButton="0" quotePrefix="0" xfId="0"/>
    <xf numFmtId="0" fontId="2" fillId="0" borderId="33" pivotButton="0" quotePrefix="0" xfId="0"/>
    <xf numFmtId="0" fontId="2" fillId="0" borderId="34" pivotButton="0" quotePrefix="0" xfId="0"/>
    <xf numFmtId="0" fontId="2" fillId="0" borderId="35" pivotButton="0" quotePrefix="0" xfId="0"/>
    <xf numFmtId="0" fontId="16" fillId="2" borderId="27" applyAlignment="1" pivotButton="0" quotePrefix="0" xfId="0">
      <alignment horizontal="center" vertical="center"/>
    </xf>
    <xf numFmtId="0" fontId="67" fillId="28" borderId="36" applyAlignment="1" pivotButton="0" quotePrefix="0" xfId="0">
      <alignment horizontal="center" vertical="center" wrapText="1"/>
    </xf>
    <xf numFmtId="164" fontId="67" fillId="28" borderId="37" applyAlignment="1" pivotButton="0" quotePrefix="0" xfId="0">
      <alignment horizontal="center" vertical="center"/>
    </xf>
    <xf numFmtId="0" fontId="67" fillId="28" borderId="37" applyAlignment="1" pivotButton="0" quotePrefix="0" xfId="0">
      <alignment horizontal="center" vertical="center" wrapText="1"/>
    </xf>
    <xf numFmtId="0" fontId="67" fillId="28" borderId="37" applyAlignment="1" pivotButton="0" quotePrefix="0" xfId="0">
      <alignment horizontal="center" vertical="center"/>
    </xf>
    <xf numFmtId="0" fontId="67" fillId="28" borderId="37" applyAlignment="1" pivotButton="0" quotePrefix="0" xfId="0">
      <alignment horizontal="left" vertical="top" wrapText="1"/>
    </xf>
    <xf numFmtId="0" fontId="68" fillId="28" borderId="37" applyAlignment="1" pivotButton="0" quotePrefix="0" xfId="0">
      <alignment horizontal="left" vertical="center" wrapText="1"/>
    </xf>
    <xf numFmtId="0" fontId="69" fillId="28" borderId="0" applyAlignment="1" pivotButton="0" quotePrefix="0" xfId="0">
      <alignment wrapText="1"/>
    </xf>
    <xf numFmtId="0" fontId="69" fillId="28" borderId="0" pivotButton="0" quotePrefix="0" xfId="0"/>
    <xf numFmtId="0" fontId="16" fillId="7" borderId="38" applyAlignment="1" pivotButton="0" quotePrefix="0" xfId="0">
      <alignment horizontal="left" vertical="top" wrapText="1"/>
    </xf>
    <xf numFmtId="0" fontId="27" fillId="29" borderId="9" applyAlignment="1" pivotButton="0" quotePrefix="0" xfId="0">
      <alignment vertical="bottom"/>
    </xf>
    <xf numFmtId="0" fontId="27" fillId="29" borderId="9" applyAlignment="1" pivotButton="0" quotePrefix="0" xfId="0">
      <alignment vertical="bottom" wrapText="1"/>
    </xf>
    <xf numFmtId="0" fontId="27" fillId="29" borderId="9" applyAlignment="1" pivotButton="0" quotePrefix="0" xfId="0">
      <alignment vertical="bottom"/>
    </xf>
    <xf numFmtId="0" fontId="70" fillId="30" borderId="39" applyAlignment="1" pivotButton="0" quotePrefix="0" xfId="0">
      <alignment horizontal="center" vertical="bottom" wrapText="1"/>
    </xf>
    <xf numFmtId="0" fontId="2" fillId="0" borderId="40" pivotButton="0" quotePrefix="0" xfId="0"/>
    <xf numFmtId="0" fontId="2" fillId="0" borderId="41" pivotButton="0" quotePrefix="0" xfId="0"/>
    <xf numFmtId="0" fontId="6" fillId="0" borderId="0" applyAlignment="1" pivotButton="0" quotePrefix="0" xfId="0">
      <alignment vertical="bottom"/>
    </xf>
    <xf numFmtId="0" fontId="6" fillId="0" borderId="0" applyAlignment="1" pivotButton="0" quotePrefix="0" xfId="0">
      <alignment vertical="bottom"/>
    </xf>
    <xf numFmtId="0" fontId="16" fillId="31" borderId="42" applyAlignment="1" pivotButton="0" quotePrefix="0" xfId="0">
      <alignment horizontal="left" vertical="top" wrapText="1"/>
    </xf>
    <xf numFmtId="164" fontId="71" fillId="29" borderId="9" applyAlignment="1" pivotButton="0" quotePrefix="0" xfId="0">
      <alignment horizontal="center" vertical="center"/>
    </xf>
    <xf numFmtId="0" fontId="71" fillId="29" borderId="9" applyAlignment="1" pivotButton="0" quotePrefix="0" xfId="0">
      <alignment horizontal="center" vertical="center"/>
    </xf>
    <xf numFmtId="0" fontId="71" fillId="29" borderId="9" applyAlignment="1" pivotButton="0" quotePrefix="0" xfId="0">
      <alignment horizontal="left" vertical="center" wrapText="1"/>
    </xf>
    <xf numFmtId="0" fontId="6" fillId="30" borderId="43" applyAlignment="1" pivotButton="0" quotePrefix="0" xfId="0">
      <alignment vertical="bottom" wrapText="1"/>
    </xf>
    <xf numFmtId="0" fontId="70" fillId="30" borderId="44" applyAlignment="1" pivotButton="0" quotePrefix="0" xfId="0">
      <alignment vertical="bottom" wrapText="1"/>
    </xf>
    <xf numFmtId="0" fontId="6" fillId="32" borderId="9" applyAlignment="1" pivotButton="0" quotePrefix="0" xfId="0">
      <alignment vertical="bottom" wrapText="1"/>
    </xf>
    <xf numFmtId="0" fontId="6" fillId="0" borderId="9" applyAlignment="1" pivotButton="0" quotePrefix="0" xfId="0">
      <alignment horizontal="right" vertical="bottom" wrapText="1"/>
    </xf>
    <xf numFmtId="0" fontId="70" fillId="0" borderId="9" applyAlignment="1" pivotButton="0" quotePrefix="0" xfId="0">
      <alignment horizontal="right" vertical="bottom" wrapText="1"/>
    </xf>
    <xf numFmtId="0" fontId="28" fillId="0" borderId="30" applyAlignment="1" pivotButton="0" quotePrefix="0" xfId="0">
      <alignment vertical="top" wrapText="1"/>
    </xf>
    <xf numFmtId="0" fontId="2" fillId="0" borderId="45" pivotButton="0" quotePrefix="0" xfId="0"/>
    <xf numFmtId="0" fontId="28" fillId="0" borderId="0" applyAlignment="1" pivotButton="0" quotePrefix="0" xfId="0">
      <alignment vertical="top" wrapText="1"/>
    </xf>
    <xf numFmtId="0" fontId="2" fillId="0" borderId="46" pivotButton="0" quotePrefix="0" xfId="0"/>
    <xf numFmtId="0" fontId="70" fillId="33" borderId="9" applyAlignment="1" pivotButton="0" quotePrefix="0" xfId="0">
      <alignment horizontal="right" vertical="bottom" wrapText="1"/>
    </xf>
    <xf numFmtId="0" fontId="2" fillId="0" borderId="47" pivotButton="0" quotePrefix="0" xfId="0"/>
    <xf numFmtId="0" fontId="2" fillId="0" borderId="48" pivotButton="0" quotePrefix="0" xfId="0"/>
    <xf numFmtId="0" fontId="27" fillId="0" borderId="0" applyAlignment="1" pivotButton="0" quotePrefix="0" xfId="0">
      <alignment vertical="bottom" wrapText="1"/>
    </xf>
    <xf numFmtId="0" fontId="16" fillId="34" borderId="42" applyAlignment="1" pivotButton="0" quotePrefix="0" xfId="0">
      <alignment horizontal="left" vertical="top" wrapText="1"/>
    </xf>
    <xf numFmtId="0" fontId="16" fillId="35" borderId="42" applyAlignment="1" pivotButton="0" quotePrefix="0" xfId="0">
      <alignment horizontal="left" vertical="top" wrapText="1"/>
    </xf>
    <xf numFmtId="164" fontId="11" fillId="29" borderId="9" applyAlignment="1" pivotButton="0" quotePrefix="0" xfId="0">
      <alignment horizontal="center" vertical="bottom" wrapText="1"/>
    </xf>
    <xf numFmtId="0" fontId="11" fillId="29" borderId="9" applyAlignment="1" pivotButton="0" quotePrefix="0" xfId="0">
      <alignment horizontal="center" vertical="bottom" wrapText="1"/>
    </xf>
    <xf numFmtId="0" fontId="11" fillId="29" borderId="9" applyAlignment="1" pivotButton="0" quotePrefix="0" xfId="0">
      <alignment horizontal="center" vertical="bottom"/>
    </xf>
    <xf numFmtId="0" fontId="11" fillId="29" borderId="9" applyAlignment="1" pivotButton="0" quotePrefix="0" xfId="0">
      <alignment horizontal="left" vertical="bottom" wrapText="1"/>
    </xf>
    <xf numFmtId="0" fontId="11" fillId="29" borderId="9" applyAlignment="1" pivotButton="0" quotePrefix="0" xfId="0">
      <alignment horizontal="center" vertical="center"/>
    </xf>
    <xf numFmtId="0" fontId="27" fillId="29" borderId="9" applyAlignment="1" pivotButton="0" quotePrefix="0" xfId="0">
      <alignment horizontal="center" vertical="bottom"/>
    </xf>
    <xf numFmtId="164" fontId="11" fillId="29" borderId="9" applyAlignment="1" pivotButton="0" quotePrefix="0" xfId="0">
      <alignment horizontal="center" vertical="bottom"/>
    </xf>
    <xf numFmtId="0" fontId="16" fillId="36" borderId="42" applyAlignment="1" pivotButton="0" quotePrefix="0" xfId="0">
      <alignment horizontal="left" vertical="top" wrapText="1"/>
    </xf>
    <xf numFmtId="0" fontId="6" fillId="29" borderId="9" applyAlignment="1" pivotButton="0" quotePrefix="0" xfId="0">
      <alignment vertical="bottom"/>
    </xf>
    <xf numFmtId="0" fontId="27" fillId="0" borderId="0" applyAlignment="1" pivotButton="0" quotePrefix="0" xfId="0">
      <alignment vertical="bottom"/>
    </xf>
    <xf numFmtId="0" fontId="5" fillId="18" borderId="6" applyAlignment="1" pivotButton="0" quotePrefix="0" xfId="0">
      <alignment horizontal="left" vertical="center"/>
    </xf>
    <xf numFmtId="0" fontId="2" fillId="0" borderId="49" pivotButton="0" quotePrefix="0" xfId="0"/>
    <xf numFmtId="0" fontId="6" fillId="12" borderId="5" applyAlignment="1" pivotButton="0" quotePrefix="0" xfId="0">
      <alignment vertical="bottom"/>
    </xf>
    <xf numFmtId="0" fontId="9" fillId="12" borderId="5" applyAlignment="1" pivotButton="0" quotePrefix="0" xfId="0">
      <alignment vertical="center" wrapText="1"/>
    </xf>
    <xf numFmtId="0" fontId="5" fillId="19" borderId="6" applyAlignment="1" pivotButton="0" quotePrefix="0" xfId="0">
      <alignment horizontal="left" vertical="center"/>
    </xf>
    <xf numFmtId="0" fontId="6" fillId="13" borderId="5" applyAlignment="1" pivotButton="0" quotePrefix="0" xfId="0">
      <alignment vertical="bottom"/>
    </xf>
    <xf numFmtId="0" fontId="9" fillId="13" borderId="5" applyAlignment="1" pivotButton="0" quotePrefix="0" xfId="0">
      <alignment vertical="center" wrapText="1"/>
    </xf>
    <xf numFmtId="0" fontId="5" fillId="20" borderId="6" applyAlignment="1" pivotButton="0" quotePrefix="0" xfId="0">
      <alignment horizontal="left" vertical="center"/>
    </xf>
    <xf numFmtId="0" fontId="6" fillId="14" borderId="5" applyAlignment="1" pivotButton="0" quotePrefix="0" xfId="0">
      <alignment vertical="bottom"/>
    </xf>
    <xf numFmtId="0" fontId="9" fillId="14" borderId="5" applyAlignment="1" pivotButton="0" quotePrefix="0" xfId="0">
      <alignment vertical="center" wrapText="1"/>
    </xf>
    <xf numFmtId="0" fontId="5" fillId="21" borderId="6" applyAlignment="1" pivotButton="0" quotePrefix="0" xfId="0">
      <alignment horizontal="left" vertical="center"/>
    </xf>
    <xf numFmtId="0" fontId="6" fillId="15" borderId="5" applyAlignment="1" pivotButton="0" quotePrefix="0" xfId="0">
      <alignment vertical="bottom"/>
    </xf>
    <xf numFmtId="0" fontId="9" fillId="15" borderId="5" applyAlignment="1" pivotButton="0" quotePrefix="0" xfId="0">
      <alignment vertical="center" wrapText="1"/>
    </xf>
    <xf numFmtId="0" fontId="5" fillId="22" borderId="6" applyAlignment="1" pivotButton="0" quotePrefix="0" xfId="0">
      <alignment horizontal="left" vertical="center"/>
    </xf>
    <xf numFmtId="0" fontId="9" fillId="16" borderId="5" applyAlignment="1" pivotButton="0" quotePrefix="0" xfId="0">
      <alignment vertical="center" wrapText="1"/>
    </xf>
    <xf numFmtId="0" fontId="5" fillId="23" borderId="6" applyAlignment="1" pivotButton="0" quotePrefix="0" xfId="0">
      <alignment horizontal="left" vertical="center"/>
    </xf>
    <xf numFmtId="0" fontId="6" fillId="17" borderId="5" applyAlignment="1" pivotButton="0" quotePrefix="0" xfId="0">
      <alignment vertical="bottom"/>
    </xf>
    <xf numFmtId="0" fontId="9" fillId="17" borderId="5" applyAlignment="1" pivotButton="0" quotePrefix="0" xfId="0">
      <alignment vertical="center" wrapText="1"/>
    </xf>
    <xf numFmtId="0" fontId="72" fillId="37" borderId="0" applyAlignment="1" pivotButton="0" quotePrefix="0" xfId="0">
      <alignment horizontal="center" vertical="top" wrapText="1"/>
    </xf>
    <xf numFmtId="0" fontId="38" fillId="0" borderId="0" applyAlignment="1" pivotButton="0" quotePrefix="0" xfId="0">
      <alignment vertical="bottom"/>
    </xf>
    <xf numFmtId="0" fontId="73" fillId="37" borderId="0" applyAlignment="1" pivotButton="0" quotePrefix="0" xfId="0">
      <alignment horizontal="center" vertical="top" wrapText="1"/>
    </xf>
    <xf numFmtId="0" fontId="53" fillId="38" borderId="0" applyAlignment="1" pivotButton="0" quotePrefix="0" xfId="0">
      <alignment vertical="top" wrapText="1"/>
    </xf>
    <xf numFmtId="0" fontId="53" fillId="37" borderId="0" applyAlignment="1" pivotButton="0" quotePrefix="0" xfId="0">
      <alignment vertical="top" wrapText="1"/>
    </xf>
    <xf numFmtId="0" fontId="38" fillId="37" borderId="0" applyAlignment="1" pivotButton="0" quotePrefix="0" xfId="0">
      <alignment vertical="top"/>
    </xf>
    <xf numFmtId="0" fontId="74" fillId="39" borderId="50" applyAlignment="1" pivotButton="0" quotePrefix="0" xfId="0">
      <alignment vertical="top" wrapText="1"/>
    </xf>
    <xf numFmtId="0" fontId="2" fillId="0" borderId="51" pivotButton="0" quotePrefix="0" xfId="0"/>
    <xf numFmtId="0" fontId="38" fillId="0" borderId="17" applyAlignment="1" pivotButton="0" quotePrefix="0" xfId="0">
      <alignment vertical="bottom"/>
    </xf>
    <xf numFmtId="0" fontId="38" fillId="0" borderId="18" applyAlignment="1" pivotButton="0" quotePrefix="0" xfId="0">
      <alignment vertical="bottom"/>
    </xf>
    <xf numFmtId="0" fontId="75" fillId="37" borderId="52" applyAlignment="1" pivotButton="0" quotePrefix="0" xfId="0">
      <alignment vertical="top" wrapText="1"/>
    </xf>
    <xf numFmtId="0" fontId="75" fillId="40" borderId="53" applyAlignment="1" pivotButton="0" quotePrefix="0" xfId="0">
      <alignment vertical="top" wrapText="1"/>
    </xf>
    <xf numFmtId="0" fontId="75" fillId="41" borderId="53" applyAlignment="1" pivotButton="0" quotePrefix="0" xfId="0">
      <alignment vertical="top" wrapText="1"/>
    </xf>
    <xf numFmtId="0" fontId="75" fillId="38" borderId="53" applyAlignment="1" pivotButton="0" quotePrefix="0" xfId="0">
      <alignment vertical="top" wrapText="1"/>
    </xf>
    <xf numFmtId="0" fontId="75" fillId="42" borderId="53" applyAlignment="1" pivotButton="0" quotePrefix="0" xfId="0">
      <alignment vertical="top" wrapText="1"/>
    </xf>
    <xf numFmtId="0" fontId="75" fillId="43" borderId="53" applyAlignment="1" pivotButton="0" quotePrefix="0" xfId="0">
      <alignment vertical="top" wrapText="1"/>
    </xf>
    <xf numFmtId="0" fontId="75" fillId="44" borderId="53" applyAlignment="1" pivotButton="0" quotePrefix="0" xfId="0">
      <alignment vertical="top" wrapText="1"/>
    </xf>
    <xf numFmtId="0" fontId="38" fillId="0" borderId="54" applyAlignment="1" pivotButton="0" quotePrefix="0" xfId="0">
      <alignment vertical="bottom"/>
    </xf>
    <xf numFmtId="0" fontId="76" fillId="5" borderId="53" applyAlignment="1" pivotButton="0" quotePrefix="0" xfId="0">
      <alignment vertical="top" wrapText="1"/>
    </xf>
    <xf numFmtId="0" fontId="76" fillId="8" borderId="53" applyAlignment="1" pivotButton="0" quotePrefix="0" xfId="0">
      <alignment vertical="top" wrapText="1"/>
    </xf>
    <xf numFmtId="0" fontId="38" fillId="37" borderId="55" applyAlignment="1" pivotButton="0" quotePrefix="0" xfId="0">
      <alignment vertical="top"/>
    </xf>
    <xf numFmtId="0" fontId="38" fillId="0" borderId="0" applyAlignment="1" pivotButton="0" quotePrefix="0" xfId="0">
      <alignment vertical="top"/>
    </xf>
    <xf numFmtId="0" fontId="12" fillId="7" borderId="1" applyAlignment="1" pivotButton="0" quotePrefix="0" xfId="0">
      <alignment horizontal="center" vertical="center" wrapText="1"/>
    </xf>
    <xf numFmtId="0" fontId="13" fillId="24" borderId="1" applyAlignment="1" pivotButton="0" quotePrefix="0" xfId="0">
      <alignment horizontal="center" vertical="center" wrapText="1"/>
    </xf>
    <xf numFmtId="0" fontId="16" fillId="2" borderId="5" applyAlignment="1" pivotButton="0" quotePrefix="0" xfId="0">
      <alignment horizontal="center" vertical="center"/>
    </xf>
    <xf numFmtId="0" fontId="14" fillId="24" borderId="5" applyAlignment="1" pivotButton="0" quotePrefix="0" xfId="0">
      <alignment vertical="center" wrapText="1"/>
    </xf>
    <xf numFmtId="0" fontId="21" fillId="15" borderId="5" applyAlignment="1" pivotButton="0" quotePrefix="0" xfId="0">
      <alignment vertical="center" wrapText="1"/>
    </xf>
    <xf numFmtId="0" fontId="28" fillId="24" borderId="5" applyAlignment="1" pivotButton="0" quotePrefix="0" xfId="0">
      <alignment vertical="center" wrapText="1"/>
    </xf>
    <xf numFmtId="0" fontId="24" fillId="24" borderId="5" applyAlignment="1" pivotButton="0" quotePrefix="0" xfId="0">
      <alignment vertical="center"/>
    </xf>
    <xf numFmtId="0" fontId="6" fillId="5" borderId="5" applyAlignment="1" pivotButton="0" quotePrefix="0" xfId="0">
      <alignment vertical="center" wrapText="1"/>
    </xf>
    <xf numFmtId="0" fontId="28" fillId="5" borderId="5" applyAlignment="1" pivotButton="0" quotePrefix="0" xfId="0">
      <alignment vertical="center" wrapText="1"/>
    </xf>
    <xf numFmtId="0" fontId="24" fillId="5" borderId="5" applyAlignment="1" pivotButton="0" quotePrefix="0" xfId="0">
      <alignment vertical="center"/>
    </xf>
    <xf numFmtId="0" fontId="6" fillId="24" borderId="5" applyAlignment="1" pivotButton="0" quotePrefix="0" xfId="0">
      <alignment vertical="center" wrapText="1"/>
    </xf>
    <xf numFmtId="0" fontId="19" fillId="13" borderId="5" applyAlignment="1" pivotButton="0" quotePrefix="0" xfId="0">
      <alignment vertical="center" wrapText="1"/>
    </xf>
    <xf numFmtId="0" fontId="22" fillId="16" borderId="5" applyAlignment="1" pivotButton="0" quotePrefix="0" xfId="0">
      <alignment vertical="center" wrapText="1"/>
    </xf>
    <xf numFmtId="0" fontId="20" fillId="14" borderId="5" applyAlignment="1" pivotButton="0" quotePrefix="0" xfId="0">
      <alignment vertical="center" wrapText="1"/>
    </xf>
    <xf numFmtId="0" fontId="18" fillId="12" borderId="5" applyAlignment="1" pivotButton="0" quotePrefix="0" xfId="0">
      <alignment vertical="center" wrapText="1"/>
    </xf>
    <xf numFmtId="0" fontId="23" fillId="17" borderId="5" applyAlignment="1" pivotButton="0" quotePrefix="0" xfId="0">
      <alignment vertical="center" wrapText="1"/>
    </xf>
    <xf numFmtId="0" fontId="14" fillId="5" borderId="5" applyAlignment="1" pivotButton="0" quotePrefix="0" xfId="0">
      <alignment vertical="center" wrapText="1"/>
    </xf>
    <xf numFmtId="0" fontId="63" fillId="2" borderId="1" applyAlignment="1" pivotButton="0" quotePrefix="0" xfId="0">
      <alignment horizontal="center" vertical="center"/>
    </xf>
    <xf numFmtId="0" fontId="18" fillId="12" borderId="5" applyAlignment="1" pivotButton="0" quotePrefix="0" xfId="0">
      <alignment vertical="center"/>
    </xf>
    <xf numFmtId="0" fontId="30" fillId="12" borderId="5" applyAlignment="1" pivotButton="0" quotePrefix="0" xfId="0">
      <alignment horizontal="center" vertical="center"/>
    </xf>
    <xf numFmtId="0" fontId="28" fillId="12" borderId="5" applyAlignment="1" pivotButton="0" quotePrefix="0" xfId="0">
      <alignment vertical="center" wrapText="1"/>
    </xf>
    <xf numFmtId="0" fontId="19" fillId="13" borderId="5" applyAlignment="1" pivotButton="0" quotePrefix="0" xfId="0">
      <alignment vertical="center"/>
    </xf>
    <xf numFmtId="0" fontId="30" fillId="13" borderId="5" applyAlignment="1" pivotButton="0" quotePrefix="0" xfId="0">
      <alignment horizontal="center" vertical="center"/>
    </xf>
    <xf numFmtId="0" fontId="28" fillId="13" borderId="5" applyAlignment="1" pivotButton="0" quotePrefix="0" xfId="0">
      <alignment vertical="center" wrapText="1"/>
    </xf>
    <xf numFmtId="0" fontId="20" fillId="14" borderId="5" applyAlignment="1" pivotButton="0" quotePrefix="0" xfId="0">
      <alignment vertical="center"/>
    </xf>
    <xf numFmtId="0" fontId="30" fillId="14" borderId="5" applyAlignment="1" pivotButton="0" quotePrefix="0" xfId="0">
      <alignment horizontal="center" vertical="center"/>
    </xf>
    <xf numFmtId="0" fontId="28" fillId="14" borderId="5" applyAlignment="1" pivotButton="0" quotePrefix="0" xfId="0">
      <alignment vertical="center" wrapText="1"/>
    </xf>
    <xf numFmtId="0" fontId="21" fillId="15" borderId="5" applyAlignment="1" pivotButton="0" quotePrefix="0" xfId="0">
      <alignment vertical="center"/>
    </xf>
    <xf numFmtId="0" fontId="30" fillId="15" borderId="5" applyAlignment="1" pivotButton="0" quotePrefix="0" xfId="0">
      <alignment horizontal="center" vertical="center"/>
    </xf>
    <xf numFmtId="0" fontId="28" fillId="15" borderId="5" applyAlignment="1" pivotButton="0" quotePrefix="0" xfId="0">
      <alignment vertical="center" wrapText="1"/>
    </xf>
    <xf numFmtId="0" fontId="22" fillId="16" borderId="5" applyAlignment="1" pivotButton="0" quotePrefix="0" xfId="0">
      <alignment vertical="center"/>
    </xf>
    <xf numFmtId="0" fontId="23" fillId="17" borderId="5" applyAlignment="1" pivotButton="0" quotePrefix="0" xfId="0">
      <alignment vertical="center"/>
    </xf>
    <xf numFmtId="0" fontId="30" fillId="17" borderId="5" applyAlignment="1" pivotButton="0" quotePrefix="0" xfId="0">
      <alignment horizontal="center" vertical="center"/>
    </xf>
    <xf numFmtId="0" fontId="28" fillId="17" borderId="5" applyAlignment="1" pivotButton="0" quotePrefix="0" xfId="0">
      <alignment vertical="center" wrapText="1"/>
    </xf>
    <xf numFmtId="0" fontId="0" fillId="0" borderId="0" pivotButton="0" quotePrefix="0" xfId="0"/>
    <xf numFmtId="0" fontId="0" fillId="0" borderId="7" pivotButton="0" quotePrefix="0" xfId="0"/>
    <xf numFmtId="0" fontId="8" fillId="7" borderId="9" applyAlignment="1" pivotButton="0" quotePrefix="0" xfId="0">
      <alignment horizontal="left" vertical="center"/>
    </xf>
    <xf numFmtId="0" fontId="0" fillId="0" borderId="11" pivotButton="0" quotePrefix="0" xfId="0"/>
    <xf numFmtId="0" fontId="0" fillId="0" borderId="12" pivotButton="0" quotePrefix="0" xfId="0"/>
    <xf numFmtId="0" fontId="16" fillId="7" borderId="9" applyAlignment="1" pivotButton="0" quotePrefix="0" xfId="0">
      <alignment horizontal="center" vertical="center"/>
    </xf>
    <xf numFmtId="0" fontId="0" fillId="0" borderId="15" pivotButton="0" quotePrefix="0" xfId="0"/>
    <xf numFmtId="0" fontId="63" fillId="7" borderId="9" applyAlignment="1" pivotButton="0" quotePrefix="0" xfId="0">
      <alignment horizontal="left" vertical="center"/>
    </xf>
    <xf numFmtId="0" fontId="0" fillId="0" borderId="17" pivotButton="0" quotePrefix="0" xfId="0"/>
    <xf numFmtId="0" fontId="0" fillId="0" borderId="18" pivotButton="0" quotePrefix="0" xfId="0"/>
    <xf numFmtId="0" fontId="11" fillId="7" borderId="20" applyAlignment="1" pivotButton="0" quotePrefix="0" xfId="0">
      <alignment vertical="top" wrapText="1"/>
    </xf>
    <xf numFmtId="0" fontId="65" fillId="7" borderId="9" applyAlignment="1" pivotButton="0" quotePrefix="0" xfId="0">
      <alignment vertical="top" wrapText="1"/>
    </xf>
    <xf numFmtId="0" fontId="0" fillId="0" borderId="22" pivotButton="0" quotePrefix="0" xfId="0"/>
    <xf numFmtId="0" fontId="0" fillId="0" borderId="23" pivotButton="0" quotePrefix="0" xfId="0"/>
    <xf numFmtId="0" fontId="0" fillId="0" borderId="24" pivotButton="0" quotePrefix="0" xfId="0"/>
    <xf numFmtId="0" fontId="0" fillId="0" borderId="28" pivotButton="0" quotePrefix="0" xfId="0"/>
    <xf numFmtId="0" fontId="65" fillId="28" borderId="56" applyAlignment="1" pivotButton="0" quotePrefix="0" xfId="0">
      <alignment vertical="top" wrapText="1"/>
    </xf>
    <xf numFmtId="0" fontId="0" fillId="0" borderId="54" pivotButton="0" quotePrefix="0" xfId="0"/>
    <xf numFmtId="0" fontId="0" fillId="0" borderId="32" pivotButton="0" quotePrefix="0" xfId="0"/>
    <xf numFmtId="0" fontId="0" fillId="0" borderId="33" pivotButton="0" quotePrefix="0" xfId="0"/>
    <xf numFmtId="0" fontId="0" fillId="0" borderId="34" pivotButton="0" quotePrefix="0" xfId="0"/>
    <xf numFmtId="0" fontId="0" fillId="0" borderId="35" pivotButton="0" quotePrefix="0" xfId="0"/>
    <xf numFmtId="0" fontId="70" fillId="30" borderId="57" applyAlignment="1" pivotButton="0" quotePrefix="0" xfId="0">
      <alignment horizontal="center" vertical="bottom" wrapText="1"/>
    </xf>
    <xf numFmtId="0" fontId="28" fillId="0" borderId="58" applyAlignment="1" pivotButton="0" quotePrefix="0" xfId="0">
      <alignment vertical="top" wrapText="1"/>
    </xf>
    <xf numFmtId="0" fontId="5" fillId="18" borderId="5" applyAlignment="1" pivotButton="0" quotePrefix="0" xfId="0">
      <alignment horizontal="left" vertical="center"/>
    </xf>
    <xf numFmtId="0" fontId="0" fillId="0" borderId="49" pivotButton="0" quotePrefix="0" xfId="0"/>
    <xf numFmtId="0" fontId="5" fillId="19" borderId="5" applyAlignment="1" pivotButton="0" quotePrefix="0" xfId="0">
      <alignment horizontal="left" vertical="center"/>
    </xf>
    <xf numFmtId="0" fontId="5" fillId="20" borderId="5" applyAlignment="1" pivotButton="0" quotePrefix="0" xfId="0">
      <alignment horizontal="left" vertical="center"/>
    </xf>
    <xf numFmtId="0" fontId="5" fillId="21" borderId="5" applyAlignment="1" pivotButton="0" quotePrefix="0" xfId="0">
      <alignment horizontal="left" vertical="center"/>
    </xf>
    <xf numFmtId="0" fontId="5" fillId="22" borderId="5" applyAlignment="1" pivotButton="0" quotePrefix="0" xfId="0">
      <alignment horizontal="left" vertical="center"/>
    </xf>
    <xf numFmtId="0" fontId="5" fillId="23" borderId="5" applyAlignment="1" pivotButton="0" quotePrefix="0" xfId="0">
      <alignment horizontal="left" vertical="center"/>
    </xf>
    <xf numFmtId="0" fontId="0" fillId="0" borderId="51" pivotButton="0" quotePrefix="0" xfId="0"/>
    <xf numFmtId="0" fontId="77" fillId="28" borderId="56" applyAlignment="1" pivotButton="0" quotePrefix="0" xfId="0">
      <alignment vertical="center" wrapText="1"/>
    </xf>
    <xf numFmtId="0" fontId="78" fillId="45" borderId="38" applyAlignment="1" pivotButton="0" quotePrefix="0" xfId="0">
      <alignment horizontal="center" vertical="center"/>
    </xf>
    <xf numFmtId="0" fontId="78" fillId="45" borderId="42" applyAlignment="1" pivotButton="0" quotePrefix="0" xfId="0">
      <alignment horizontal="center" vertical="center"/>
    </xf>
    <xf numFmtId="164" fontId="27" fillId="29" borderId="9" applyAlignment="1" pivotButton="0" quotePrefix="0" xfId="0">
      <alignment vertical="bottom"/>
    </xf>
    <xf numFmtId="0" fontId="78" fillId="45" borderId="0" applyAlignment="1" pivotButton="0" quotePrefix="0" xfId="0">
      <alignment horizontal="center" vertical="center"/>
    </xf>
    <xf numFmtId="164" fontId="27" fillId="0" borderId="0" applyAlignment="1" pivotButton="0" quotePrefix="0" xfId="0">
      <alignment vertical="bottom"/>
    </xf>
    <xf numFmtId="165" fontId="27" fillId="16" borderId="9" applyAlignment="1" pivotButton="0" quotePrefix="0" xfId="0">
      <alignment horizontal="center" vertical="center"/>
    </xf>
    <xf numFmtId="165" fontId="6" fillId="24" borderId="9" applyAlignment="1" pivotButton="0" quotePrefix="0" xfId="0">
      <alignment vertical="bottom"/>
    </xf>
    <xf numFmtId="165" fontId="27" fillId="3" borderId="5" applyAlignment="1" pivotButton="0" quotePrefix="0" xfId="0">
      <alignment horizontal="center" vertical="center"/>
    </xf>
    <xf numFmtId="165" fontId="27" fillId="16" borderId="5" applyAlignment="1" pivotButton="0" quotePrefix="0" xfId="0">
      <alignment horizontal="center" vertical="center"/>
    </xf>
    <xf numFmtId="165" fontId="27" fillId="3" borderId="9" applyAlignment="1" pivotButton="0" quotePrefix="0" xfId="0">
      <alignment horizontal="center" vertical="center"/>
    </xf>
  </cellXfs>
  <cellStyles count="1">
    <cellStyle name="Normal" xfId="0" builtinId="0"/>
  </cellStyles>
  <dxfs count="8">
    <dxf>
      <font/>
      <fill>
        <patternFill patternType="solid">
          <fgColor rgb="FF00FF00"/>
          <bgColor rgb="FF00FF00"/>
        </patternFill>
      </fill>
      <border/>
    </dxf>
    <dxf>
      <font/>
      <fill>
        <patternFill patternType="solid">
          <fgColor rgb="FFFF0000"/>
          <bgColor rgb="FFFF0000"/>
        </patternFill>
      </fill>
      <border/>
    </dxf>
    <dxf>
      <font/>
      <fill>
        <patternFill patternType="solid">
          <fgColor rgb="FFFFFF00"/>
          <bgColor rgb="FFFFFF00"/>
        </patternFill>
      </fill>
      <border/>
    </dxf>
    <dxf>
      <font>
        <b val="1"/>
        <color rgb="FFFFFFFF"/>
      </font>
      <fill>
        <patternFill patternType="solid">
          <fgColor rgb="002E7D32"/>
          <bgColor rgb="002E7D32"/>
        </patternFill>
      </fill>
    </dxf>
    <dxf>
      <font>
        <b val="1"/>
        <color rgb="FFFFFFFF"/>
      </font>
      <fill>
        <patternFill patternType="solid">
          <fgColor rgb="000000FF"/>
          <bgColor rgb="000000FF"/>
        </patternFill>
      </fill>
    </dxf>
    <dxf>
      <font>
        <b val="1"/>
        <color rgb="FFFFFFFF"/>
      </font>
      <fill>
        <patternFill patternType="solid">
          <fgColor rgb="009900FF"/>
          <bgColor rgb="009900FF"/>
        </patternFill>
      </fill>
    </dxf>
    <dxf>
      <font>
        <b val="1"/>
        <color rgb="FFFFFFFF"/>
      </font>
      <fill>
        <patternFill patternType="solid">
          <fgColor rgb="00FF00FF"/>
          <bgColor rgb="00FF00FF"/>
        </patternFill>
      </fill>
    </dxf>
    <dxf>
      <font>
        <b val="1"/>
        <color rgb="FFFFFFFF"/>
      </font>
      <fill>
        <patternFill patternType="solid">
          <fgColor rgb="00FF0000"/>
          <bgColor rgb="00FF0000"/>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omments/comment1.xml><?xml version="1.0" encoding="utf-8"?>
<comments xmlns="http://schemas.openxmlformats.org/spreadsheetml/2006/main">
  <authors>
    <author>Planning log</author>
  </authors>
  <commentList>
    <comment ref="J2" authorId="0" shapeId="0">
      <text>
        <t>Target changed from 35 to 32 hours so all courses total 320.</t>
      </text>
    </comment>
  </commentList>
</comments>
</file>

<file path=xl/comments/comment2.xml><?xml version="1.0" encoding="utf-8"?>
<comments xmlns="http://schemas.openxmlformats.org/spreadsheetml/2006/main">
  <authors>
    <author>Planning log</author>
  </authors>
  <commentList>
    <comment ref="J2" authorId="0" shapeId="0">
      <text>
        <t>Target changed from 35 to 32 hours so all courses total 320.</t>
      </text>
    </comment>
  </commentList>
</comments>
</file>

<file path=xl/comments/comment3.xml><?xml version="1.0" encoding="utf-8"?>
<comments xmlns="http://schemas.openxmlformats.org/spreadsheetml/2006/main">
  <authors>
    <author>Planning log</author>
  </authors>
  <commentList>
    <comment ref="C15" authorId="0" shapeId="0">
      <text>
        <t>Total target is the sum of the course targets (320). The original was typed as 326.</t>
      </text>
    </comment>
    <comment ref="B19" authorId="0" shapeId="0">
      <text>
        <t>Competency totals now use SUMIFS (works in Excel and Google Sheets; the old SUMPRODUCT/IFERROR formulas showed #VALUE! in Excel), read from row 6 on every tab (the first CHOICE row on 7807/7140 was skipped), and Competency 3 no longer repeats the High-school location formula.</t>
      </text>
    </comment>
    <comment ref="D39" authorId="0" shapeId="0">
      <text>
        <t>Now also checks the 12.5-hour minimum for each site type, so it no longer says 'Met' while a site type is short.</t>
      </text>
    </comment>
  </commentList>
</comments>
</file>

<file path=xl/comments/comment4.xml><?xml version="1.0" encoding="utf-8"?>
<comments xmlns="http://schemas.openxmlformats.org/spreadsheetml/2006/main">
  <authors>
    <author>Planning log</author>
  </authors>
  <commentList>
    <comment ref="A6" authorId="0" shapeId="0">
      <text>
        <t>Rebuilt with plain formulas (works in Excel and Google Sheets). Lists every CHOICE row that has a description or hours, in tab order. Name the Location = the tab's Site name; Type = the tab's Location.</t>
      </text>
    </comment>
    <comment ref="K8" authorId="0" shapeId="0">
      <text>
        <t>These totals always showed 0 (they read the wrong columns). Now linked to the Dashboard.</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2.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3.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tabColor rgb="FF1B2A4A"/>
    <outlinePr summaryBelow="1" summaryRight="1"/>
    <pageSetUpPr/>
  </sheetPr>
  <dimension ref="A1:C29"/>
  <sheetViews>
    <sheetView workbookViewId="0">
      <pane ySplit="1" topLeftCell="A2" activePane="bottomLeft" state="frozen"/>
      <selection pane="bottomLeft" activeCell="B3" sqref="B3"/>
    </sheetView>
  </sheetViews>
  <sheetFormatPr baseColWidth="8" defaultColWidth="14.43" defaultRowHeight="15" customHeight="1"/>
  <cols>
    <col width="28" customWidth="1" style="372" min="1" max="1"/>
    <col width="70" customWidth="1" style="372" min="2" max="2"/>
    <col width="66.70999999999999" customWidth="1" style="372" min="3" max="3"/>
    <col width="8.710000000000001" customWidth="1" style="372" min="4" max="6"/>
  </cols>
  <sheetData>
    <row r="1" ht="60" customHeight="1" s="372">
      <c r="A1" s="1" t="inlineStr">
        <is>
          <t>A&amp;S Internship Program  |  Planning Log</t>
        </is>
      </c>
    </row>
    <row r="2" ht="6" customHeight="1" s="372"/>
    <row r="3" ht="49.5" customHeight="1" s="372">
      <c r="A3" s="3" t="inlineStr">
        <is>
          <t>This is your PLANNING LOG. All completed work must also be entered in the electronic tracking form at the bottom of your Canvas course page.
Set share settings to 'Anyone With the Link Can View' before submitting.</t>
        </is>
      </c>
    </row>
    <row r="4" ht="9.75" customHeight="1" s="372"/>
    <row r="5" ht="25.5" customHeight="1" s="372">
      <c r="A5" s="4" t="inlineStr">
        <is>
          <t>THREE TYPES OF INTERNSHIP EXPERIENCES</t>
        </is>
      </c>
    </row>
    <row r="6" ht="21.75" customHeight="1" s="372">
      <c r="A6" s="5" t="inlineStr">
        <is>
          <t>🎓  EMBEDDED</t>
        </is>
      </c>
    </row>
    <row r="7" ht="49.5" customHeight="1" s="372">
      <c r="A7" s="6" t="n"/>
      <c r="B7" s="7" t="inlineStr">
        <is>
          <t>Fieldwork application assigned by the instructor to practice knowledge gained in the course. These experiences align directly to the course content and are submitted as part of the course assignment.</t>
        </is>
      </c>
    </row>
    <row r="8" ht="21.75" customHeight="1" s="372">
      <c r="A8" s="8" t="inlineStr">
        <is>
          <t>🔗  ALIGNED</t>
        </is>
      </c>
    </row>
    <row r="9" ht="49.5" customHeight="1" s="372">
      <c r="A9" s="6" t="n"/>
      <c r="B9" s="7" t="inlineStr">
        <is>
          <t>Fieldwork required as identified by the internship supervisor. These experiences connect course content to your specific school or division context and are tracked in this log.</t>
        </is>
      </c>
    </row>
    <row r="10" ht="21.75" customHeight="1" s="372">
      <c r="A10" s="9" t="inlineStr">
        <is>
          <t>⭐  CHOICE</t>
        </is>
      </c>
    </row>
    <row r="11" ht="49.5" customHeight="1" s="372">
      <c r="A11" s="6" t="n"/>
      <c r="B11" s="7" t="inlineStr">
        <is>
          <t>Interns engage in opportunities of choice, planned in addition to assigned experiences. Choice hours fill remaining competency gaps and are entered in the Choice Hours tab of this log. No activity may exceed 3 hours.</t>
        </is>
      </c>
    </row>
    <row r="12" ht="9.75" customHeight="1" s="372"/>
    <row r="13" ht="25.5" customHeight="1" s="372">
      <c r="A13" s="10" t="inlineStr">
        <is>
          <t>HOW TO USE THIS LOG</t>
        </is>
      </c>
    </row>
    <row r="14" ht="30" customHeight="1" s="372">
      <c r="A14" s="11" t="inlineStr">
        <is>
          <t>Step 1</t>
        </is>
      </c>
      <c r="B14" s="12" t="inlineStr">
        <is>
          <t>Click the tab for the course you are enrolled in this semester (e.g., 7806, 7812).</t>
        </is>
      </c>
    </row>
    <row r="15" ht="30" customHeight="1" s="372">
      <c r="A15" s="11" t="inlineStr">
        <is>
          <t>Step 2</t>
        </is>
      </c>
      <c r="B15" s="12" t="inlineStr">
        <is>
          <t>Review the pre-filled Embedded and Aligned experiences. Enter the date, location, and your role.</t>
        </is>
      </c>
    </row>
    <row r="16" ht="30" customHeight="1" s="372">
      <c r="A16" s="11" t="inlineStr">
        <is>
          <t>Step 3</t>
        </is>
      </c>
      <c r="B16" s="12" t="inlineStr">
        <is>
          <t>The RED cell shows how many Choice hours you still need. Add your choice activities in the rows below it.</t>
        </is>
      </c>
    </row>
    <row r="17" ht="30" customHeight="1" s="372">
      <c r="A17" s="11" t="inlineStr">
        <is>
          <t>Step 4</t>
        </is>
      </c>
      <c r="B17" s="12" t="inlineStr">
        <is>
          <t>Mark ONE competency (1–6) per activity using 'X' in the competency columns.</t>
        </is>
      </c>
    </row>
    <row r="18" ht="30" customHeight="1" s="372">
      <c r="A18" s="11" t="inlineStr">
        <is>
          <t>Step 5</t>
        </is>
      </c>
      <c r="B18" s="12" t="inlineStr">
        <is>
          <t>Check the 📊 Dashboard tab to monitor your overall progress toward the 320-hour goal.</t>
        </is>
      </c>
    </row>
    <row r="19" ht="30" customHeight="1" s="372">
      <c r="A19" s="11" t="inlineStr">
        <is>
          <t>Step 6</t>
        </is>
      </c>
      <c r="B19" s="12" t="inlineStr">
        <is>
          <t>Enter all completed hours in the Canvas electronic tracking form. This log is your PLAN — Canvas is the RECORD.</t>
        </is>
      </c>
    </row>
    <row r="20" ht="9.75" customHeight="1" s="372"/>
    <row r="21" ht="25.5" customHeight="1" s="372">
      <c r="A21" s="4" t="inlineStr">
        <is>
          <t>COURSE TABS QUICK REFERENCE</t>
        </is>
      </c>
      <c r="C21" s="13" t="inlineStr">
        <is>
          <t>2nd  Pathway Course Sequence</t>
        </is>
      </c>
    </row>
    <row r="22" ht="19.5" customHeight="1" s="372">
      <c r="A22" s="14" t="inlineStr">
        <is>
          <t>Semester 1</t>
        </is>
      </c>
      <c r="B22" s="15" t="inlineStr">
        <is>
          <t xml:space="preserve">7806 – School &amp; Community Relations   |   7812 – Leading Continuous Improvement   </t>
        </is>
      </c>
      <c r="C22" s="15" t="inlineStr">
        <is>
          <t xml:space="preserve">7806 – School &amp; Community Relations   |   7812 – Leading Continuous Improvement   </t>
        </is>
      </c>
    </row>
    <row r="23" ht="19.5" customHeight="1" s="372">
      <c r="A23" s="14" t="inlineStr">
        <is>
          <t>Semester 2</t>
        </is>
      </c>
      <c r="B23" s="15" t="inlineStr">
        <is>
          <t>7807 – Leadership I   |     7811 – Teaching &amp; Learning</t>
        </is>
      </c>
      <c r="C23" s="15" t="inlineStr">
        <is>
          <t>7807 – Leadership I   |     7811 – Teaching &amp; Learning</t>
        </is>
      </c>
    </row>
    <row r="24" ht="19.5" customHeight="1" s="372">
      <c r="A24" s="14" t="n"/>
      <c r="B24" s="15" t="inlineStr">
        <is>
          <t>7140 -- Lead II.   |   7810 – School Law</t>
        </is>
      </c>
      <c r="C24" s="15" t="inlineStr">
        <is>
          <t>7805 – Cultivating Professional Capacity |   7810 – School Law</t>
        </is>
      </c>
    </row>
    <row r="25" ht="19.5" customHeight="1" s="372">
      <c r="A25" s="14" t="inlineStr">
        <is>
          <t>Semester 4</t>
        </is>
      </c>
      <c r="B25" s="15" t="inlineStr">
        <is>
          <t>7808 – School Finance   |   7805 – Cultivating Professional Capacity</t>
        </is>
      </c>
      <c r="C25" s="15" t="inlineStr">
        <is>
          <t>7808 – School Finance  |   7815 – Leadership for Diverse Learners</t>
        </is>
      </c>
    </row>
    <row r="26" ht="19.5" customHeight="1" s="372">
      <c r="A26" s="14" t="inlineStr">
        <is>
          <t>Semester 5</t>
        </is>
      </c>
      <c r="B26" s="15" t="inlineStr">
        <is>
          <t>7813 – Educational Technology   |   7815 – Leadership for Diverse Learners</t>
        </is>
      </c>
      <c r="C26" s="15" t="n"/>
    </row>
    <row r="27" ht="19.5" customHeight="1" s="372">
      <c r="A27" s="16" t="n"/>
      <c r="B27" s="15" t="n"/>
    </row>
    <row r="28" ht="19.5" customHeight="1" s="372">
      <c r="A28" s="16" t="n"/>
      <c r="B28" s="17" t="n"/>
    </row>
    <row r="29" ht="15.75" customHeight="1" s="372">
      <c r="A29" s="16" t="n"/>
    </row>
    <row r="30" ht="15.75" customHeight="1" s="372"/>
    <row r="31" ht="15.75" customHeight="1" s="372"/>
    <row r="32" ht="15.75" customHeight="1" s="372"/>
    <row r="33" ht="15.75" customHeight="1" s="372"/>
    <row r="34" ht="15.75" customHeight="1" s="372"/>
    <row r="35" ht="15.75" customHeight="1" s="372"/>
    <row r="36" ht="15.75" customHeight="1" s="372"/>
    <row r="37" ht="15.75" customHeight="1" s="372"/>
    <row r="38" ht="15.75" customHeight="1" s="372"/>
    <row r="39" ht="15.75" customHeight="1" s="372"/>
    <row r="40" ht="15.75" customHeight="1" s="372"/>
    <row r="41" ht="15.75" customHeight="1" s="372"/>
    <row r="42" ht="15.75" customHeight="1" s="372"/>
    <row r="43" ht="15.75" customHeight="1" s="372"/>
    <row r="44" ht="15.75" customHeight="1" s="372"/>
    <row r="45" ht="15.75" customHeight="1" s="372"/>
    <row r="46" ht="15.75" customHeight="1" s="372"/>
    <row r="47" ht="15.75" customHeight="1" s="372"/>
    <row r="48" ht="15.75" customHeight="1" s="372"/>
    <row r="49" ht="15.75" customHeight="1" s="372"/>
    <row r="50" ht="15.75" customHeight="1" s="372"/>
    <row r="51" ht="15.75" customHeight="1" s="372"/>
    <row r="52" ht="15.75" customHeight="1" s="372"/>
    <row r="53" ht="15.75" customHeight="1" s="372"/>
    <row r="54" ht="15.75" customHeight="1" s="372"/>
    <row r="55" ht="15.75" customHeight="1" s="372"/>
    <row r="56" ht="15.75" customHeight="1" s="372"/>
    <row r="57" ht="15.75" customHeight="1" s="372"/>
    <row r="58" ht="15.75" customHeight="1" s="372"/>
    <row r="59" ht="15.75" customHeight="1" s="372"/>
    <row r="60" ht="15.75" customHeight="1" s="372"/>
    <row r="61" ht="15.75" customHeight="1" s="372"/>
    <row r="62" ht="15.75" customHeight="1" s="372"/>
    <row r="63" ht="15.75" customHeight="1" s="372"/>
    <row r="64" ht="15.75" customHeight="1" s="372"/>
    <row r="65" ht="15.75" customHeight="1" s="372"/>
    <row r="66" ht="15.75" customHeight="1" s="372"/>
    <row r="67" ht="15.75" customHeight="1" s="372"/>
    <row r="68" ht="15.75" customHeight="1" s="372"/>
    <row r="69" ht="15.75" customHeight="1" s="372"/>
    <row r="70" ht="15.75" customHeight="1" s="372"/>
    <row r="71" ht="15.75" customHeight="1" s="372"/>
    <row r="72" ht="15.75" customHeight="1" s="372"/>
    <row r="73" ht="15.75" customHeight="1" s="372"/>
    <row r="74" ht="15.75" customHeight="1" s="372"/>
    <row r="75" ht="15.75" customHeight="1" s="372"/>
    <row r="76" ht="15.75" customHeight="1" s="372"/>
    <row r="77" ht="15.75" customHeight="1" s="372"/>
    <row r="78" ht="15.75" customHeight="1" s="372"/>
    <row r="79" ht="15.75" customHeight="1" s="372"/>
    <row r="80" ht="15.75" customHeight="1" s="372"/>
    <row r="81" ht="15.75" customHeight="1" s="372"/>
    <row r="82" ht="15.75" customHeight="1" s="372"/>
    <row r="83" ht="15.75" customHeight="1" s="372"/>
    <row r="84" ht="15.75" customHeight="1" s="372"/>
    <row r="85" ht="15.75" customHeight="1" s="372"/>
    <row r="86" ht="15.75" customHeight="1" s="372"/>
    <row r="87" ht="15.75" customHeight="1" s="372"/>
    <row r="88" ht="15.75" customHeight="1" s="372"/>
    <row r="89" ht="15.75" customHeight="1" s="372"/>
    <row r="90" ht="15.75" customHeight="1" s="372"/>
    <row r="91" ht="15.75" customHeight="1" s="372"/>
    <row r="92" ht="15.75" customHeight="1" s="372"/>
    <row r="93" ht="15.75" customHeight="1" s="372"/>
    <row r="94" ht="15.75" customHeight="1" s="372"/>
    <row r="95" ht="15.75" customHeight="1" s="372"/>
    <row r="96" ht="15.75" customHeight="1" s="372"/>
    <row r="97" ht="15.75" customHeight="1" s="372"/>
    <row r="98" ht="15.75" customHeight="1" s="372"/>
    <row r="99" ht="15.75" customHeight="1" s="372"/>
    <row r="100" ht="15.75" customHeight="1" s="372"/>
    <row r="101" ht="15.75" customHeight="1" s="372"/>
    <row r="102" ht="15.75" customHeight="1" s="372"/>
    <row r="103" ht="15.75" customHeight="1" s="372"/>
    <row r="104" ht="15.75" customHeight="1" s="372"/>
    <row r="105" ht="15.75" customHeight="1" s="372"/>
    <row r="106" ht="15.75" customHeight="1" s="372"/>
    <row r="107" ht="15.75" customHeight="1" s="372"/>
    <row r="108" ht="15.75" customHeight="1" s="372"/>
    <row r="109" ht="15.75" customHeight="1" s="372"/>
    <row r="110" ht="15.75" customHeight="1" s="372"/>
    <row r="111" ht="15.75" customHeight="1" s="372"/>
    <row r="112" ht="15.75" customHeight="1" s="372"/>
    <row r="113" ht="15.75" customHeight="1" s="372"/>
    <row r="114" ht="15.75" customHeight="1" s="372"/>
    <row r="115" ht="15.75" customHeight="1" s="372"/>
    <row r="116" ht="15.75" customHeight="1" s="372"/>
    <row r="117" ht="15.75" customHeight="1" s="372"/>
    <row r="118" ht="15.75" customHeight="1" s="372"/>
    <row r="119" ht="15.75" customHeight="1" s="372"/>
    <row r="120" ht="15.75" customHeight="1" s="372"/>
    <row r="121" ht="15.75" customHeight="1" s="372"/>
    <row r="122" ht="15.75" customHeight="1" s="372"/>
    <row r="123" ht="15.75" customHeight="1" s="372"/>
    <row r="124" ht="15.75" customHeight="1" s="372"/>
    <row r="125" ht="15.75" customHeight="1" s="372"/>
    <row r="126" ht="15.75" customHeight="1" s="372"/>
    <row r="127" ht="15.75" customHeight="1" s="372"/>
    <row r="128" ht="15.75" customHeight="1" s="372"/>
    <row r="129" ht="15.75" customHeight="1" s="372"/>
    <row r="130" ht="15.75" customHeight="1" s="372"/>
    <row r="131" ht="15.75" customHeight="1" s="372"/>
    <row r="132" ht="15.75" customHeight="1" s="372"/>
    <row r="133" ht="15.75" customHeight="1" s="372"/>
    <row r="134" ht="15.75" customHeight="1" s="372"/>
    <row r="135" ht="15.75" customHeight="1" s="372"/>
    <row r="136" ht="15.75" customHeight="1" s="372"/>
    <row r="137" ht="15.75" customHeight="1" s="372"/>
    <row r="138" ht="15.75" customHeight="1" s="372"/>
    <row r="139" ht="15.75" customHeight="1" s="372"/>
    <row r="140" ht="15.75" customHeight="1" s="372"/>
    <row r="141" ht="15.75" customHeight="1" s="372"/>
    <row r="142" ht="15.75" customHeight="1" s="372"/>
    <row r="143" ht="15.75" customHeight="1" s="372"/>
    <row r="144" ht="15.75" customHeight="1" s="372"/>
    <row r="145" ht="15.75" customHeight="1" s="372"/>
    <row r="146" ht="15.75" customHeight="1" s="372"/>
    <row r="147" ht="15.75" customHeight="1" s="372"/>
    <row r="148" ht="15.75" customHeight="1" s="372"/>
    <row r="149" ht="15.75" customHeight="1" s="372"/>
    <row r="150" ht="15.75" customHeight="1" s="372"/>
    <row r="151" ht="15.75" customHeight="1" s="372"/>
    <row r="152" ht="15.75" customHeight="1" s="372"/>
    <row r="153" ht="15.75" customHeight="1" s="372"/>
    <row r="154" ht="15.75" customHeight="1" s="372"/>
    <row r="155" ht="15.75" customHeight="1" s="372"/>
    <row r="156" ht="15.75" customHeight="1" s="372"/>
    <row r="157" ht="15.75" customHeight="1" s="372"/>
    <row r="158" ht="15.75" customHeight="1" s="372"/>
    <row r="159" ht="15.75" customHeight="1" s="372"/>
    <row r="160" ht="15.75" customHeight="1" s="372"/>
    <row r="161" ht="15.75" customHeight="1" s="372"/>
    <row r="162" ht="15.75" customHeight="1" s="372"/>
    <row r="163" ht="15.75" customHeight="1" s="372"/>
    <row r="164" ht="15.75" customHeight="1" s="372"/>
    <row r="165" ht="15.75" customHeight="1" s="372"/>
    <row r="166" ht="15.75" customHeight="1" s="372"/>
    <row r="167" ht="15.75" customHeight="1" s="372"/>
    <row r="168" ht="15.75" customHeight="1" s="372"/>
    <row r="169" ht="15.75" customHeight="1" s="372"/>
    <row r="170" ht="15.75" customHeight="1" s="372"/>
    <row r="171" ht="15.75" customHeight="1" s="372"/>
    <row r="172" ht="15.75" customHeight="1" s="372"/>
    <row r="173" ht="15.75" customHeight="1" s="372"/>
    <row r="174" ht="15.75" customHeight="1" s="372"/>
    <row r="175" ht="15.75" customHeight="1" s="372"/>
    <row r="176" ht="15.75" customHeight="1" s="372"/>
    <row r="177" ht="15.75" customHeight="1" s="372"/>
    <row r="178" ht="15.75" customHeight="1" s="372"/>
    <row r="179" ht="15.75" customHeight="1" s="372"/>
    <row r="180" ht="15.75" customHeight="1" s="372"/>
    <row r="181" ht="15.75" customHeight="1" s="372"/>
    <row r="182" ht="15.75" customHeight="1" s="372"/>
    <row r="183" ht="15.75" customHeight="1" s="372"/>
    <row r="184" ht="15.75" customHeight="1" s="372"/>
    <row r="185" ht="15.75" customHeight="1" s="372"/>
    <row r="186" ht="15.75" customHeight="1" s="372"/>
    <row r="187" ht="15.75" customHeight="1" s="372"/>
    <row r="188" ht="15.75" customHeight="1" s="372"/>
    <row r="189" ht="15.75" customHeight="1" s="372"/>
    <row r="190" ht="15.75" customHeight="1" s="372"/>
    <row r="191" ht="15.75" customHeight="1" s="372"/>
    <row r="192" ht="15.75" customHeight="1" s="372"/>
    <row r="193" ht="15.75" customHeight="1" s="372"/>
    <row r="194" ht="15.75" customHeight="1" s="372"/>
    <row r="195" ht="15.75" customHeight="1" s="372"/>
    <row r="196" ht="15.75" customHeight="1" s="372"/>
    <row r="197" ht="15.75" customHeight="1" s="372"/>
    <row r="198" ht="15.75" customHeight="1" s="372"/>
    <row r="199" ht="15.75" customHeight="1" s="372"/>
    <row r="200" ht="15.75" customHeight="1" s="372"/>
    <row r="201" ht="15.75" customHeight="1" s="372"/>
    <row r="202" ht="15.75" customHeight="1" s="372"/>
    <row r="203" ht="15.75" customHeight="1" s="372"/>
    <row r="204" ht="15.75" customHeight="1" s="372"/>
    <row r="205" ht="15.75" customHeight="1" s="372"/>
    <row r="206" ht="15.75" customHeight="1" s="372"/>
    <row r="207" ht="15.75" customHeight="1" s="372"/>
    <row r="208" ht="15.75" customHeight="1" s="372"/>
    <row r="209" ht="15.75" customHeight="1" s="372"/>
    <row r="210" ht="15.75" customHeight="1" s="372"/>
    <row r="211" ht="15.75" customHeight="1" s="372"/>
    <row r="212" ht="15.75" customHeight="1" s="372"/>
    <row r="213" ht="15.75" customHeight="1" s="372"/>
    <row r="214" ht="15.75" customHeight="1" s="372"/>
    <row r="215" ht="15.75" customHeight="1" s="372"/>
    <row r="216" ht="15.75" customHeight="1" s="372"/>
    <row r="217" ht="15.75" customHeight="1" s="372"/>
    <row r="218" ht="15.75" customHeight="1" s="372"/>
    <row r="219" ht="15.75" customHeight="1" s="372"/>
    <row r="220" ht="15.75" customHeight="1" s="372"/>
    <row r="221" ht="15.75" customHeight="1" s="372"/>
    <row r="222" ht="15.75" customHeight="1" s="372"/>
    <row r="223" ht="15.75" customHeight="1" s="372"/>
    <row r="224" ht="15.75" customHeight="1" s="372"/>
    <row r="225" ht="15.75" customHeight="1" s="372"/>
    <row r="226" ht="15.75" customHeight="1" s="372"/>
    <row r="227" ht="15.75" customHeight="1" s="372"/>
    <row r="228" ht="15.75" customHeight="1" s="372"/>
    <row r="229" ht="15.75" customHeight="1" s="372"/>
    <row r="230" ht="15.75" customHeight="1" s="372"/>
    <row r="231" ht="15.75" customHeight="1" s="372"/>
    <row r="232" ht="15.75" customHeight="1" s="372"/>
    <row r="233" ht="15.75" customHeight="1" s="372"/>
    <row r="234" ht="15.75" customHeight="1" s="372"/>
    <row r="235" ht="15.75" customHeight="1" s="372"/>
    <row r="236" ht="15.75" customHeight="1" s="372"/>
    <row r="237" ht="15.75" customHeight="1" s="372"/>
    <row r="238" ht="15.75" customHeight="1" s="372"/>
    <row r="239" ht="15.75" customHeight="1" s="372"/>
    <row r="240" ht="15.75" customHeight="1" s="372"/>
    <row r="241" ht="15.75" customHeight="1" s="372"/>
    <row r="242" ht="15.75" customHeight="1" s="372"/>
    <row r="243" ht="15.75" customHeight="1" s="372"/>
    <row r="244" ht="15.75" customHeight="1" s="372"/>
    <row r="245" ht="15.75" customHeight="1" s="372"/>
    <row r="246" ht="15.75" customHeight="1" s="372"/>
    <row r="247" ht="15.75" customHeight="1" s="372"/>
    <row r="248" ht="15.75" customHeight="1" s="372"/>
    <row r="249" ht="15.75" customHeight="1" s="372"/>
    <row r="250" ht="15.75" customHeight="1" s="372"/>
    <row r="251" ht="15.75" customHeight="1" s="372"/>
    <row r="252" ht="15.75" customHeight="1" s="372"/>
    <row r="253" ht="15.75" customHeight="1" s="372"/>
    <row r="254" ht="15.75" customHeight="1" s="372"/>
    <row r="255" ht="15.75" customHeight="1" s="372"/>
    <row r="256" ht="15.75" customHeight="1" s="372"/>
    <row r="257" ht="15.75" customHeight="1" s="372"/>
    <row r="258" ht="15.75" customHeight="1" s="372"/>
    <row r="259" ht="15.75" customHeight="1" s="372"/>
    <row r="260" ht="15.75" customHeight="1" s="372"/>
    <row r="261" ht="15.75" customHeight="1" s="372"/>
    <row r="262" ht="15.75" customHeight="1" s="372"/>
    <row r="263" ht="15.75" customHeight="1" s="372"/>
    <row r="264" ht="15.75" customHeight="1" s="372"/>
    <row r="265" ht="15.75" customHeight="1" s="372"/>
    <row r="266" ht="15.75" customHeight="1" s="372"/>
    <row r="267" ht="15.75" customHeight="1" s="372"/>
    <row r="268" ht="15.75" customHeight="1" s="372"/>
    <row r="269" ht="15.75" customHeight="1" s="372"/>
    <row r="270" ht="15.75" customHeight="1" s="372"/>
    <row r="271" ht="15.75" customHeight="1" s="372"/>
    <row r="272" ht="15.75" customHeight="1" s="372"/>
    <row r="273" ht="15.75" customHeight="1" s="372"/>
    <row r="274" ht="15.75" customHeight="1" s="372"/>
    <row r="275" ht="15.75" customHeight="1" s="372"/>
    <row r="276" ht="15.75" customHeight="1" s="372"/>
    <row r="277" ht="15.75" customHeight="1" s="372"/>
    <row r="278" ht="15.75" customHeight="1" s="372"/>
    <row r="279" ht="15.75" customHeight="1" s="372"/>
    <row r="280" ht="15.75" customHeight="1" s="372"/>
    <row r="281" ht="15.75" customHeight="1" s="372"/>
    <row r="282" ht="15.75" customHeight="1" s="372"/>
    <row r="283" ht="15.75" customHeight="1" s="372"/>
    <row r="284" ht="15.75" customHeight="1" s="372"/>
    <row r="285" ht="15.75" customHeight="1" s="372"/>
    <row r="286" ht="15.75" customHeight="1" s="372"/>
    <row r="287" ht="15.75" customHeight="1" s="372"/>
    <row r="288" ht="15.75" customHeight="1" s="372"/>
    <row r="289" ht="15.75" customHeight="1" s="372"/>
    <row r="290" ht="15.75" customHeight="1" s="372"/>
    <row r="291" ht="15.75" customHeight="1" s="372"/>
    <row r="292" ht="15.75" customHeight="1" s="372"/>
    <row r="293" ht="15.75" customHeight="1" s="372"/>
    <row r="294" ht="15.75" customHeight="1" s="372"/>
    <row r="295" ht="15.75" customHeight="1" s="372"/>
    <row r="296" ht="15.75" customHeight="1" s="372"/>
    <row r="297" ht="15.75" customHeight="1" s="372"/>
    <row r="298" ht="15.75" customHeight="1" s="372"/>
    <row r="299" ht="15.75" customHeight="1" s="372"/>
    <row r="300" ht="15.75" customHeight="1" s="372"/>
    <row r="301" ht="15.75" customHeight="1" s="372"/>
    <row r="302" ht="15.75" customHeight="1" s="372"/>
    <row r="303" ht="15.75" customHeight="1" s="372"/>
    <row r="304" ht="15.75" customHeight="1" s="372"/>
    <row r="305" ht="15.75" customHeight="1" s="372"/>
    <row r="306" ht="15.75" customHeight="1" s="372"/>
    <row r="307" ht="15.75" customHeight="1" s="372"/>
    <row r="308" ht="15.75" customHeight="1" s="372"/>
    <row r="309" ht="15.75" customHeight="1" s="372"/>
    <row r="310" ht="15.75" customHeight="1" s="372"/>
    <row r="311" ht="15.75" customHeight="1" s="372"/>
    <row r="312" ht="15.75" customHeight="1" s="372"/>
    <row r="313" ht="15.75" customHeight="1" s="372"/>
    <row r="314" ht="15.75" customHeight="1" s="372"/>
    <row r="315" ht="15.75" customHeight="1" s="372"/>
    <row r="316" ht="15.75" customHeight="1" s="372"/>
    <row r="317" ht="15.75" customHeight="1" s="372"/>
    <row r="318" ht="15.75" customHeight="1" s="372"/>
    <row r="319" ht="15.75" customHeight="1" s="372"/>
    <row r="320" ht="15.75" customHeight="1" s="372"/>
    <row r="321" ht="15.75" customHeight="1" s="372"/>
    <row r="322" ht="15.75" customHeight="1" s="372"/>
    <row r="323" ht="15.75" customHeight="1" s="372"/>
    <row r="324" ht="15.75" customHeight="1" s="372"/>
    <row r="325" ht="15.75" customHeight="1" s="372"/>
    <row r="326" ht="15.75" customHeight="1" s="372"/>
    <row r="327" ht="15.75" customHeight="1" s="372"/>
    <row r="328" ht="15.75" customHeight="1" s="372"/>
    <row r="329" ht="15.75" customHeight="1" s="372"/>
    <row r="330" ht="15.75" customHeight="1" s="372"/>
    <row r="331" ht="15.75" customHeight="1" s="372"/>
    <row r="332" ht="15.75" customHeight="1" s="372"/>
    <row r="333" ht="15.75" customHeight="1" s="372"/>
    <row r="334" ht="15.75" customHeight="1" s="372"/>
    <row r="335" ht="15.75" customHeight="1" s="372"/>
    <row r="336" ht="15.75" customHeight="1" s="372"/>
    <row r="337" ht="15.75" customHeight="1" s="372"/>
    <row r="338" ht="15.75" customHeight="1" s="372"/>
    <row r="339" ht="15.75" customHeight="1" s="372"/>
    <row r="340" ht="15.75" customHeight="1" s="372"/>
    <row r="341" ht="15.75" customHeight="1" s="372"/>
    <row r="342" ht="15.75" customHeight="1" s="372"/>
    <row r="343" ht="15.75" customHeight="1" s="372"/>
    <row r="344" ht="15.75" customHeight="1" s="372"/>
    <row r="345" ht="15.75" customHeight="1" s="372"/>
    <row r="346" ht="15.75" customHeight="1" s="372"/>
    <row r="347" ht="15.75" customHeight="1" s="372"/>
    <row r="348" ht="15.75" customHeight="1" s="372"/>
    <row r="349" ht="15.75" customHeight="1" s="372"/>
    <row r="350" ht="15.75" customHeight="1" s="372"/>
    <row r="351" ht="15.75" customHeight="1" s="372"/>
    <row r="352" ht="15.75" customHeight="1" s="372"/>
    <row r="353" ht="15.75" customHeight="1" s="372"/>
    <row r="354" ht="15.75" customHeight="1" s="372"/>
    <row r="355" ht="15.75" customHeight="1" s="372"/>
    <row r="356" ht="15.75" customHeight="1" s="372"/>
    <row r="357" ht="15.75" customHeight="1" s="372"/>
    <row r="358" ht="15.75" customHeight="1" s="372"/>
    <row r="359" ht="15.75" customHeight="1" s="372"/>
    <row r="360" ht="15.75" customHeight="1" s="372"/>
    <row r="361" ht="15.75" customHeight="1" s="372"/>
    <row r="362" ht="15.75" customHeight="1" s="372"/>
    <row r="363" ht="15.75" customHeight="1" s="372"/>
    <row r="364" ht="15.75" customHeight="1" s="372"/>
    <row r="365" ht="15.75" customHeight="1" s="372"/>
    <row r="366" ht="15.75" customHeight="1" s="372"/>
    <row r="367" ht="15.75" customHeight="1" s="372"/>
    <row r="368" ht="15.75" customHeight="1" s="372"/>
    <row r="369" ht="15.75" customHeight="1" s="372"/>
    <row r="370" ht="15.75" customHeight="1" s="372"/>
    <row r="371" ht="15.75" customHeight="1" s="372"/>
    <row r="372" ht="15.75" customHeight="1" s="372"/>
    <row r="373" ht="15.75" customHeight="1" s="372"/>
    <row r="374" ht="15.75" customHeight="1" s="372"/>
    <row r="375" ht="15.75" customHeight="1" s="372"/>
    <row r="376" ht="15.75" customHeight="1" s="372"/>
    <row r="377" ht="15.75" customHeight="1" s="372"/>
    <row r="378" ht="15.75" customHeight="1" s="372"/>
    <row r="379" ht="15.75" customHeight="1" s="372"/>
    <row r="380" ht="15.75" customHeight="1" s="372"/>
    <row r="381" ht="15.75" customHeight="1" s="372"/>
    <row r="382" ht="15.75" customHeight="1" s="372"/>
    <row r="383" ht="15.75" customHeight="1" s="372"/>
    <row r="384" ht="15.75" customHeight="1" s="372"/>
    <row r="385" ht="15.75" customHeight="1" s="372"/>
    <row r="386" ht="15.75" customHeight="1" s="372"/>
    <row r="387" ht="15.75" customHeight="1" s="372"/>
    <row r="388" ht="15.75" customHeight="1" s="372"/>
    <row r="389" ht="15.75" customHeight="1" s="372"/>
    <row r="390" ht="15.75" customHeight="1" s="372"/>
    <row r="391" ht="15.75" customHeight="1" s="372"/>
    <row r="392" ht="15.75" customHeight="1" s="372"/>
    <row r="393" ht="15.75" customHeight="1" s="372"/>
    <row r="394" ht="15.75" customHeight="1" s="372"/>
    <row r="395" ht="15.75" customHeight="1" s="372"/>
    <row r="396" ht="15.75" customHeight="1" s="372"/>
    <row r="397" ht="15.75" customHeight="1" s="372"/>
    <row r="398" ht="15.75" customHeight="1" s="372"/>
    <row r="399" ht="15.75" customHeight="1" s="372"/>
    <row r="400" ht="15.75" customHeight="1" s="372"/>
    <row r="401" ht="15.75" customHeight="1" s="372"/>
    <row r="402" ht="15.75" customHeight="1" s="372"/>
    <row r="403" ht="15.75" customHeight="1" s="372"/>
    <row r="404" ht="15.75" customHeight="1" s="372"/>
    <row r="405" ht="15.75" customHeight="1" s="372"/>
    <row r="406" ht="15.75" customHeight="1" s="372"/>
    <row r="407" ht="15.75" customHeight="1" s="372"/>
    <row r="408" ht="15.75" customHeight="1" s="372"/>
    <row r="409" ht="15.75" customHeight="1" s="372"/>
    <row r="410" ht="15.75" customHeight="1" s="372"/>
    <row r="411" ht="15.75" customHeight="1" s="372"/>
    <row r="412" ht="15.75" customHeight="1" s="372"/>
    <row r="413" ht="15.75" customHeight="1" s="372"/>
    <row r="414" ht="15.75" customHeight="1" s="372"/>
    <row r="415" ht="15.75" customHeight="1" s="372"/>
    <row r="416" ht="15.75" customHeight="1" s="372"/>
    <row r="417" ht="15.75" customHeight="1" s="372"/>
    <row r="418" ht="15.75" customHeight="1" s="372"/>
    <row r="419" ht="15.75" customHeight="1" s="372"/>
    <row r="420" ht="15.75" customHeight="1" s="372"/>
    <row r="421" ht="15.75" customHeight="1" s="372"/>
    <row r="422" ht="15.75" customHeight="1" s="372"/>
    <row r="423" ht="15.75" customHeight="1" s="372"/>
    <row r="424" ht="15.75" customHeight="1" s="372"/>
    <row r="425" ht="15.75" customHeight="1" s="372"/>
    <row r="426" ht="15.75" customHeight="1" s="372"/>
    <row r="427" ht="15.75" customHeight="1" s="372"/>
    <row r="428" ht="15.75" customHeight="1" s="372"/>
    <row r="429" ht="15.75" customHeight="1" s="372"/>
    <row r="430" ht="15.75" customHeight="1" s="372"/>
    <row r="431" ht="15.75" customHeight="1" s="372"/>
    <row r="432" ht="15.75" customHeight="1" s="372"/>
    <row r="433" ht="15.75" customHeight="1" s="372"/>
    <row r="434" ht="15.75" customHeight="1" s="372"/>
    <row r="435" ht="15.75" customHeight="1" s="372"/>
    <row r="436" ht="15.75" customHeight="1" s="372"/>
    <row r="437" ht="15.75" customHeight="1" s="372"/>
    <row r="438" ht="15.75" customHeight="1" s="372"/>
    <row r="439" ht="15.75" customHeight="1" s="372"/>
    <row r="440" ht="15.75" customHeight="1" s="372"/>
    <row r="441" ht="15.75" customHeight="1" s="372"/>
    <row r="442" ht="15.75" customHeight="1" s="372"/>
    <row r="443" ht="15.75" customHeight="1" s="372"/>
    <row r="444" ht="15.75" customHeight="1" s="372"/>
    <row r="445" ht="15.75" customHeight="1" s="372"/>
    <row r="446" ht="15.75" customHeight="1" s="372"/>
    <row r="447" ht="15.75" customHeight="1" s="372"/>
    <row r="448" ht="15.75" customHeight="1" s="372"/>
    <row r="449" ht="15.75" customHeight="1" s="372"/>
    <row r="450" ht="15.75" customHeight="1" s="372"/>
    <row r="451" ht="15.75" customHeight="1" s="372"/>
    <row r="452" ht="15.75" customHeight="1" s="372"/>
    <row r="453" ht="15.75" customHeight="1" s="372"/>
    <row r="454" ht="15.75" customHeight="1" s="372"/>
    <row r="455" ht="15.75" customHeight="1" s="372"/>
    <row r="456" ht="15.75" customHeight="1" s="372"/>
    <row r="457" ht="15.75" customHeight="1" s="372"/>
    <row r="458" ht="15.75" customHeight="1" s="372"/>
    <row r="459" ht="15.75" customHeight="1" s="372"/>
    <row r="460" ht="15.75" customHeight="1" s="372"/>
    <row r="461" ht="15.75" customHeight="1" s="372"/>
    <row r="462" ht="15.75" customHeight="1" s="372"/>
    <row r="463" ht="15.75" customHeight="1" s="372"/>
    <row r="464" ht="15.75" customHeight="1" s="372"/>
    <row r="465" ht="15.75" customHeight="1" s="372"/>
    <row r="466" ht="15.75" customHeight="1" s="372"/>
    <row r="467" ht="15.75" customHeight="1" s="372"/>
    <row r="468" ht="15.75" customHeight="1" s="372"/>
    <row r="469" ht="15.75" customHeight="1" s="372"/>
    <row r="470" ht="15.75" customHeight="1" s="372"/>
    <row r="471" ht="15.75" customHeight="1" s="372"/>
    <row r="472" ht="15.75" customHeight="1" s="372"/>
    <row r="473" ht="15.75" customHeight="1" s="372"/>
    <row r="474" ht="15.75" customHeight="1" s="372"/>
    <row r="475" ht="15.75" customHeight="1" s="372"/>
    <row r="476" ht="15.75" customHeight="1" s="372"/>
    <row r="477" ht="15.75" customHeight="1" s="372"/>
    <row r="478" ht="15.75" customHeight="1" s="372"/>
    <row r="479" ht="15.75" customHeight="1" s="372"/>
    <row r="480" ht="15.75" customHeight="1" s="372"/>
    <row r="481" ht="15.75" customHeight="1" s="372"/>
    <row r="482" ht="15.75" customHeight="1" s="372"/>
    <row r="483" ht="15.75" customHeight="1" s="372"/>
    <row r="484" ht="15.75" customHeight="1" s="372"/>
    <row r="485" ht="15.75" customHeight="1" s="372"/>
    <row r="486" ht="15.75" customHeight="1" s="372"/>
    <row r="487" ht="15.75" customHeight="1" s="372"/>
    <row r="488" ht="15.75" customHeight="1" s="372"/>
    <row r="489" ht="15.75" customHeight="1" s="372"/>
    <row r="490" ht="15.75" customHeight="1" s="372"/>
    <row r="491" ht="15.75" customHeight="1" s="372"/>
    <row r="492" ht="15.75" customHeight="1" s="372"/>
    <row r="493" ht="15.75" customHeight="1" s="372"/>
    <row r="494" ht="15.75" customHeight="1" s="372"/>
    <row r="495" ht="15.75" customHeight="1" s="372"/>
    <row r="496" ht="15.75" customHeight="1" s="372"/>
    <row r="497" ht="15.75" customHeight="1" s="372"/>
    <row r="498" ht="15.75" customHeight="1" s="372"/>
    <row r="499" ht="15.75" customHeight="1" s="372"/>
    <row r="500" ht="15.75" customHeight="1" s="372"/>
    <row r="501" ht="15.75" customHeight="1" s="372"/>
    <row r="502" ht="15.75" customHeight="1" s="372"/>
    <row r="503" ht="15.75" customHeight="1" s="372"/>
    <row r="504" ht="15.75" customHeight="1" s="372"/>
    <row r="505" ht="15.75" customHeight="1" s="372"/>
    <row r="506" ht="15.75" customHeight="1" s="372"/>
    <row r="507" ht="15.75" customHeight="1" s="372"/>
    <row r="508" ht="15.75" customHeight="1" s="372"/>
    <row r="509" ht="15.75" customHeight="1" s="372"/>
    <row r="510" ht="15.75" customHeight="1" s="372"/>
    <row r="511" ht="15.75" customHeight="1" s="372"/>
    <row r="512" ht="15.75" customHeight="1" s="372"/>
    <row r="513" ht="15.75" customHeight="1" s="372"/>
    <row r="514" ht="15.75" customHeight="1" s="372"/>
    <row r="515" ht="15.75" customHeight="1" s="372"/>
    <row r="516" ht="15.75" customHeight="1" s="372"/>
    <row r="517" ht="15.75" customHeight="1" s="372"/>
    <row r="518" ht="15.75" customHeight="1" s="372"/>
    <row r="519" ht="15.75" customHeight="1" s="372"/>
    <row r="520" ht="15.75" customHeight="1" s="372"/>
    <row r="521" ht="15.75" customHeight="1" s="372"/>
    <row r="522" ht="15.75" customHeight="1" s="372"/>
    <row r="523" ht="15.75" customHeight="1" s="372"/>
    <row r="524" ht="15.75" customHeight="1" s="372"/>
    <row r="525" ht="15.75" customHeight="1" s="372"/>
    <row r="526" ht="15.75" customHeight="1" s="372"/>
    <row r="527" ht="15.75" customHeight="1" s="372"/>
    <row r="528" ht="15.75" customHeight="1" s="372"/>
    <row r="529" ht="15.75" customHeight="1" s="372"/>
    <row r="530" ht="15.75" customHeight="1" s="372"/>
    <row r="531" ht="15.75" customHeight="1" s="372"/>
    <row r="532" ht="15.75" customHeight="1" s="372"/>
    <row r="533" ht="15.75" customHeight="1" s="372"/>
    <row r="534" ht="15.75" customHeight="1" s="372"/>
    <row r="535" ht="15.75" customHeight="1" s="372"/>
    <row r="536" ht="15.75" customHeight="1" s="372"/>
    <row r="537" ht="15.75" customHeight="1" s="372"/>
    <row r="538" ht="15.75" customHeight="1" s="372"/>
    <row r="539" ht="15.75" customHeight="1" s="372"/>
    <row r="540" ht="15.75" customHeight="1" s="372"/>
    <row r="541" ht="15.75" customHeight="1" s="372"/>
    <row r="542" ht="15.75" customHeight="1" s="372"/>
    <row r="543" ht="15.75" customHeight="1" s="372"/>
    <row r="544" ht="15.75" customHeight="1" s="372"/>
    <row r="545" ht="15.75" customHeight="1" s="372"/>
    <row r="546" ht="15.75" customHeight="1" s="372"/>
    <row r="547" ht="15.75" customHeight="1" s="372"/>
    <row r="548" ht="15.75" customHeight="1" s="372"/>
    <row r="549" ht="15.75" customHeight="1" s="372"/>
    <row r="550" ht="15.75" customHeight="1" s="372"/>
    <row r="551" ht="15.75" customHeight="1" s="372"/>
    <row r="552" ht="15.75" customHeight="1" s="372"/>
    <row r="553" ht="15.75" customHeight="1" s="372"/>
    <row r="554" ht="15.75" customHeight="1" s="372"/>
    <row r="555" ht="15.75" customHeight="1" s="372"/>
    <row r="556" ht="15.75" customHeight="1" s="372"/>
    <row r="557" ht="15.75" customHeight="1" s="372"/>
    <row r="558" ht="15.75" customHeight="1" s="372"/>
    <row r="559" ht="15.75" customHeight="1" s="372"/>
    <row r="560" ht="15.75" customHeight="1" s="372"/>
    <row r="561" ht="15.75" customHeight="1" s="372"/>
    <row r="562" ht="15.75" customHeight="1" s="372"/>
    <row r="563" ht="15.75" customHeight="1" s="372"/>
    <row r="564" ht="15.75" customHeight="1" s="372"/>
    <row r="565" ht="15.75" customHeight="1" s="372"/>
    <row r="566" ht="15.75" customHeight="1" s="372"/>
    <row r="567" ht="15.75" customHeight="1" s="372"/>
    <row r="568" ht="15.75" customHeight="1" s="372"/>
    <row r="569" ht="15.75" customHeight="1" s="372"/>
    <row r="570" ht="15.75" customHeight="1" s="372"/>
    <row r="571" ht="15.75" customHeight="1" s="372"/>
    <row r="572" ht="15.75" customHeight="1" s="372"/>
    <row r="573" ht="15.75" customHeight="1" s="372"/>
    <row r="574" ht="15.75" customHeight="1" s="372"/>
    <row r="575" ht="15.75" customHeight="1" s="372"/>
    <row r="576" ht="15.75" customHeight="1" s="372"/>
    <row r="577" ht="15.75" customHeight="1" s="372"/>
    <row r="578" ht="15.75" customHeight="1" s="372"/>
    <row r="579" ht="15.75" customHeight="1" s="372"/>
    <row r="580" ht="15.75" customHeight="1" s="372"/>
    <row r="581" ht="15.75" customHeight="1" s="372"/>
    <row r="582" ht="15.75" customHeight="1" s="372"/>
    <row r="583" ht="15.75" customHeight="1" s="372"/>
    <row r="584" ht="15.75" customHeight="1" s="372"/>
    <row r="585" ht="15.75" customHeight="1" s="372"/>
    <row r="586" ht="15.75" customHeight="1" s="372"/>
    <row r="587" ht="15.75" customHeight="1" s="372"/>
    <row r="588" ht="15.75" customHeight="1" s="372"/>
    <row r="589" ht="15.75" customHeight="1" s="372"/>
    <row r="590" ht="15.75" customHeight="1" s="372"/>
    <row r="591" ht="15.75" customHeight="1" s="372"/>
    <row r="592" ht="15.75" customHeight="1" s="372"/>
    <row r="593" ht="15.75" customHeight="1" s="372"/>
    <row r="594" ht="15.75" customHeight="1" s="372"/>
    <row r="595" ht="15.75" customHeight="1" s="372"/>
    <row r="596" ht="15.75" customHeight="1" s="372"/>
    <row r="597" ht="15.75" customHeight="1" s="372"/>
    <row r="598" ht="15.75" customHeight="1" s="372"/>
    <row r="599" ht="15.75" customHeight="1" s="372"/>
    <row r="600" ht="15.75" customHeight="1" s="372"/>
    <row r="601" ht="15.75" customHeight="1" s="372"/>
    <row r="602" ht="15.75" customHeight="1" s="372"/>
    <row r="603" ht="15.75" customHeight="1" s="372"/>
    <row r="604" ht="15.75" customHeight="1" s="372"/>
    <row r="605" ht="15.75" customHeight="1" s="372"/>
    <row r="606" ht="15.75" customHeight="1" s="372"/>
    <row r="607" ht="15.75" customHeight="1" s="372"/>
    <row r="608" ht="15.75" customHeight="1" s="372"/>
    <row r="609" ht="15.75" customHeight="1" s="372"/>
    <row r="610" ht="15.75" customHeight="1" s="372"/>
    <row r="611" ht="15.75" customHeight="1" s="372"/>
    <row r="612" ht="15.75" customHeight="1" s="372"/>
    <row r="613" ht="15.75" customHeight="1" s="372"/>
    <row r="614" ht="15.75" customHeight="1" s="372"/>
    <row r="615" ht="15.75" customHeight="1" s="372"/>
    <row r="616" ht="15.75" customHeight="1" s="372"/>
    <row r="617" ht="15.75" customHeight="1" s="372"/>
    <row r="618" ht="15.75" customHeight="1" s="372"/>
    <row r="619" ht="15.75" customHeight="1" s="372"/>
    <row r="620" ht="15.75" customHeight="1" s="372"/>
    <row r="621" ht="15.75" customHeight="1" s="372"/>
    <row r="622" ht="15.75" customHeight="1" s="372"/>
    <row r="623" ht="15.75" customHeight="1" s="372"/>
    <row r="624" ht="15.75" customHeight="1" s="372"/>
    <row r="625" ht="15.75" customHeight="1" s="372"/>
    <row r="626" ht="15.75" customHeight="1" s="372"/>
    <row r="627" ht="15.75" customHeight="1" s="372"/>
    <row r="628" ht="15.75" customHeight="1" s="372"/>
    <row r="629" ht="15.75" customHeight="1" s="372"/>
    <row r="630" ht="15.75" customHeight="1" s="372"/>
    <row r="631" ht="15.75" customHeight="1" s="372"/>
    <row r="632" ht="15.75" customHeight="1" s="372"/>
    <row r="633" ht="15.75" customHeight="1" s="372"/>
    <row r="634" ht="15.75" customHeight="1" s="372"/>
    <row r="635" ht="15.75" customHeight="1" s="372"/>
    <row r="636" ht="15.75" customHeight="1" s="372"/>
    <row r="637" ht="15.75" customHeight="1" s="372"/>
    <row r="638" ht="15.75" customHeight="1" s="372"/>
    <row r="639" ht="15.75" customHeight="1" s="372"/>
    <row r="640" ht="15.75" customHeight="1" s="372"/>
    <row r="641" ht="15.75" customHeight="1" s="372"/>
    <row r="642" ht="15.75" customHeight="1" s="372"/>
    <row r="643" ht="15.75" customHeight="1" s="372"/>
    <row r="644" ht="15.75" customHeight="1" s="372"/>
    <row r="645" ht="15.75" customHeight="1" s="372"/>
    <row r="646" ht="15.75" customHeight="1" s="372"/>
    <row r="647" ht="15.75" customHeight="1" s="372"/>
    <row r="648" ht="15.75" customHeight="1" s="372"/>
    <row r="649" ht="15.75" customHeight="1" s="372"/>
    <row r="650" ht="15.75" customHeight="1" s="372"/>
    <row r="651" ht="15.75" customHeight="1" s="372"/>
    <row r="652" ht="15.75" customHeight="1" s="372"/>
    <row r="653" ht="15.75" customHeight="1" s="372"/>
    <row r="654" ht="15.75" customHeight="1" s="372"/>
    <row r="655" ht="15.75" customHeight="1" s="372"/>
    <row r="656" ht="15.75" customHeight="1" s="372"/>
    <row r="657" ht="15.75" customHeight="1" s="372"/>
    <row r="658" ht="15.75" customHeight="1" s="372"/>
    <row r="659" ht="15.75" customHeight="1" s="372"/>
    <row r="660" ht="15.75" customHeight="1" s="372"/>
    <row r="661" ht="15.75" customHeight="1" s="372"/>
    <row r="662" ht="15.75" customHeight="1" s="372"/>
    <row r="663" ht="15.75" customHeight="1" s="372"/>
    <row r="664" ht="15.75" customHeight="1" s="372"/>
    <row r="665" ht="15.75" customHeight="1" s="372"/>
    <row r="666" ht="15.75" customHeight="1" s="372"/>
    <row r="667" ht="15.75" customHeight="1" s="372"/>
    <row r="668" ht="15.75" customHeight="1" s="372"/>
    <row r="669" ht="15.75" customHeight="1" s="372"/>
    <row r="670" ht="15.75" customHeight="1" s="372"/>
    <row r="671" ht="15.75" customHeight="1" s="372"/>
    <row r="672" ht="15.75" customHeight="1" s="372"/>
    <row r="673" ht="15.75" customHeight="1" s="372"/>
    <row r="674" ht="15.75" customHeight="1" s="372"/>
    <row r="675" ht="15.75" customHeight="1" s="372"/>
    <row r="676" ht="15.75" customHeight="1" s="372"/>
    <row r="677" ht="15.75" customHeight="1" s="372"/>
    <row r="678" ht="15.75" customHeight="1" s="372"/>
    <row r="679" ht="15.75" customHeight="1" s="372"/>
    <row r="680" ht="15.75" customHeight="1" s="372"/>
    <row r="681" ht="15.75" customHeight="1" s="372"/>
    <row r="682" ht="15.75" customHeight="1" s="372"/>
    <row r="683" ht="15.75" customHeight="1" s="372"/>
    <row r="684" ht="15.75" customHeight="1" s="372"/>
    <row r="685" ht="15.75" customHeight="1" s="372"/>
    <row r="686" ht="15.75" customHeight="1" s="372"/>
    <row r="687" ht="15.75" customHeight="1" s="372"/>
    <row r="688" ht="15.75" customHeight="1" s="372"/>
    <row r="689" ht="15.75" customHeight="1" s="372"/>
    <row r="690" ht="15.75" customHeight="1" s="372"/>
    <row r="691" ht="15.75" customHeight="1" s="372"/>
    <row r="692" ht="15.75" customHeight="1" s="372"/>
    <row r="693" ht="15.75" customHeight="1" s="372"/>
    <row r="694" ht="15.75" customHeight="1" s="372"/>
    <row r="695" ht="15.75" customHeight="1" s="372"/>
    <row r="696" ht="15.75" customHeight="1" s="372"/>
    <row r="697" ht="15.75" customHeight="1" s="372"/>
    <row r="698" ht="15.75" customHeight="1" s="372"/>
    <row r="699" ht="15.75" customHeight="1" s="372"/>
    <row r="700" ht="15.75" customHeight="1" s="372"/>
    <row r="701" ht="15.75" customHeight="1" s="372"/>
    <row r="702" ht="15.75" customHeight="1" s="372"/>
    <row r="703" ht="15.75" customHeight="1" s="372"/>
    <row r="704" ht="15.75" customHeight="1" s="372"/>
    <row r="705" ht="15.75" customHeight="1" s="372"/>
    <row r="706" ht="15.75" customHeight="1" s="372"/>
    <row r="707" ht="15.75" customHeight="1" s="372"/>
    <row r="708" ht="15.75" customHeight="1" s="372"/>
    <row r="709" ht="15.75" customHeight="1" s="372"/>
    <row r="710" ht="15.75" customHeight="1" s="372"/>
    <row r="711" ht="15.75" customHeight="1" s="372"/>
    <row r="712" ht="15.75" customHeight="1" s="372"/>
    <row r="713" ht="15.75" customHeight="1" s="372"/>
    <row r="714" ht="15.75" customHeight="1" s="372"/>
    <row r="715" ht="15.75" customHeight="1" s="372"/>
    <row r="716" ht="15.75" customHeight="1" s="372"/>
    <row r="717" ht="15.75" customHeight="1" s="372"/>
    <row r="718" ht="15.75" customHeight="1" s="372"/>
    <row r="719" ht="15.75" customHeight="1" s="372"/>
    <row r="720" ht="15.75" customHeight="1" s="372"/>
    <row r="721" ht="15.75" customHeight="1" s="372"/>
    <row r="722" ht="15.75" customHeight="1" s="372"/>
    <row r="723" ht="15.75" customHeight="1" s="372"/>
    <row r="724" ht="15.75" customHeight="1" s="372"/>
    <row r="725" ht="15.75" customHeight="1" s="372"/>
    <row r="726" ht="15.75" customHeight="1" s="372"/>
    <row r="727" ht="15.75" customHeight="1" s="372"/>
    <row r="728" ht="15.75" customHeight="1" s="372"/>
    <row r="729" ht="15.75" customHeight="1" s="372"/>
    <row r="730" ht="15.75" customHeight="1" s="372"/>
    <row r="731" ht="15.75" customHeight="1" s="372"/>
    <row r="732" ht="15.75" customHeight="1" s="372"/>
    <row r="733" ht="15.75" customHeight="1" s="372"/>
    <row r="734" ht="15.75" customHeight="1" s="372"/>
    <row r="735" ht="15.75" customHeight="1" s="372"/>
    <row r="736" ht="15.75" customHeight="1" s="372"/>
    <row r="737" ht="15.75" customHeight="1" s="372"/>
    <row r="738" ht="15.75" customHeight="1" s="372"/>
    <row r="739" ht="15.75" customHeight="1" s="372"/>
    <row r="740" ht="15.75" customHeight="1" s="372"/>
    <row r="741" ht="15.75" customHeight="1" s="372"/>
    <row r="742" ht="15.75" customHeight="1" s="372"/>
    <row r="743" ht="15.75" customHeight="1" s="372"/>
    <row r="744" ht="15.75" customHeight="1" s="372"/>
    <row r="745" ht="15.75" customHeight="1" s="372"/>
    <row r="746" ht="15.75" customHeight="1" s="372"/>
    <row r="747" ht="15.75" customHeight="1" s="372"/>
    <row r="748" ht="15.75" customHeight="1" s="372"/>
    <row r="749" ht="15.75" customHeight="1" s="372"/>
    <row r="750" ht="15.75" customHeight="1" s="372"/>
    <row r="751" ht="15.75" customHeight="1" s="372"/>
    <row r="752" ht="15.75" customHeight="1" s="372"/>
    <row r="753" ht="15.75" customHeight="1" s="372"/>
    <row r="754" ht="15.75" customHeight="1" s="372"/>
    <row r="755" ht="15.75" customHeight="1" s="372"/>
    <row r="756" ht="15.75" customHeight="1" s="372"/>
    <row r="757" ht="15.75" customHeight="1" s="372"/>
    <row r="758" ht="15.75" customHeight="1" s="372"/>
    <row r="759" ht="15.75" customHeight="1" s="372"/>
    <row r="760" ht="15.75" customHeight="1" s="372"/>
    <row r="761" ht="15.75" customHeight="1" s="372"/>
    <row r="762" ht="15.75" customHeight="1" s="372"/>
    <row r="763" ht="15.75" customHeight="1" s="372"/>
    <row r="764" ht="15.75" customHeight="1" s="372"/>
    <row r="765" ht="15.75" customHeight="1" s="372"/>
    <row r="766" ht="15.75" customHeight="1" s="372"/>
    <row r="767" ht="15.75" customHeight="1" s="372"/>
    <row r="768" ht="15.75" customHeight="1" s="372"/>
    <row r="769" ht="15.75" customHeight="1" s="372"/>
    <row r="770" ht="15.75" customHeight="1" s="372"/>
    <row r="771" ht="15.75" customHeight="1" s="372"/>
    <row r="772" ht="15.75" customHeight="1" s="372"/>
    <row r="773" ht="15.75" customHeight="1" s="372"/>
    <row r="774" ht="15.75" customHeight="1" s="372"/>
    <row r="775" ht="15.75" customHeight="1" s="372"/>
    <row r="776" ht="15.75" customHeight="1" s="372"/>
    <row r="777" ht="15.75" customHeight="1" s="372"/>
    <row r="778" ht="15.75" customHeight="1" s="372"/>
    <row r="779" ht="15.75" customHeight="1" s="372"/>
    <row r="780" ht="15.75" customHeight="1" s="372"/>
    <row r="781" ht="15.75" customHeight="1" s="372"/>
    <row r="782" ht="15.75" customHeight="1" s="372"/>
    <row r="783" ht="15.75" customHeight="1" s="372"/>
    <row r="784" ht="15.75" customHeight="1" s="372"/>
    <row r="785" ht="15.75" customHeight="1" s="372"/>
    <row r="786" ht="15.75" customHeight="1" s="372"/>
    <row r="787" ht="15.75" customHeight="1" s="372"/>
    <row r="788" ht="15.75" customHeight="1" s="372"/>
    <row r="789" ht="15.75" customHeight="1" s="372"/>
    <row r="790" ht="15.75" customHeight="1" s="372"/>
    <row r="791" ht="15.75" customHeight="1" s="372"/>
    <row r="792" ht="15.75" customHeight="1" s="372"/>
    <row r="793" ht="15.75" customHeight="1" s="372"/>
    <row r="794" ht="15.75" customHeight="1" s="372"/>
    <row r="795" ht="15.75" customHeight="1" s="372"/>
    <row r="796" ht="15.75" customHeight="1" s="372"/>
    <row r="797" ht="15.75" customHeight="1" s="372"/>
    <row r="798" ht="15.75" customHeight="1" s="372"/>
    <row r="799" ht="15.75" customHeight="1" s="372"/>
    <row r="800" ht="15.75" customHeight="1" s="372"/>
    <row r="801" ht="15.75" customHeight="1" s="372"/>
    <row r="802" ht="15.75" customHeight="1" s="372"/>
    <row r="803" ht="15.75" customHeight="1" s="372"/>
    <row r="804" ht="15.75" customHeight="1" s="372"/>
    <row r="805" ht="15.75" customHeight="1" s="372"/>
    <row r="806" ht="15.75" customHeight="1" s="372"/>
    <row r="807" ht="15.75" customHeight="1" s="372"/>
    <row r="808" ht="15.75" customHeight="1" s="372"/>
    <row r="809" ht="15.75" customHeight="1" s="372"/>
    <row r="810" ht="15.75" customHeight="1" s="372"/>
    <row r="811" ht="15.75" customHeight="1" s="372"/>
    <row r="812" ht="15.75" customHeight="1" s="372"/>
    <row r="813" ht="15.75" customHeight="1" s="372"/>
    <row r="814" ht="15.75" customHeight="1" s="372"/>
    <row r="815" ht="15.75" customHeight="1" s="372"/>
    <row r="816" ht="15.75" customHeight="1" s="372"/>
    <row r="817" ht="15.75" customHeight="1" s="372"/>
    <row r="818" ht="15.75" customHeight="1" s="372"/>
    <row r="819" ht="15.75" customHeight="1" s="372"/>
    <row r="820" ht="15.75" customHeight="1" s="372"/>
    <row r="821" ht="15.75" customHeight="1" s="372"/>
    <row r="822" ht="15.75" customHeight="1" s="372"/>
    <row r="823" ht="15.75" customHeight="1" s="372"/>
    <row r="824" ht="15.75" customHeight="1" s="372"/>
    <row r="825" ht="15.75" customHeight="1" s="372"/>
    <row r="826" ht="15.75" customHeight="1" s="372"/>
    <row r="827" ht="15.75" customHeight="1" s="372"/>
    <row r="828" ht="15.75" customHeight="1" s="372"/>
    <row r="829" ht="15.75" customHeight="1" s="372"/>
    <row r="830" ht="15.75" customHeight="1" s="372"/>
    <row r="831" ht="15.75" customHeight="1" s="372"/>
    <row r="832" ht="15.75" customHeight="1" s="372"/>
    <row r="833" ht="15.75" customHeight="1" s="372"/>
    <row r="834" ht="15.75" customHeight="1" s="372"/>
    <row r="835" ht="15.75" customHeight="1" s="372"/>
    <row r="836" ht="15.75" customHeight="1" s="372"/>
    <row r="837" ht="15.75" customHeight="1" s="372"/>
    <row r="838" ht="15.75" customHeight="1" s="372"/>
    <row r="839" ht="15.75" customHeight="1" s="372"/>
    <row r="840" ht="15.75" customHeight="1" s="372"/>
    <row r="841" ht="15.75" customHeight="1" s="372"/>
    <row r="842" ht="15.75" customHeight="1" s="372"/>
    <row r="843" ht="15.75" customHeight="1" s="372"/>
    <row r="844" ht="15.75" customHeight="1" s="372"/>
    <row r="845" ht="15.75" customHeight="1" s="372"/>
    <row r="846" ht="15.75" customHeight="1" s="372"/>
    <row r="847" ht="15.75" customHeight="1" s="372"/>
    <row r="848" ht="15.75" customHeight="1" s="372"/>
    <row r="849" ht="15.75" customHeight="1" s="372"/>
    <row r="850" ht="15.75" customHeight="1" s="372"/>
    <row r="851" ht="15.75" customHeight="1" s="372"/>
    <row r="852" ht="15.75" customHeight="1" s="372"/>
    <row r="853" ht="15.75" customHeight="1" s="372"/>
    <row r="854" ht="15.75" customHeight="1" s="372"/>
    <row r="855" ht="15.75" customHeight="1" s="372"/>
    <row r="856" ht="15.75" customHeight="1" s="372"/>
    <row r="857" ht="15.75" customHeight="1" s="372"/>
    <row r="858" ht="15.75" customHeight="1" s="372"/>
    <row r="859" ht="15.75" customHeight="1" s="372"/>
    <row r="860" ht="15.75" customHeight="1" s="372"/>
    <row r="861" ht="15.75" customHeight="1" s="372"/>
    <row r="862" ht="15.75" customHeight="1" s="372"/>
    <row r="863" ht="15.75" customHeight="1" s="372"/>
    <row r="864" ht="15.75" customHeight="1" s="372"/>
    <row r="865" ht="15.75" customHeight="1" s="372"/>
    <row r="866" ht="15.75" customHeight="1" s="372"/>
    <row r="867" ht="15.75" customHeight="1" s="372"/>
    <row r="868" ht="15.75" customHeight="1" s="372"/>
    <row r="869" ht="15.75" customHeight="1" s="372"/>
    <row r="870" ht="15.75" customHeight="1" s="372"/>
    <row r="871" ht="15.75" customHeight="1" s="372"/>
    <row r="872" ht="15.75" customHeight="1" s="372"/>
    <row r="873" ht="15.75" customHeight="1" s="372"/>
    <row r="874" ht="15.75" customHeight="1" s="372"/>
    <row r="875" ht="15.75" customHeight="1" s="372"/>
    <row r="876" ht="15.75" customHeight="1" s="372"/>
    <row r="877" ht="15.75" customHeight="1" s="372"/>
    <row r="878" ht="15.75" customHeight="1" s="372"/>
    <row r="879" ht="15.75" customHeight="1" s="372"/>
    <row r="880" ht="15.75" customHeight="1" s="372"/>
    <row r="881" ht="15.75" customHeight="1" s="372"/>
    <row r="882" ht="15.75" customHeight="1" s="372"/>
    <row r="883" ht="15.75" customHeight="1" s="372"/>
    <row r="884" ht="15.75" customHeight="1" s="372"/>
    <row r="885" ht="15.75" customHeight="1" s="372"/>
    <row r="886" ht="15.75" customHeight="1" s="372"/>
    <row r="887" ht="15.75" customHeight="1" s="372"/>
    <row r="888" ht="15.75" customHeight="1" s="372"/>
    <row r="889" ht="15.75" customHeight="1" s="372"/>
    <row r="890" ht="15.75" customHeight="1" s="372"/>
    <row r="891" ht="15.75" customHeight="1" s="372"/>
    <row r="892" ht="15.75" customHeight="1" s="372"/>
    <row r="893" ht="15.75" customHeight="1" s="372"/>
    <row r="894" ht="15.75" customHeight="1" s="372"/>
    <row r="895" ht="15.75" customHeight="1" s="372"/>
    <row r="896" ht="15.75" customHeight="1" s="372"/>
    <row r="897" ht="15.75" customHeight="1" s="372"/>
    <row r="898" ht="15.75" customHeight="1" s="372"/>
    <row r="899" ht="15.75" customHeight="1" s="372"/>
    <row r="900" ht="15.75" customHeight="1" s="372"/>
    <row r="901" ht="15.75" customHeight="1" s="372"/>
    <row r="902" ht="15.75" customHeight="1" s="372"/>
    <row r="903" ht="15.75" customHeight="1" s="372"/>
    <row r="904" ht="15.75" customHeight="1" s="372"/>
    <row r="905" ht="15.75" customHeight="1" s="372"/>
    <row r="906" ht="15.75" customHeight="1" s="372"/>
    <row r="907" ht="15.75" customHeight="1" s="372"/>
    <row r="908" ht="15.75" customHeight="1" s="372"/>
    <row r="909" ht="15.75" customHeight="1" s="372"/>
    <row r="910" ht="15.75" customHeight="1" s="372"/>
    <row r="911" ht="15.75" customHeight="1" s="372"/>
    <row r="912" ht="15.75" customHeight="1" s="372"/>
    <row r="913" ht="15.75" customHeight="1" s="372"/>
    <row r="914" ht="15.75" customHeight="1" s="372"/>
    <row r="915" ht="15.75" customHeight="1" s="372"/>
    <row r="916" ht="15.75" customHeight="1" s="372"/>
    <row r="917" ht="15.75" customHeight="1" s="372"/>
    <row r="918" ht="15.75" customHeight="1" s="372"/>
    <row r="919" ht="15.75" customHeight="1" s="372"/>
    <row r="920" ht="15.75" customHeight="1" s="372"/>
    <row r="921" ht="15.75" customHeight="1" s="372"/>
    <row r="922" ht="15.75" customHeight="1" s="372"/>
    <row r="923" ht="15.75" customHeight="1" s="372"/>
    <row r="924" ht="15.75" customHeight="1" s="372"/>
    <row r="925" ht="15.75" customHeight="1" s="372"/>
    <row r="926" ht="15.75" customHeight="1" s="372"/>
    <row r="927" ht="15.75" customHeight="1" s="372"/>
    <row r="928" ht="15.75" customHeight="1" s="372"/>
    <row r="929" ht="15.75" customHeight="1" s="372"/>
    <row r="930" ht="15.75" customHeight="1" s="372"/>
    <row r="931" ht="15.75" customHeight="1" s="372"/>
    <row r="932" ht="15.75" customHeight="1" s="372"/>
    <row r="933" ht="15.75" customHeight="1" s="372"/>
    <row r="934" ht="15.75" customHeight="1" s="372"/>
    <row r="935" ht="15.75" customHeight="1" s="372"/>
    <row r="936" ht="15.75" customHeight="1" s="372"/>
    <row r="937" ht="15.75" customHeight="1" s="372"/>
    <row r="938" ht="15.75" customHeight="1" s="372"/>
    <row r="939" ht="15.75" customHeight="1" s="372"/>
    <row r="940" ht="15.75" customHeight="1" s="372"/>
    <row r="941" ht="15.75" customHeight="1" s="372"/>
    <row r="942" ht="15.75" customHeight="1" s="372"/>
    <row r="943" ht="15.75" customHeight="1" s="372"/>
    <row r="944" ht="15.75" customHeight="1" s="372"/>
    <row r="945" ht="15.75" customHeight="1" s="372"/>
    <row r="946" ht="15.75" customHeight="1" s="372"/>
    <row r="947" ht="15.75" customHeight="1" s="372"/>
    <row r="948" ht="15.75" customHeight="1" s="372"/>
    <row r="949" ht="15.75" customHeight="1" s="372"/>
    <row r="950" ht="15.75" customHeight="1" s="372"/>
    <row r="951" ht="15.75" customHeight="1" s="372"/>
    <row r="952" ht="15.75" customHeight="1" s="372"/>
    <row r="953" ht="15.75" customHeight="1" s="372"/>
    <row r="954" ht="15.75" customHeight="1" s="372"/>
    <row r="955" ht="15.75" customHeight="1" s="372"/>
    <row r="956" ht="15.75" customHeight="1" s="372"/>
    <row r="957" ht="15.75" customHeight="1" s="372"/>
    <row r="958" ht="15.75" customHeight="1" s="372"/>
    <row r="959" ht="15.75" customHeight="1" s="372"/>
    <row r="960" ht="15.75" customHeight="1" s="372"/>
    <row r="961" ht="15.75" customHeight="1" s="372"/>
    <row r="962" ht="15.75" customHeight="1" s="372"/>
    <row r="963" ht="15.75" customHeight="1" s="372"/>
    <row r="964" ht="15.75" customHeight="1" s="372"/>
    <row r="965" ht="15.75" customHeight="1" s="372"/>
    <row r="966" ht="15.75" customHeight="1" s="372"/>
    <row r="967" ht="15.75" customHeight="1" s="372"/>
    <row r="968" ht="15.75" customHeight="1" s="372"/>
    <row r="969" ht="15.75" customHeight="1" s="372"/>
    <row r="970" ht="15.75" customHeight="1" s="372"/>
    <row r="971" ht="15.75" customHeight="1" s="372"/>
    <row r="972" ht="15.75" customHeight="1" s="372"/>
    <row r="973" ht="15.75" customHeight="1" s="372"/>
    <row r="974" ht="15.75" customHeight="1" s="372"/>
    <row r="975" ht="15.75" customHeight="1" s="372"/>
    <row r="976" ht="15.75" customHeight="1" s="372"/>
    <row r="977" ht="15.75" customHeight="1" s="372"/>
    <row r="978" ht="15.75" customHeight="1" s="372"/>
    <row r="979" ht="15.75" customHeight="1" s="372"/>
    <row r="980" ht="15.75" customHeight="1" s="372"/>
    <row r="981" ht="15.75" customHeight="1" s="372"/>
    <row r="982" ht="15.75" customHeight="1" s="372"/>
    <row r="983" ht="15.75" customHeight="1" s="372"/>
    <row r="984" ht="15.75" customHeight="1" s="372"/>
    <row r="985" ht="15.75" customHeight="1" s="372"/>
    <row r="986" ht="15.75" customHeight="1" s="372"/>
    <row r="987" ht="15.75" customHeight="1" s="372"/>
    <row r="988" ht="15.75" customHeight="1" s="372"/>
    <row r="989" ht="15.75" customHeight="1" s="372"/>
    <row r="990" ht="15.75" customHeight="1" s="372"/>
    <row r="991" ht="15.75" customHeight="1" s="372"/>
    <row r="992" ht="15.75" customHeight="1" s="372"/>
    <row r="993" ht="15.75" customHeight="1" s="372"/>
    <row r="994" ht="15.75" customHeight="1" s="372"/>
    <row r="995" ht="15.75" customHeight="1" s="372"/>
    <row r="996" ht="15.75" customHeight="1" s="372"/>
    <row r="997" ht="15.75" customHeight="1" s="372"/>
    <row r="998" ht="15.75" customHeight="1" s="372"/>
    <row r="999" ht="15.75" customHeight="1" s="372"/>
    <row r="1000" ht="15.75" customHeight="1" s="372"/>
  </sheetData>
  <mergeCells count="8">
    <mergeCell ref="A21:B21"/>
    <mergeCell ref="A10:B10"/>
    <mergeCell ref="A5:B5"/>
    <mergeCell ref="A13:B13"/>
    <mergeCell ref="A1:B1"/>
    <mergeCell ref="A8:B8"/>
    <mergeCell ref="A3:B3"/>
    <mergeCell ref="A6:B6"/>
  </mergeCells>
  <pageMargins left="0.75" right="0.75" top="1" bottom="1" header="0" footer="0"/>
  <pageSetup orientation="portrait" paperSize="9"/>
</worksheet>
</file>

<file path=xl/worksheets/sheet2.xml><?xml version="1.0" encoding="utf-8"?>
<worksheet xmlns="http://schemas.openxmlformats.org/spreadsheetml/2006/main">
  <sheetPr>
    <tabColor rgb="FF2E7D32"/>
    <outlinePr summaryBelow="1" summaryRight="1"/>
    <pageSetUpPr/>
  </sheetPr>
  <dimension ref="A1:Z32"/>
  <sheetViews>
    <sheetView workbookViewId="0">
      <pane ySplit="5" topLeftCell="A6" activePane="bottomLeft" state="frozen"/>
      <selection pane="bottomLeft" activeCell="B7" sqref="B7"/>
    </sheetView>
  </sheetViews>
  <sheetFormatPr baseColWidth="8" defaultColWidth="14.43" defaultRowHeight="15" customHeight="1"/>
  <cols>
    <col width="12" customWidth="1" style="372" min="1" max="2"/>
    <col width="14" customWidth="1" style="372" min="3" max="3"/>
    <col width="10" customWidth="1" style="372" min="4" max="4"/>
    <col width="55" customWidth="1" style="372" min="5" max="5"/>
    <col width="8" customWidth="1" style="372" min="6" max="6"/>
    <col width="5" customWidth="1" style="372" min="7" max="12"/>
    <col width="28" customWidth="1" style="372" min="13" max="13"/>
    <col width="29.71" customWidth="1" style="372" min="14" max="14"/>
    <col width="12" customWidth="1" style="372" min="15" max="26"/>
  </cols>
  <sheetData>
    <row r="1" ht="39.75" customHeight="1" s="372">
      <c r="A1" s="157" t="inlineStr">
        <is>
          <t>INTERNSHIP LOG  |  7806 – School &amp; Community Relations  |  Semester 1</t>
        </is>
      </c>
    </row>
    <row r="2" ht="36" customHeight="1" s="372">
      <c r="A2" s="19" t="inlineStr">
        <is>
          <t>Name: Pat Example      Placement(s): Invented Elementary</t>
        </is>
      </c>
      <c r="B2" s="373" t="n"/>
      <c r="C2" s="373" t="n"/>
      <c r="D2" s="373" t="n"/>
      <c r="E2" s="21" t="inlineStr">
        <is>
          <t>Total Hours Logged</t>
        </is>
      </c>
      <c r="F2" s="373" t="n"/>
      <c r="G2" s="22">
        <f>SUM(F6:F200)</f>
        <v/>
      </c>
      <c r="H2" s="23" t="inlineStr">
        <is>
          <t>Remaining</t>
        </is>
      </c>
      <c r="I2" s="373" t="n"/>
      <c r="J2" s="24">
        <f>(32-G2)</f>
        <v/>
      </c>
    </row>
    <row r="3" ht="19.5" customHeight="1" s="372">
      <c r="A3" s="25" t="inlineStr">
        <is>
          <t>Hours by Competency (auto-calculated from your X marks below):</t>
        </is>
      </c>
      <c r="G3" s="26">
        <f>SUMIF($G$6:$G$200,"X",$F$6:$F$200)</f>
        <v/>
      </c>
      <c r="H3" s="27">
        <f>SUMIF($H$6:$H$200,"X",$F$6:$F$200)</f>
        <v/>
      </c>
      <c r="I3" s="28">
        <f>SUMIF($I$6:$I$200,"X",$F$6:$F$200)</f>
        <v/>
      </c>
      <c r="J3" s="29">
        <f>SUMIF($J$6:$J$200,"X",$F$6:$F$200)</f>
        <v/>
      </c>
      <c r="K3" s="30">
        <f>SUMIF($K$6:$K$200,"X",$F$6:$F$200)</f>
        <v/>
      </c>
      <c r="L3" s="31">
        <f>SUMIF($L$6:$L$200,"X",$F$6:$F$200)</f>
        <v/>
      </c>
      <c r="M3" s="32" t="inlineStr">
        <is>
          <t>← Competency hour totals</t>
        </is>
      </c>
    </row>
    <row r="4" ht="6" customHeight="1" s="372"/>
    <row r="5" ht="31.5" customHeight="1" s="372">
      <c r="A5" s="33" t="inlineStr">
        <is>
          <t>Type</t>
        </is>
      </c>
      <c r="B5" s="33" t="inlineStr">
        <is>
          <t>Date</t>
        </is>
      </c>
      <c r="C5" s="33" t="inlineStr">
        <is>
          <t>Location</t>
        </is>
      </c>
      <c r="D5" s="33" t="inlineStr">
        <is>
          <t>Role</t>
        </is>
      </c>
      <c r="E5" s="33" t="inlineStr">
        <is>
          <t>Experience Description</t>
        </is>
      </c>
      <c r="F5" s="33" t="inlineStr">
        <is>
          <t>Hrs</t>
        </is>
      </c>
      <c r="G5" s="34" t="inlineStr">
        <is>
          <t>①</t>
        </is>
      </c>
      <c r="H5" s="35" t="inlineStr">
        <is>
          <t>②</t>
        </is>
      </c>
      <c r="I5" s="36" t="inlineStr">
        <is>
          <t>③</t>
        </is>
      </c>
      <c r="J5" s="37" t="inlineStr">
        <is>
          <t>④</t>
        </is>
      </c>
      <c r="K5" s="38" t="inlineStr">
        <is>
          <t>⑤</t>
        </is>
      </c>
      <c r="L5" s="39" t="inlineStr">
        <is>
          <t>⑥</t>
        </is>
      </c>
      <c r="M5" s="33" t="inlineStr">
        <is>
          <t>Evidence / Notes</t>
        </is>
      </c>
      <c r="N5" s="40" t="inlineStr">
        <is>
          <t>Site name</t>
        </is>
      </c>
      <c r="O5" s="40" t="inlineStr">
        <is>
          <t>Completed</t>
        </is>
      </c>
    </row>
    <row r="6" ht="49.5" customHeight="1" s="372">
      <c r="A6" s="41" t="inlineStr">
        <is>
          <t>EMBEDDED</t>
        </is>
      </c>
      <c r="B6" s="42" t="n">
        <v>46189</v>
      </c>
      <c r="C6" s="43" t="inlineStr">
        <is>
          <t>Agency</t>
        </is>
      </c>
      <c r="D6" s="44" t="inlineStr">
        <is>
          <t>Participant</t>
        </is>
      </c>
      <c r="E6" s="45" t="inlineStr">
        <is>
          <t>Embedded Experience: Create a School-Community Profile: Work with school stakeholders (families, caregivers, and community members) to identify emerging trends and issues within the school community. Analyze the data collected and present findings to the school leadership team.</t>
        </is>
      </c>
      <c r="F6" s="46" t="n">
        <v>10</v>
      </c>
      <c r="G6" s="47" t="n"/>
      <c r="H6" s="48" t="n"/>
      <c r="I6" s="49" t="n"/>
      <c r="J6" s="50" t="inlineStr">
        <is>
          <t>X</t>
        </is>
      </c>
      <c r="K6" s="51" t="n"/>
      <c r="L6" s="52" t="n"/>
      <c r="M6" s="53" t="inlineStr">
        <is>
          <t>Submit: Class Assignment</t>
        </is>
      </c>
      <c r="N6" s="54" t="n"/>
      <c r="O6" s="54" t="inlineStr">
        <is>
          <t>Yes</t>
        </is>
      </c>
      <c r="P6" s="54" t="n"/>
      <c r="Q6" s="54" t="n"/>
      <c r="R6" s="54" t="n"/>
      <c r="S6" s="54" t="n"/>
      <c r="T6" s="54" t="n"/>
      <c r="U6" s="54" t="n"/>
      <c r="V6" s="54" t="n"/>
      <c r="W6" s="54" t="n"/>
      <c r="X6" s="54" t="n"/>
      <c r="Y6" s="54" t="n"/>
      <c r="Z6" s="54" t="n"/>
    </row>
    <row r="7" ht="45" customHeight="1" s="372">
      <c r="A7" s="55" t="inlineStr">
        <is>
          <t>ALIGNED</t>
        </is>
      </c>
      <c r="B7" s="410" t="n">
        <v>46190</v>
      </c>
      <c r="C7" s="57" t="inlineStr">
        <is>
          <t>Agency</t>
        </is>
      </c>
      <c r="D7" s="57" t="inlineStr">
        <is>
          <t>Participant</t>
        </is>
      </c>
      <c r="E7" s="75" t="inlineStr">
        <is>
          <t>Aligned Experience: Interview someone from an agency concerning its relationship with schools or the school division.</t>
        </is>
      </c>
      <c r="F7" s="59" t="n">
        <v>5</v>
      </c>
      <c r="G7" s="47" t="n"/>
      <c r="H7" s="48" t="n"/>
      <c r="I7" s="49" t="n"/>
      <c r="J7" s="50" t="inlineStr">
        <is>
          <t>X</t>
        </is>
      </c>
      <c r="K7" s="51" t="n"/>
      <c r="L7" s="52" t="n"/>
      <c r="M7" s="60" t="inlineStr">
        <is>
          <t>Submit: Competency Journal 4</t>
        </is>
      </c>
      <c r="N7" s="54" t="n"/>
      <c r="O7" s="54" t="inlineStr">
        <is>
          <t>Yes</t>
        </is>
      </c>
      <c r="P7" s="54" t="n"/>
      <c r="Q7" s="54" t="n"/>
      <c r="R7" s="54" t="n"/>
      <c r="S7" s="54" t="n"/>
      <c r="T7" s="54" t="n"/>
      <c r="U7" s="54" t="n"/>
      <c r="V7" s="54" t="n"/>
      <c r="W7" s="54" t="n"/>
      <c r="X7" s="54" t="n"/>
      <c r="Y7" s="54" t="n"/>
      <c r="Z7" s="54" t="n"/>
    </row>
    <row r="8" ht="45" customHeight="1" s="372">
      <c r="A8" s="55" t="inlineStr">
        <is>
          <t>ALIGNED</t>
        </is>
      </c>
      <c r="B8" s="410" t="n">
        <v>46191</v>
      </c>
      <c r="C8" s="57" t="inlineStr">
        <is>
          <t>Agency</t>
        </is>
      </c>
      <c r="D8" s="57" t="inlineStr">
        <is>
          <t>Participant</t>
        </is>
      </c>
      <c r="E8" s="75" t="inlineStr">
        <is>
          <t>Aligned Experience: Conduct a Technology Audit to Assess Communication Accessibility for Stakeholders.</t>
        </is>
      </c>
      <c r="F8" s="59" t="n">
        <v>5</v>
      </c>
      <c r="G8" s="47" t="n"/>
      <c r="H8" s="48" t="n"/>
      <c r="I8" s="49" t="n"/>
      <c r="J8" s="50" t="inlineStr">
        <is>
          <t>X</t>
        </is>
      </c>
      <c r="K8" s="51" t="n"/>
      <c r="L8" s="52" t="n"/>
      <c r="M8" s="60" t="inlineStr">
        <is>
          <t>Submit: Audit Report</t>
        </is>
      </c>
      <c r="N8" s="54" t="n"/>
      <c r="O8" s="54" t="inlineStr">
        <is>
          <t>Yes</t>
        </is>
      </c>
      <c r="P8" s="54" t="n"/>
      <c r="Q8" s="54" t="n"/>
      <c r="R8" s="54" t="n"/>
      <c r="S8" s="54" t="n"/>
      <c r="T8" s="54" t="n"/>
      <c r="U8" s="54" t="n"/>
      <c r="V8" s="54" t="n"/>
      <c r="W8" s="54" t="n"/>
      <c r="X8" s="54" t="n"/>
      <c r="Y8" s="54" t="n"/>
      <c r="Z8" s="54" t="n"/>
    </row>
    <row r="9" ht="27.75" customHeight="1" s="372">
      <c r="A9" s="374" t="inlineStr">
        <is>
          <t>⭐  CHOICE HOURS  —  12 hours needed this semester</t>
        </is>
      </c>
      <c r="B9" s="375" t="n"/>
      <c r="C9" s="375" t="n"/>
      <c r="D9" s="376" t="n"/>
      <c r="E9" s="377">
        <f>IF(SUMIF(A10:A59,"CHOICE",F10:F59)&gt;=12,"✅ Choice Hours Met!","⚠ Still need: "&amp;(12-SUMIF(A10:A59,"CHOICE",F10:F59))&amp;" more hours")</f>
        <v/>
      </c>
      <c r="F9" s="376" t="n"/>
      <c r="G9" s="65" t="inlineStr">
        <is>
          <t>1. I</t>
        </is>
      </c>
      <c r="H9" s="66" t="inlineStr">
        <is>
          <t>2. O</t>
        </is>
      </c>
      <c r="I9" s="67" t="inlineStr">
        <is>
          <t>3. O</t>
        </is>
      </c>
      <c r="J9" s="68" t="inlineStr">
        <is>
          <t>4. S</t>
        </is>
      </c>
      <c r="K9" s="69" t="inlineStr">
        <is>
          <t>5. P</t>
        </is>
      </c>
      <c r="L9" s="70" t="inlineStr">
        <is>
          <t>6. A</t>
        </is>
      </c>
      <c r="M9" s="71" t="inlineStr">
        <is>
          <t>No evidence required for choice hours</t>
        </is>
      </c>
      <c r="N9" s="54" t="n"/>
      <c r="O9" s="54" t="n"/>
      <c r="P9" s="54" t="n"/>
      <c r="Q9" s="54" t="n"/>
      <c r="R9" s="54" t="n"/>
      <c r="S9" s="54" t="n"/>
      <c r="T9" s="54" t="n"/>
      <c r="U9" s="54" t="n"/>
      <c r="V9" s="54" t="n"/>
      <c r="W9" s="54" t="n"/>
      <c r="X9" s="54" t="n"/>
      <c r="Y9" s="54" t="n"/>
      <c r="Z9" s="54" t="n"/>
    </row>
    <row r="10" ht="34.5" customHeight="1" s="372">
      <c r="A10" s="72" t="inlineStr">
        <is>
          <t>CHOICE</t>
        </is>
      </c>
      <c r="B10" s="165" t="n">
        <v>46209</v>
      </c>
      <c r="C10" s="87" t="inlineStr">
        <is>
          <t>High</t>
        </is>
      </c>
      <c r="D10" s="87" t="inlineStr">
        <is>
          <t>Leader</t>
        </is>
      </c>
      <c r="E10" s="75" t="inlineStr">
        <is>
          <t>Facilitated a staff data meeting with the assistant principal and drafted a one-page summary of next steps</t>
        </is>
      </c>
      <c r="F10" s="153" t="n">
        <v>3</v>
      </c>
      <c r="G10" s="84" t="n"/>
      <c r="H10" s="154" t="n"/>
      <c r="I10" s="85" t="n"/>
      <c r="J10" s="80" t="n"/>
      <c r="K10" s="81" t="inlineStr">
        <is>
          <t>X</t>
        </is>
      </c>
      <c r="L10" s="82" t="n"/>
      <c r="M10" s="87" t="n"/>
      <c r="N10" s="54" t="n"/>
      <c r="O10" s="54" t="inlineStr">
        <is>
          <t>Yes</t>
        </is>
      </c>
      <c r="P10" s="54" t="n"/>
      <c r="Q10" s="54" t="n"/>
      <c r="R10" s="54" t="n"/>
      <c r="S10" s="54" t="n"/>
      <c r="T10" s="54" t="n"/>
      <c r="U10" s="54" t="n"/>
      <c r="V10" s="54" t="n"/>
      <c r="W10" s="54" t="n"/>
      <c r="X10" s="54" t="n"/>
      <c r="Y10" s="54" t="n"/>
      <c r="Z10" s="54" t="n"/>
    </row>
    <row r="11" ht="34.5" customHeight="1" s="372">
      <c r="A11" s="72" t="inlineStr">
        <is>
          <t>CHOICE</t>
        </is>
      </c>
      <c r="B11" s="411" t="n">
        <v>46212</v>
      </c>
      <c r="C11" s="87" t="inlineStr">
        <is>
          <t>Elementary</t>
        </is>
      </c>
      <c r="D11" s="87" t="inlineStr">
        <is>
          <t>Participant</t>
        </is>
      </c>
      <c r="E11" s="75" t="inlineStr">
        <is>
          <t>Worked with the PTA president to plan a family night and wrote a reflection on community engagement barriers</t>
        </is>
      </c>
      <c r="F11" s="153" t="n">
        <v>3</v>
      </c>
      <c r="G11" s="84" t="n"/>
      <c r="H11" s="154" t="n"/>
      <c r="I11" s="85" t="n"/>
      <c r="J11" s="80" t="inlineStr">
        <is>
          <t>X</t>
        </is>
      </c>
      <c r="K11" s="81" t="n"/>
      <c r="L11" s="82" t="n"/>
      <c r="M11" s="87" t="n"/>
      <c r="N11" s="54" t="n"/>
      <c r="O11" s="54" t="inlineStr">
        <is>
          <t>Yes</t>
        </is>
      </c>
      <c r="P11" s="54" t="n"/>
      <c r="Q11" s="54" t="n"/>
      <c r="R11" s="54" t="n"/>
      <c r="S11" s="54" t="n"/>
      <c r="T11" s="54" t="n"/>
      <c r="U11" s="54" t="n"/>
      <c r="V11" s="54" t="n"/>
      <c r="W11" s="54" t="n"/>
      <c r="X11" s="54" t="n"/>
      <c r="Y11" s="54" t="n"/>
      <c r="Z11" s="54" t="n"/>
    </row>
    <row r="12" ht="34.5" customHeight="1" s="372">
      <c r="A12" s="72" t="inlineStr">
        <is>
          <t>CHOICE</t>
        </is>
      </c>
      <c r="B12" s="411" t="n">
        <v>46217</v>
      </c>
      <c r="C12" s="87" t="inlineStr">
        <is>
          <t>Central Office</t>
        </is>
      </c>
      <c r="D12" s="87" t="inlineStr">
        <is>
          <t>Observer</t>
        </is>
      </c>
      <c r="E12" s="75" t="inlineStr">
        <is>
          <t>Observed a district budget work session and wrote notes connecting decisions to school priorities</t>
        </is>
      </c>
      <c r="F12" s="153" t="n">
        <v>3</v>
      </c>
      <c r="G12" s="84" t="n"/>
      <c r="H12" s="154" t="n"/>
      <c r="I12" s="85" t="inlineStr">
        <is>
          <t>X</t>
        </is>
      </c>
      <c r="J12" s="80" t="n"/>
      <c r="K12" s="81" t="n"/>
      <c r="L12" s="82" t="n"/>
      <c r="M12" s="87" t="n"/>
      <c r="N12" s="54" t="n"/>
      <c r="O12" s="54" t="inlineStr">
        <is>
          <t>Yes</t>
        </is>
      </c>
      <c r="P12" s="54" t="n"/>
      <c r="Q12" s="54" t="n"/>
      <c r="R12" s="54" t="n"/>
      <c r="S12" s="54" t="n"/>
      <c r="T12" s="54" t="n"/>
      <c r="U12" s="54" t="n"/>
      <c r="V12" s="54" t="n"/>
      <c r="W12" s="54" t="n"/>
      <c r="X12" s="54" t="n"/>
      <c r="Y12" s="54" t="n"/>
      <c r="Z12" s="54" t="n"/>
    </row>
    <row r="13" ht="34.5" customHeight="1" s="372">
      <c r="A13" s="86" t="inlineStr">
        <is>
          <t>CHOICE</t>
        </is>
      </c>
      <c r="B13" s="87" t="n"/>
      <c r="C13" s="87" t="n"/>
      <c r="D13" s="87" t="n"/>
      <c r="E13" s="88" t="n"/>
      <c r="F13" s="89" t="n"/>
      <c r="G13" s="92" t="n"/>
      <c r="H13" s="91" t="n"/>
      <c r="I13" s="92" t="n"/>
      <c r="J13" s="92" t="n"/>
      <c r="K13" s="92" t="n"/>
      <c r="L13" s="92" t="n"/>
      <c r="M13" s="87" t="n"/>
      <c r="N13" s="93" t="n"/>
      <c r="O13" s="93" t="n"/>
      <c r="P13" s="93" t="n"/>
      <c r="Q13" s="93" t="n"/>
      <c r="R13" s="93" t="n"/>
      <c r="S13" s="93" t="n"/>
      <c r="T13" s="93" t="n"/>
      <c r="U13" s="93" t="n"/>
      <c r="V13" s="93" t="n"/>
      <c r="W13" s="93" t="n"/>
      <c r="X13" s="93" t="n"/>
      <c r="Y13" s="93" t="n"/>
      <c r="Z13" s="93" t="n"/>
    </row>
    <row r="14" ht="34.5" customHeight="1" s="372">
      <c r="A14" s="86" t="inlineStr">
        <is>
          <t>CHOICE</t>
        </is>
      </c>
      <c r="B14" s="87" t="n"/>
      <c r="C14" s="87" t="n"/>
      <c r="D14" s="87" t="n"/>
      <c r="E14" s="88" t="n"/>
      <c r="F14" s="89" t="n"/>
      <c r="G14" s="92" t="n"/>
      <c r="H14" s="91" t="n"/>
      <c r="I14" s="92" t="n"/>
      <c r="J14" s="92" t="n"/>
      <c r="K14" s="92" t="n"/>
      <c r="L14" s="92" t="n"/>
      <c r="M14" s="87" t="n"/>
      <c r="N14" s="93" t="n"/>
      <c r="O14" s="93" t="n"/>
      <c r="P14" s="93" t="n"/>
      <c r="Q14" s="93" t="n"/>
      <c r="R14" s="93" t="n"/>
      <c r="S14" s="93" t="n"/>
      <c r="T14" s="93" t="n"/>
      <c r="U14" s="93" t="n"/>
      <c r="V14" s="93" t="n"/>
      <c r="W14" s="93" t="n"/>
      <c r="X14" s="93" t="n"/>
      <c r="Y14" s="93" t="n"/>
      <c r="Z14" s="93" t="n"/>
    </row>
    <row r="15" ht="34.5" customHeight="1" s="372">
      <c r="A15" s="86" t="inlineStr">
        <is>
          <t>CHOICE</t>
        </is>
      </c>
      <c r="B15" s="87" t="n"/>
      <c r="C15" s="87" t="n"/>
      <c r="D15" s="87" t="n"/>
      <c r="E15" s="88" t="n"/>
      <c r="F15" s="89" t="n"/>
      <c r="G15" s="92" t="n"/>
      <c r="H15" s="91" t="n"/>
      <c r="I15" s="92" t="n"/>
      <c r="J15" s="92" t="n"/>
      <c r="K15" s="92" t="n"/>
      <c r="L15" s="92" t="n"/>
      <c r="M15" s="87" t="n"/>
      <c r="N15" s="93" t="n"/>
      <c r="O15" s="93" t="n"/>
      <c r="P15" s="93" t="n"/>
      <c r="Q15" s="93" t="n"/>
      <c r="R15" s="93" t="n"/>
      <c r="S15" s="93" t="n"/>
      <c r="T15" s="93" t="n"/>
      <c r="U15" s="93" t="n"/>
      <c r="V15" s="93" t="n"/>
      <c r="W15" s="93" t="n"/>
      <c r="X15" s="93" t="n"/>
      <c r="Y15" s="93" t="n"/>
      <c r="Z15" s="93" t="n"/>
    </row>
    <row r="16" ht="34.5" customHeight="1" s="372">
      <c r="A16" s="94" t="inlineStr">
        <is>
          <t>CHOICE</t>
        </is>
      </c>
      <c r="B16" s="95" t="n"/>
      <c r="C16" s="95" t="n"/>
      <c r="D16" s="95" t="n"/>
      <c r="E16" s="96" t="n"/>
      <c r="F16" s="97" t="n"/>
      <c r="G16" s="98" t="n"/>
      <c r="H16" s="99" t="n"/>
      <c r="I16" s="100" t="n"/>
      <c r="J16" s="101" t="n"/>
      <c r="K16" s="102" t="n"/>
      <c r="L16" s="103" t="n"/>
      <c r="M16" s="95" t="n"/>
    </row>
    <row r="17" ht="34.5" customHeight="1" s="372">
      <c r="A17" s="104" t="inlineStr">
        <is>
          <t>CHOICE</t>
        </is>
      </c>
      <c r="B17" s="105" t="n"/>
      <c r="C17" s="105" t="n"/>
      <c r="D17" s="105" t="n"/>
      <c r="E17" s="106" t="n"/>
      <c r="F17" s="107" t="n"/>
      <c r="G17" s="108" t="n"/>
      <c r="H17" s="109" t="n"/>
      <c r="I17" s="110" t="n"/>
      <c r="J17" s="111" t="n"/>
      <c r="K17" s="112" t="n"/>
      <c r="L17" s="113" t="n"/>
      <c r="M17" s="105" t="n"/>
    </row>
    <row r="18" ht="34.5" customHeight="1" s="372">
      <c r="A18" s="104" t="inlineStr">
        <is>
          <t>CHOICE</t>
        </is>
      </c>
      <c r="B18" s="105" t="n"/>
      <c r="C18" s="105" t="n"/>
      <c r="D18" s="105" t="n"/>
      <c r="E18" s="106" t="n"/>
      <c r="F18" s="107" t="n"/>
      <c r="G18" s="108" t="n"/>
      <c r="H18" s="109" t="n"/>
      <c r="I18" s="110" t="n"/>
      <c r="J18" s="111" t="n"/>
      <c r="K18" s="112" t="n"/>
      <c r="L18" s="113" t="n"/>
      <c r="M18" s="105" t="n"/>
    </row>
    <row r="19" ht="34.5" customHeight="1" s="372">
      <c r="A19" s="104" t="inlineStr">
        <is>
          <t>CHOICE</t>
        </is>
      </c>
      <c r="B19" s="105" t="n"/>
      <c r="C19" s="105" t="n"/>
      <c r="D19" s="105" t="n"/>
      <c r="E19" s="106" t="n"/>
      <c r="F19" s="107" t="n"/>
      <c r="G19" s="108" t="n"/>
      <c r="H19" s="109" t="n"/>
      <c r="I19" s="110" t="n"/>
      <c r="J19" s="111" t="n"/>
      <c r="K19" s="112" t="n"/>
      <c r="L19" s="113" t="n"/>
      <c r="M19" s="105" t="n"/>
    </row>
    <row r="20" ht="34.5" customHeight="1" s="372">
      <c r="A20" s="104" t="inlineStr">
        <is>
          <t>CHOICE</t>
        </is>
      </c>
      <c r="B20" s="105" t="n"/>
      <c r="C20" s="105" t="n"/>
      <c r="D20" s="105" t="n"/>
      <c r="E20" s="106" t="n"/>
      <c r="F20" s="107" t="n"/>
      <c r="G20" s="108" t="n"/>
      <c r="H20" s="109" t="n"/>
      <c r="I20" s="110" t="n"/>
      <c r="J20" s="111" t="n"/>
      <c r="K20" s="112" t="n"/>
      <c r="L20" s="113" t="n"/>
      <c r="M20" s="105" t="n"/>
    </row>
    <row r="21" ht="34.5" customHeight="1" s="372">
      <c r="A21" s="104" t="inlineStr">
        <is>
          <t>CHOICE</t>
        </is>
      </c>
      <c r="B21" s="105" t="n"/>
      <c r="C21" s="105" t="n"/>
      <c r="D21" s="105" t="n"/>
      <c r="E21" s="106" t="n"/>
      <c r="F21" s="107" t="n"/>
      <c r="G21" s="108" t="n"/>
      <c r="H21" s="109" t="n"/>
      <c r="I21" s="110" t="n"/>
      <c r="J21" s="111" t="n"/>
      <c r="K21" s="112" t="n"/>
      <c r="L21" s="113" t="n"/>
      <c r="M21" s="105" t="n"/>
    </row>
    <row r="22" ht="24.75" customHeight="1" s="372">
      <c r="A22" s="114" t="inlineStr">
        <is>
          <t>CHOICE</t>
        </is>
      </c>
      <c r="B22" s="105" t="n"/>
      <c r="C22" s="105" t="n"/>
      <c r="D22" s="105" t="n"/>
      <c r="E22" s="105" t="n"/>
      <c r="F22" s="105" t="n"/>
      <c r="G22" s="105" t="n"/>
      <c r="H22" s="105" t="n"/>
      <c r="I22" s="105" t="n"/>
      <c r="J22" s="105" t="n"/>
      <c r="K22" s="105" t="n"/>
      <c r="L22" s="105" t="n"/>
      <c r="M22" s="105" t="n"/>
    </row>
    <row r="23" ht="24.75" customHeight="1" s="372">
      <c r="A23" s="114" t="inlineStr">
        <is>
          <t>CHOICE</t>
        </is>
      </c>
      <c r="B23" s="105" t="n"/>
      <c r="C23" s="105" t="n"/>
      <c r="D23" s="105" t="n"/>
      <c r="E23" s="105" t="n"/>
      <c r="F23" s="105" t="n"/>
      <c r="G23" s="105" t="n"/>
      <c r="H23" s="105" t="n"/>
      <c r="I23" s="105" t="n"/>
      <c r="J23" s="105" t="n"/>
      <c r="K23" s="105" t="n"/>
      <c r="L23" s="105" t="n"/>
      <c r="M23" s="105" t="n"/>
    </row>
    <row r="24" ht="24.75" customHeight="1" s="372">
      <c r="A24" s="114" t="inlineStr">
        <is>
          <t>CHOICE</t>
        </is>
      </c>
      <c r="B24" s="105" t="n"/>
      <c r="C24" s="105" t="n"/>
      <c r="D24" s="105" t="n"/>
      <c r="E24" s="105" t="n"/>
      <c r="F24" s="105" t="n"/>
      <c r="G24" s="105" t="n"/>
      <c r="H24" s="105" t="n"/>
      <c r="I24" s="105" t="n"/>
      <c r="J24" s="105" t="n"/>
      <c r="K24" s="105" t="n"/>
      <c r="L24" s="105" t="n"/>
      <c r="M24" s="105" t="n"/>
    </row>
    <row r="25" ht="24.75" customHeight="1" s="372">
      <c r="A25" s="114" t="inlineStr">
        <is>
          <t>CHOICE</t>
        </is>
      </c>
      <c r="B25" s="105" t="n"/>
      <c r="C25" s="105" t="n"/>
      <c r="D25" s="105" t="n"/>
      <c r="E25" s="105" t="n"/>
      <c r="F25" s="105" t="n"/>
      <c r="G25" s="105" t="n"/>
      <c r="H25" s="105" t="n"/>
      <c r="I25" s="105" t="n"/>
      <c r="J25" s="105" t="n"/>
      <c r="K25" s="105" t="n"/>
      <c r="L25" s="105" t="n"/>
      <c r="M25" s="105" t="n"/>
    </row>
    <row r="26" ht="24.75" customHeight="1" s="372">
      <c r="A26" s="114" t="inlineStr">
        <is>
          <t>CHOICE</t>
        </is>
      </c>
      <c r="B26" s="105" t="n"/>
      <c r="C26" s="105" t="n"/>
      <c r="D26" s="105" t="n"/>
      <c r="E26" s="105" t="n"/>
      <c r="F26" s="105" t="n"/>
      <c r="G26" s="105" t="n"/>
      <c r="H26" s="105" t="n"/>
      <c r="I26" s="105" t="n"/>
      <c r="J26" s="105" t="n"/>
      <c r="K26" s="105" t="n"/>
      <c r="L26" s="105" t="n"/>
      <c r="M26" s="105" t="n"/>
    </row>
    <row r="27" ht="24.75" customHeight="1" s="372">
      <c r="A27" s="114" t="inlineStr">
        <is>
          <t>CHOICE</t>
        </is>
      </c>
      <c r="B27" s="105" t="n"/>
      <c r="C27" s="105" t="n"/>
      <c r="D27" s="105" t="n"/>
      <c r="E27" s="105" t="n"/>
      <c r="F27" s="105" t="n"/>
      <c r="G27" s="105" t="n"/>
      <c r="H27" s="105" t="n"/>
      <c r="I27" s="105" t="n"/>
      <c r="J27" s="105" t="n"/>
      <c r="K27" s="105" t="n"/>
      <c r="L27" s="105" t="n"/>
      <c r="M27" s="105" t="n"/>
    </row>
    <row r="28" ht="24.75" customHeight="1" s="372">
      <c r="A28" s="114" t="inlineStr">
        <is>
          <t>CHOICE</t>
        </is>
      </c>
      <c r="B28" s="105" t="n"/>
      <c r="C28" s="105" t="n"/>
      <c r="D28" s="105" t="n"/>
      <c r="E28" s="105" t="n"/>
      <c r="F28" s="105" t="n"/>
      <c r="G28" s="105" t="n"/>
      <c r="H28" s="105" t="n"/>
      <c r="I28" s="105" t="n"/>
      <c r="J28" s="105" t="n"/>
      <c r="K28" s="105" t="n"/>
      <c r="L28" s="105" t="n"/>
      <c r="M28" s="105" t="n"/>
    </row>
    <row r="29" ht="24.75" customHeight="1" s="372">
      <c r="A29" s="114" t="inlineStr">
        <is>
          <t>CHOICE</t>
        </is>
      </c>
      <c r="B29" s="105" t="n"/>
      <c r="C29" s="105" t="n"/>
      <c r="D29" s="105" t="n"/>
      <c r="E29" s="105" t="n"/>
      <c r="F29" s="105" t="n"/>
      <c r="G29" s="105" t="n"/>
      <c r="H29" s="105" t="n"/>
      <c r="I29" s="105" t="n"/>
      <c r="J29" s="105" t="n"/>
      <c r="K29" s="105" t="n"/>
      <c r="L29" s="105" t="n"/>
      <c r="M29" s="105" t="n"/>
    </row>
    <row r="30" ht="24.75" customHeight="1" s="372">
      <c r="A30" s="114" t="inlineStr">
        <is>
          <t>CHOICE</t>
        </is>
      </c>
      <c r="B30" s="105" t="n"/>
      <c r="C30" s="105" t="n"/>
      <c r="D30" s="105" t="n"/>
      <c r="E30" s="105" t="n"/>
      <c r="F30" s="105" t="n"/>
      <c r="G30" s="105" t="n"/>
      <c r="H30" s="105" t="n"/>
      <c r="I30" s="105" t="n"/>
      <c r="J30" s="105" t="n"/>
      <c r="K30" s="105" t="n"/>
      <c r="L30" s="105" t="n"/>
      <c r="M30" s="105" t="n"/>
    </row>
    <row r="31" ht="24.75" customHeight="1" s="372">
      <c r="A31" s="114" t="inlineStr">
        <is>
          <t>CHOICE</t>
        </is>
      </c>
      <c r="B31" s="105" t="n"/>
      <c r="C31" s="105" t="n"/>
      <c r="D31" s="105" t="n"/>
      <c r="E31" s="105" t="n"/>
      <c r="F31" s="105" t="n"/>
      <c r="G31" s="105" t="n"/>
      <c r="H31" s="105" t="n"/>
      <c r="I31" s="105" t="n"/>
      <c r="J31" s="105" t="n"/>
      <c r="K31" s="105" t="n"/>
      <c r="L31" s="105" t="n"/>
      <c r="M31" s="105" t="n"/>
    </row>
    <row r="32" ht="15.75" customHeight="1" s="372">
      <c r="C32" s="115" t="n"/>
      <c r="D32" s="115" t="n"/>
    </row>
    <row r="33" ht="15.75" customHeight="1" s="372"/>
    <row r="34" ht="15.75" customHeight="1" s="372"/>
    <row r="35" ht="15.75" customHeight="1" s="372"/>
    <row r="36" ht="15.75" customHeight="1" s="372"/>
    <row r="37" ht="15.75" customHeight="1" s="372"/>
    <row r="38" ht="15.75" customHeight="1" s="372"/>
    <row r="39" ht="15.75" customHeight="1" s="372"/>
    <row r="40" ht="15.75" customHeight="1" s="372"/>
    <row r="41" ht="15.75" customHeight="1" s="372"/>
    <row r="42" ht="15.75" customHeight="1" s="372"/>
    <row r="43" ht="15.75" customHeight="1" s="372"/>
    <row r="44" ht="15.75" customHeight="1" s="372"/>
    <row r="45" ht="15.75" customHeight="1" s="372"/>
    <row r="46" ht="15.75" customHeight="1" s="372"/>
    <row r="47" ht="15.75" customHeight="1" s="372"/>
    <row r="48" ht="15.75" customHeight="1" s="372"/>
    <row r="49" ht="15.75" customHeight="1" s="372"/>
    <row r="50" ht="15.75" customHeight="1" s="372"/>
    <row r="51" ht="15.75" customHeight="1" s="372"/>
    <row r="52" ht="15.75" customHeight="1" s="372"/>
    <row r="53" ht="15.75" customHeight="1" s="372"/>
    <row r="54" ht="15.75" customHeight="1" s="372"/>
    <row r="55" ht="15.75" customHeight="1" s="372"/>
    <row r="56" ht="15.75" customHeight="1" s="372"/>
    <row r="57" ht="15.75" customHeight="1" s="372"/>
    <row r="58" ht="15.75" customHeight="1" s="372"/>
    <row r="59" ht="15.75" customHeight="1" s="372"/>
    <row r="60" ht="15.75" customHeight="1" s="372"/>
    <row r="61" ht="15.75" customHeight="1" s="372"/>
    <row r="62" ht="15.75" customHeight="1" s="372"/>
    <row r="63" ht="15.75" customHeight="1" s="372"/>
    <row r="64" ht="15.75" customHeight="1" s="372"/>
    <row r="65" ht="15.75" customHeight="1" s="372"/>
    <row r="66" ht="15.75" customHeight="1" s="372"/>
    <row r="67" ht="15.75" customHeight="1" s="372"/>
    <row r="68" ht="15.75" customHeight="1" s="372"/>
    <row r="69" ht="15.75" customHeight="1" s="372"/>
    <row r="70" ht="15.75" customHeight="1" s="372"/>
    <row r="71" ht="15.75" customHeight="1" s="372"/>
    <row r="72" ht="15.75" customHeight="1" s="372"/>
    <row r="73" ht="15.75" customHeight="1" s="372"/>
    <row r="74" ht="15.75" customHeight="1" s="372"/>
    <row r="75" ht="15.75" customHeight="1" s="372"/>
    <row r="76" ht="15.75" customHeight="1" s="372"/>
    <row r="77" ht="15.75" customHeight="1" s="372"/>
    <row r="78" ht="15.75" customHeight="1" s="372"/>
    <row r="79" ht="15.75" customHeight="1" s="372"/>
    <row r="80" ht="15.75" customHeight="1" s="372"/>
    <row r="81" ht="15.75" customHeight="1" s="372"/>
    <row r="82" ht="15.75" customHeight="1" s="372"/>
    <row r="83" ht="15.75" customHeight="1" s="372"/>
    <row r="84" ht="15.75" customHeight="1" s="372"/>
    <row r="85" ht="15.75" customHeight="1" s="372"/>
    <row r="86" ht="15.75" customHeight="1" s="372"/>
    <row r="87" ht="15.75" customHeight="1" s="372"/>
    <row r="88" ht="15.75" customHeight="1" s="372"/>
    <row r="89" ht="15.75" customHeight="1" s="372"/>
    <row r="90" ht="15.75" customHeight="1" s="372"/>
    <row r="91" ht="15.75" customHeight="1" s="372"/>
    <row r="92" ht="15.75" customHeight="1" s="372"/>
    <row r="93" ht="15.75" customHeight="1" s="372"/>
    <row r="94" ht="15.75" customHeight="1" s="372"/>
    <row r="95" ht="15.75" customHeight="1" s="372"/>
    <row r="96" ht="15.75" customHeight="1" s="372"/>
    <row r="97" ht="15.75" customHeight="1" s="372"/>
    <row r="98" ht="15.75" customHeight="1" s="372"/>
    <row r="99" ht="15.75" customHeight="1" s="372"/>
    <row r="100" ht="15.75" customHeight="1" s="372"/>
    <row r="101" ht="15.75" customHeight="1" s="372"/>
    <row r="102" ht="15.75" customHeight="1" s="372"/>
    <row r="103" ht="15.75" customHeight="1" s="372"/>
    <row r="104" ht="15.75" customHeight="1" s="372"/>
    <row r="105" ht="15.75" customHeight="1" s="372"/>
    <row r="106" ht="15.75" customHeight="1" s="372"/>
    <row r="107" ht="15.75" customHeight="1" s="372"/>
    <row r="108" ht="15.75" customHeight="1" s="372"/>
    <row r="109" ht="15.75" customHeight="1" s="372"/>
    <row r="110" ht="15.75" customHeight="1" s="372"/>
    <row r="111" ht="15.75" customHeight="1" s="372"/>
    <row r="112" ht="15.75" customHeight="1" s="372"/>
    <row r="113" ht="15.75" customHeight="1" s="372"/>
    <row r="114" ht="15.75" customHeight="1" s="372"/>
    <row r="115" ht="15.75" customHeight="1" s="372"/>
    <row r="116" ht="15.75" customHeight="1" s="372"/>
    <row r="117" ht="15.75" customHeight="1" s="372"/>
    <row r="118" ht="15.75" customHeight="1" s="372"/>
    <row r="119" ht="15.75" customHeight="1" s="372"/>
    <row r="120" ht="15.75" customHeight="1" s="372"/>
    <row r="121" ht="15.75" customHeight="1" s="372"/>
    <row r="122" ht="15.75" customHeight="1" s="372"/>
    <row r="123" ht="15.75" customHeight="1" s="372"/>
    <row r="124" ht="15.75" customHeight="1" s="372"/>
    <row r="125" ht="15.75" customHeight="1" s="372"/>
    <row r="126" ht="15.75" customHeight="1" s="372"/>
    <row r="127" ht="15.75" customHeight="1" s="372"/>
    <row r="128" ht="15.75" customHeight="1" s="372"/>
    <row r="129" ht="15.75" customHeight="1" s="372"/>
    <row r="130" ht="15.75" customHeight="1" s="372"/>
    <row r="131" ht="15.75" customHeight="1" s="372"/>
    <row r="132" ht="15.75" customHeight="1" s="372"/>
    <row r="133" ht="15.75" customHeight="1" s="372"/>
    <row r="134" ht="15.75" customHeight="1" s="372"/>
    <row r="135" ht="15.75" customHeight="1" s="372"/>
    <row r="136" ht="15.75" customHeight="1" s="372"/>
    <row r="137" ht="15.75" customHeight="1" s="372"/>
    <row r="138" ht="15.75" customHeight="1" s="372"/>
    <row r="139" ht="15.75" customHeight="1" s="372"/>
    <row r="140" ht="15.75" customHeight="1" s="372"/>
    <row r="141" ht="15.75" customHeight="1" s="372"/>
    <row r="142" ht="15.75" customHeight="1" s="372"/>
    <row r="143" ht="15.75" customHeight="1" s="372"/>
    <row r="144" ht="15.75" customHeight="1" s="372"/>
    <row r="145" ht="15.75" customHeight="1" s="372"/>
    <row r="146" ht="15.75" customHeight="1" s="372"/>
    <row r="147" ht="15.75" customHeight="1" s="372"/>
    <row r="148" ht="15.75" customHeight="1" s="372"/>
    <row r="149" ht="15.75" customHeight="1" s="372"/>
    <row r="150" ht="15.75" customHeight="1" s="372"/>
    <row r="151" ht="15.75" customHeight="1" s="372"/>
    <row r="152" ht="15.75" customHeight="1" s="372"/>
    <row r="153" ht="15.75" customHeight="1" s="372"/>
    <row r="154" ht="15.75" customHeight="1" s="372"/>
    <row r="155" ht="15.75" customHeight="1" s="372"/>
    <row r="156" ht="15.75" customHeight="1" s="372"/>
    <row r="157" ht="15.75" customHeight="1" s="372"/>
    <row r="158" ht="15.75" customHeight="1" s="372"/>
    <row r="159" ht="15.75" customHeight="1" s="372"/>
    <row r="160" ht="15.75" customHeight="1" s="372"/>
    <row r="161" ht="15.75" customHeight="1" s="372"/>
    <row r="162" ht="15.75" customHeight="1" s="372"/>
    <row r="163" ht="15.75" customHeight="1" s="372"/>
    <row r="164" ht="15.75" customHeight="1" s="372"/>
    <row r="165" ht="15.75" customHeight="1" s="372"/>
    <row r="166" ht="15.75" customHeight="1" s="372"/>
    <row r="167" ht="15.75" customHeight="1" s="372"/>
    <row r="168" ht="15.75" customHeight="1" s="372"/>
    <row r="169" ht="15.75" customHeight="1" s="372"/>
    <row r="170" ht="15.75" customHeight="1" s="372"/>
    <row r="171" ht="15.75" customHeight="1" s="372"/>
    <row r="172" ht="15.75" customHeight="1" s="372"/>
    <row r="173" ht="15.75" customHeight="1" s="372"/>
    <row r="174" ht="15.75" customHeight="1" s="372"/>
    <row r="175" ht="15.75" customHeight="1" s="372"/>
    <row r="176" ht="15.75" customHeight="1" s="372"/>
    <row r="177" ht="15.75" customHeight="1" s="372"/>
    <row r="178" ht="15.75" customHeight="1" s="372"/>
    <row r="179" ht="15.75" customHeight="1" s="372"/>
    <row r="180" ht="15.75" customHeight="1" s="372"/>
    <row r="181" ht="15.75" customHeight="1" s="372"/>
    <row r="182" ht="15.75" customHeight="1" s="372"/>
    <row r="183" ht="15.75" customHeight="1" s="372"/>
    <row r="184" ht="15.75" customHeight="1" s="372"/>
    <row r="185" ht="15.75" customHeight="1" s="372"/>
    <row r="186" ht="15.75" customHeight="1" s="372"/>
    <row r="187" ht="15.75" customHeight="1" s="372"/>
    <row r="188" ht="15.75" customHeight="1" s="372"/>
    <row r="189" ht="15.75" customHeight="1" s="372"/>
    <row r="190" ht="15.75" customHeight="1" s="372"/>
    <row r="191" ht="15.75" customHeight="1" s="372"/>
    <row r="192" ht="15.75" customHeight="1" s="372"/>
    <row r="193" ht="15.75" customHeight="1" s="372"/>
    <row r="194" ht="15.75" customHeight="1" s="372"/>
    <row r="195" ht="15.75" customHeight="1" s="372"/>
    <row r="196" ht="15.75" customHeight="1" s="372"/>
    <row r="197" ht="15.75" customHeight="1" s="372"/>
    <row r="198" ht="15.75" customHeight="1" s="372"/>
    <row r="199" ht="15.75" customHeight="1" s="372"/>
    <row r="200" ht="15.75" customHeight="1" s="372"/>
    <row r="201" ht="15.75" customHeight="1" s="372"/>
    <row r="202" ht="15.75" customHeight="1" s="372"/>
    <row r="203" ht="15.75" customHeight="1" s="372"/>
    <row r="204" ht="15.75" customHeight="1" s="372"/>
    <row r="205" ht="15.75" customHeight="1" s="372"/>
    <row r="206" ht="15.75" customHeight="1" s="372"/>
    <row r="207" ht="15.75" customHeight="1" s="372"/>
    <row r="208" ht="15.75" customHeight="1" s="372"/>
    <row r="209" ht="15.75" customHeight="1" s="372"/>
    <row r="210" ht="15.75" customHeight="1" s="372"/>
    <row r="211" ht="15.75" customHeight="1" s="372"/>
    <row r="212" ht="15.75" customHeight="1" s="372"/>
    <row r="213" ht="15.75" customHeight="1" s="372"/>
    <row r="214" ht="15.75" customHeight="1" s="372"/>
    <row r="215" ht="15.75" customHeight="1" s="372"/>
    <row r="216" ht="15.75" customHeight="1" s="372"/>
    <row r="217" ht="15.75" customHeight="1" s="372"/>
    <row r="218" ht="15.75" customHeight="1" s="372"/>
    <row r="219" ht="15.75" customHeight="1" s="372"/>
    <row r="220" ht="15.75" customHeight="1" s="372"/>
    <row r="221" ht="15.75" customHeight="1" s="372"/>
    <row r="222" ht="15.75" customHeight="1" s="372"/>
    <row r="223" ht="15.75" customHeight="1" s="372"/>
    <row r="224" ht="15.75" customHeight="1" s="372"/>
    <row r="225" ht="15.75" customHeight="1" s="372"/>
    <row r="226" ht="15.75" customHeight="1" s="372"/>
    <row r="227" ht="15.75" customHeight="1" s="372"/>
    <row r="228" ht="15.75" customHeight="1" s="372"/>
    <row r="229" ht="15.75" customHeight="1" s="372"/>
    <row r="230" ht="15.75" customHeight="1" s="372"/>
    <row r="231" ht="15.75" customHeight="1" s="372"/>
    <row r="232" ht="15.75" customHeight="1" s="372"/>
    <row r="233" ht="15.75" customHeight="1" s="372"/>
    <row r="234" ht="15.75" customHeight="1" s="372"/>
    <row r="235" ht="15.75" customHeight="1" s="372"/>
    <row r="236" ht="15.75" customHeight="1" s="372"/>
    <row r="237" ht="15.75" customHeight="1" s="372"/>
    <row r="238" ht="15.75" customHeight="1" s="372"/>
    <row r="239" ht="15.75" customHeight="1" s="372"/>
    <row r="240" ht="15.75" customHeight="1" s="372"/>
    <row r="241" ht="15.75" customHeight="1" s="372"/>
    <row r="242" ht="15.75" customHeight="1" s="372"/>
    <row r="243" ht="15.75" customHeight="1" s="372"/>
    <row r="244" ht="15.75" customHeight="1" s="372"/>
    <row r="245" ht="15.75" customHeight="1" s="372"/>
    <row r="246" ht="15.75" customHeight="1" s="372"/>
    <row r="247" ht="15.75" customHeight="1" s="372"/>
    <row r="248" ht="15.75" customHeight="1" s="372"/>
    <row r="249" ht="15.75" customHeight="1" s="372"/>
    <row r="250" ht="15.75" customHeight="1" s="372"/>
    <row r="251" ht="15.75" customHeight="1" s="372"/>
    <row r="252" ht="15.75" customHeight="1" s="372"/>
    <row r="253" ht="15.75" customHeight="1" s="372"/>
    <row r="254" ht="15.75" customHeight="1" s="372"/>
    <row r="255" ht="15.75" customHeight="1" s="372"/>
    <row r="256" ht="15.75" customHeight="1" s="372"/>
    <row r="257" ht="15.75" customHeight="1" s="372"/>
    <row r="258" ht="15.75" customHeight="1" s="372"/>
    <row r="259" ht="15.75" customHeight="1" s="372"/>
    <row r="260" ht="15.75" customHeight="1" s="372"/>
    <row r="261" ht="15.75" customHeight="1" s="372"/>
    <row r="262" ht="15.75" customHeight="1" s="372"/>
    <row r="263" ht="15.75" customHeight="1" s="372"/>
    <row r="264" ht="15.75" customHeight="1" s="372"/>
    <row r="265" ht="15.75" customHeight="1" s="372"/>
    <row r="266" ht="15.75" customHeight="1" s="372"/>
    <row r="267" ht="15.75" customHeight="1" s="372"/>
    <row r="268" ht="15.75" customHeight="1" s="372"/>
    <row r="269" ht="15.75" customHeight="1" s="372"/>
    <row r="270" ht="15.75" customHeight="1" s="372"/>
    <row r="271" ht="15.75" customHeight="1" s="372"/>
    <row r="272" ht="15.75" customHeight="1" s="372"/>
    <row r="273" ht="15.75" customHeight="1" s="372"/>
    <row r="274" ht="15.75" customHeight="1" s="372"/>
    <row r="275" ht="15.75" customHeight="1" s="372"/>
    <row r="276" ht="15.75" customHeight="1" s="372"/>
    <row r="277" ht="15.75" customHeight="1" s="372"/>
    <row r="278" ht="15.75" customHeight="1" s="372"/>
    <row r="279" ht="15.75" customHeight="1" s="372"/>
    <row r="280" ht="15.75" customHeight="1" s="372"/>
    <row r="281" ht="15.75" customHeight="1" s="372"/>
    <row r="282" ht="15.75" customHeight="1" s="372"/>
    <row r="283" ht="15.75" customHeight="1" s="372"/>
    <row r="284" ht="15.75" customHeight="1" s="372"/>
    <row r="285" ht="15.75" customHeight="1" s="372"/>
    <row r="286" ht="15.75" customHeight="1" s="372"/>
    <row r="287" ht="15.75" customHeight="1" s="372"/>
    <row r="288" ht="15.75" customHeight="1" s="372"/>
    <row r="289" ht="15.75" customHeight="1" s="372"/>
    <row r="290" ht="15.75" customHeight="1" s="372"/>
    <row r="291" ht="15.75" customHeight="1" s="372"/>
    <row r="292" ht="15.75" customHeight="1" s="372"/>
    <row r="293" ht="15.75" customHeight="1" s="372"/>
    <row r="294" ht="15.75" customHeight="1" s="372"/>
    <row r="295" ht="15.75" customHeight="1" s="372"/>
    <row r="296" ht="15.75" customHeight="1" s="372"/>
    <row r="297" ht="15.75" customHeight="1" s="372"/>
    <row r="298" ht="15.75" customHeight="1" s="372"/>
    <row r="299" ht="15.75" customHeight="1" s="372"/>
    <row r="300" ht="15.75" customHeight="1" s="372"/>
    <row r="301" ht="15.75" customHeight="1" s="372"/>
    <row r="302" ht="15.75" customHeight="1" s="372"/>
    <row r="303" ht="15.75" customHeight="1" s="372"/>
    <row r="304" ht="15.75" customHeight="1" s="372"/>
    <row r="305" ht="15.75" customHeight="1" s="372"/>
    <row r="306" ht="15.75" customHeight="1" s="372"/>
    <row r="307" ht="15.75" customHeight="1" s="372"/>
    <row r="308" ht="15.75" customHeight="1" s="372"/>
    <row r="309" ht="15.75" customHeight="1" s="372"/>
    <row r="310" ht="15.75" customHeight="1" s="372"/>
    <row r="311" ht="15.75" customHeight="1" s="372"/>
    <row r="312" ht="15.75" customHeight="1" s="372"/>
    <row r="313" ht="15.75" customHeight="1" s="372"/>
    <row r="314" ht="15.75" customHeight="1" s="372"/>
    <row r="315" ht="15.75" customHeight="1" s="372"/>
    <row r="316" ht="15.75" customHeight="1" s="372"/>
    <row r="317" ht="15.75" customHeight="1" s="372"/>
    <row r="318" ht="15.75" customHeight="1" s="372"/>
    <row r="319" ht="15.75" customHeight="1" s="372"/>
    <row r="320" ht="15.75" customHeight="1" s="372"/>
    <row r="321" ht="15.75" customHeight="1" s="372"/>
    <row r="322" ht="15.75" customHeight="1" s="372"/>
    <row r="323" ht="15.75" customHeight="1" s="372"/>
    <row r="324" ht="15.75" customHeight="1" s="372"/>
    <row r="325" ht="15.75" customHeight="1" s="372"/>
    <row r="326" ht="15.75" customHeight="1" s="372"/>
    <row r="327" ht="15.75" customHeight="1" s="372"/>
    <row r="328" ht="15.75" customHeight="1" s="372"/>
    <row r="329" ht="15.75" customHeight="1" s="372"/>
    <row r="330" ht="15.75" customHeight="1" s="372"/>
    <row r="331" ht="15.75" customHeight="1" s="372"/>
    <row r="332" ht="15.75" customHeight="1" s="372"/>
    <row r="333" ht="15.75" customHeight="1" s="372"/>
    <row r="334" ht="15.75" customHeight="1" s="372"/>
    <row r="335" ht="15.75" customHeight="1" s="372"/>
    <row r="336" ht="15.75" customHeight="1" s="372"/>
    <row r="337" ht="15.75" customHeight="1" s="372"/>
    <row r="338" ht="15.75" customHeight="1" s="372"/>
    <row r="339" ht="15.75" customHeight="1" s="372"/>
    <row r="340" ht="15.75" customHeight="1" s="372"/>
    <row r="341" ht="15.75" customHeight="1" s="372"/>
    <row r="342" ht="15.75" customHeight="1" s="372"/>
    <row r="343" ht="15.75" customHeight="1" s="372"/>
    <row r="344" ht="15.75" customHeight="1" s="372"/>
    <row r="345" ht="15.75" customHeight="1" s="372"/>
    <row r="346" ht="15.75" customHeight="1" s="372"/>
    <row r="347" ht="15.75" customHeight="1" s="372"/>
    <row r="348" ht="15.75" customHeight="1" s="372"/>
    <row r="349" ht="15.75" customHeight="1" s="372"/>
    <row r="350" ht="15.75" customHeight="1" s="372"/>
    <row r="351" ht="15.75" customHeight="1" s="372"/>
    <row r="352" ht="15.75" customHeight="1" s="372"/>
    <row r="353" ht="15.75" customHeight="1" s="372"/>
    <row r="354" ht="15.75" customHeight="1" s="372"/>
    <row r="355" ht="15.75" customHeight="1" s="372"/>
    <row r="356" ht="15.75" customHeight="1" s="372"/>
    <row r="357" ht="15.75" customHeight="1" s="372"/>
    <row r="358" ht="15.75" customHeight="1" s="372"/>
    <row r="359" ht="15.75" customHeight="1" s="372"/>
    <row r="360" ht="15.75" customHeight="1" s="372"/>
    <row r="361" ht="15.75" customHeight="1" s="372"/>
    <row r="362" ht="15.75" customHeight="1" s="372"/>
    <row r="363" ht="15.75" customHeight="1" s="372"/>
    <row r="364" ht="15.75" customHeight="1" s="372"/>
    <row r="365" ht="15.75" customHeight="1" s="372"/>
    <row r="366" ht="15.75" customHeight="1" s="372"/>
    <row r="367" ht="15.75" customHeight="1" s="372"/>
    <row r="368" ht="15.75" customHeight="1" s="372"/>
    <row r="369" ht="15.75" customHeight="1" s="372"/>
    <row r="370" ht="15.75" customHeight="1" s="372"/>
    <row r="371" ht="15.75" customHeight="1" s="372"/>
    <row r="372" ht="15.75" customHeight="1" s="372"/>
    <row r="373" ht="15.75" customHeight="1" s="372"/>
    <row r="374" ht="15.75" customHeight="1" s="372"/>
    <row r="375" ht="15.75" customHeight="1" s="372"/>
    <row r="376" ht="15.75" customHeight="1" s="372"/>
    <row r="377" ht="15.75" customHeight="1" s="372"/>
    <row r="378" ht="15.75" customHeight="1" s="372"/>
    <row r="379" ht="15.75" customHeight="1" s="372"/>
    <row r="380" ht="15.75" customHeight="1" s="372"/>
    <row r="381" ht="15.75" customHeight="1" s="372"/>
    <row r="382" ht="15.75" customHeight="1" s="372"/>
    <row r="383" ht="15.75" customHeight="1" s="372"/>
    <row r="384" ht="15.75" customHeight="1" s="372"/>
    <row r="385" ht="15.75" customHeight="1" s="372"/>
    <row r="386" ht="15.75" customHeight="1" s="372"/>
    <row r="387" ht="15.75" customHeight="1" s="372"/>
    <row r="388" ht="15.75" customHeight="1" s="372"/>
    <row r="389" ht="15.75" customHeight="1" s="372"/>
    <row r="390" ht="15.75" customHeight="1" s="372"/>
    <row r="391" ht="15.75" customHeight="1" s="372"/>
    <row r="392" ht="15.75" customHeight="1" s="372"/>
    <row r="393" ht="15.75" customHeight="1" s="372"/>
    <row r="394" ht="15.75" customHeight="1" s="372"/>
    <row r="395" ht="15.75" customHeight="1" s="372"/>
    <row r="396" ht="15.75" customHeight="1" s="372"/>
    <row r="397" ht="15.75" customHeight="1" s="372"/>
    <row r="398" ht="15.75" customHeight="1" s="372"/>
    <row r="399" ht="15.75" customHeight="1" s="372"/>
    <row r="400" ht="15.75" customHeight="1" s="372"/>
    <row r="401" ht="15.75" customHeight="1" s="372"/>
    <row r="402" ht="15.75" customHeight="1" s="372"/>
    <row r="403" ht="15.75" customHeight="1" s="372"/>
    <row r="404" ht="15.75" customHeight="1" s="372"/>
    <row r="405" ht="15.75" customHeight="1" s="372"/>
    <row r="406" ht="15.75" customHeight="1" s="372"/>
    <row r="407" ht="15.75" customHeight="1" s="372"/>
    <row r="408" ht="15.75" customHeight="1" s="372"/>
    <row r="409" ht="15.75" customHeight="1" s="372"/>
    <row r="410" ht="15.75" customHeight="1" s="372"/>
    <row r="411" ht="15.75" customHeight="1" s="372"/>
    <row r="412" ht="15.75" customHeight="1" s="372"/>
    <row r="413" ht="15.75" customHeight="1" s="372"/>
    <row r="414" ht="15.75" customHeight="1" s="372"/>
    <row r="415" ht="15.75" customHeight="1" s="372"/>
    <row r="416" ht="15.75" customHeight="1" s="372"/>
    <row r="417" ht="15.75" customHeight="1" s="372"/>
    <row r="418" ht="15.75" customHeight="1" s="372"/>
    <row r="419" ht="15.75" customHeight="1" s="372"/>
    <row r="420" ht="15.75" customHeight="1" s="372"/>
    <row r="421" ht="15.75" customHeight="1" s="372"/>
    <row r="422" ht="15.75" customHeight="1" s="372"/>
    <row r="423" ht="15.75" customHeight="1" s="372"/>
    <row r="424" ht="15.75" customHeight="1" s="372"/>
    <row r="425" ht="15.75" customHeight="1" s="372"/>
    <row r="426" ht="15.75" customHeight="1" s="372"/>
    <row r="427" ht="15.75" customHeight="1" s="372"/>
    <row r="428" ht="15.75" customHeight="1" s="372"/>
    <row r="429" ht="15.75" customHeight="1" s="372"/>
    <row r="430" ht="15.75" customHeight="1" s="372"/>
    <row r="431" ht="15.75" customHeight="1" s="372"/>
    <row r="432" ht="15.75" customHeight="1" s="372"/>
    <row r="433" ht="15.75" customHeight="1" s="372"/>
    <row r="434" ht="15.75" customHeight="1" s="372"/>
    <row r="435" ht="15.75" customHeight="1" s="372"/>
    <row r="436" ht="15.75" customHeight="1" s="372"/>
    <row r="437" ht="15.75" customHeight="1" s="372"/>
    <row r="438" ht="15.75" customHeight="1" s="372"/>
    <row r="439" ht="15.75" customHeight="1" s="372"/>
    <row r="440" ht="15.75" customHeight="1" s="372"/>
    <row r="441" ht="15.75" customHeight="1" s="372"/>
    <row r="442" ht="15.75" customHeight="1" s="372"/>
    <row r="443" ht="15.75" customHeight="1" s="372"/>
    <row r="444" ht="15.75" customHeight="1" s="372"/>
    <row r="445" ht="15.75" customHeight="1" s="372"/>
    <row r="446" ht="15.75" customHeight="1" s="372"/>
    <row r="447" ht="15.75" customHeight="1" s="372"/>
    <row r="448" ht="15.75" customHeight="1" s="372"/>
    <row r="449" ht="15.75" customHeight="1" s="372"/>
    <row r="450" ht="15.75" customHeight="1" s="372"/>
    <row r="451" ht="15.75" customHeight="1" s="372"/>
    <row r="452" ht="15.75" customHeight="1" s="372"/>
    <row r="453" ht="15.75" customHeight="1" s="372"/>
    <row r="454" ht="15.75" customHeight="1" s="372"/>
    <row r="455" ht="15.75" customHeight="1" s="372"/>
    <row r="456" ht="15.75" customHeight="1" s="372"/>
    <row r="457" ht="15.75" customHeight="1" s="372"/>
    <row r="458" ht="15.75" customHeight="1" s="372"/>
    <row r="459" ht="15.75" customHeight="1" s="372"/>
    <row r="460" ht="15.75" customHeight="1" s="372"/>
    <row r="461" ht="15.75" customHeight="1" s="372"/>
    <row r="462" ht="15.75" customHeight="1" s="372"/>
    <row r="463" ht="15.75" customHeight="1" s="372"/>
    <row r="464" ht="15.75" customHeight="1" s="372"/>
    <row r="465" ht="15.75" customHeight="1" s="372"/>
    <row r="466" ht="15.75" customHeight="1" s="372"/>
    <row r="467" ht="15.75" customHeight="1" s="372"/>
    <row r="468" ht="15.75" customHeight="1" s="372"/>
    <row r="469" ht="15.75" customHeight="1" s="372"/>
    <row r="470" ht="15.75" customHeight="1" s="372"/>
    <row r="471" ht="15.75" customHeight="1" s="372"/>
    <row r="472" ht="15.75" customHeight="1" s="372"/>
    <row r="473" ht="15.75" customHeight="1" s="372"/>
    <row r="474" ht="15.75" customHeight="1" s="372"/>
    <row r="475" ht="15.75" customHeight="1" s="372"/>
    <row r="476" ht="15.75" customHeight="1" s="372"/>
    <row r="477" ht="15.75" customHeight="1" s="372"/>
    <row r="478" ht="15.75" customHeight="1" s="372"/>
    <row r="479" ht="15.75" customHeight="1" s="372"/>
    <row r="480" ht="15.75" customHeight="1" s="372"/>
    <row r="481" ht="15.75" customHeight="1" s="372"/>
    <row r="482" ht="15.75" customHeight="1" s="372"/>
    <row r="483" ht="15.75" customHeight="1" s="372"/>
    <row r="484" ht="15.75" customHeight="1" s="372"/>
    <row r="485" ht="15.75" customHeight="1" s="372"/>
    <row r="486" ht="15.75" customHeight="1" s="372"/>
    <row r="487" ht="15.75" customHeight="1" s="372"/>
    <row r="488" ht="15.75" customHeight="1" s="372"/>
    <row r="489" ht="15.75" customHeight="1" s="372"/>
    <row r="490" ht="15.75" customHeight="1" s="372"/>
    <row r="491" ht="15.75" customHeight="1" s="372"/>
    <row r="492" ht="15.75" customHeight="1" s="372"/>
    <row r="493" ht="15.75" customHeight="1" s="372"/>
    <row r="494" ht="15.75" customHeight="1" s="372"/>
    <row r="495" ht="15.75" customHeight="1" s="372"/>
    <row r="496" ht="15.75" customHeight="1" s="372"/>
    <row r="497" ht="15.75" customHeight="1" s="372"/>
    <row r="498" ht="15.75" customHeight="1" s="372"/>
    <row r="499" ht="15.75" customHeight="1" s="372"/>
    <row r="500" ht="15.75" customHeight="1" s="372"/>
    <row r="501" ht="15.75" customHeight="1" s="372"/>
    <row r="502" ht="15.75" customHeight="1" s="372"/>
    <row r="503" ht="15.75" customHeight="1" s="372"/>
    <row r="504" ht="15.75" customHeight="1" s="372"/>
    <row r="505" ht="15.75" customHeight="1" s="372"/>
    <row r="506" ht="15.75" customHeight="1" s="372"/>
    <row r="507" ht="15.75" customHeight="1" s="372"/>
    <row r="508" ht="15.75" customHeight="1" s="372"/>
    <row r="509" ht="15.75" customHeight="1" s="372"/>
    <row r="510" ht="15.75" customHeight="1" s="372"/>
    <row r="511" ht="15.75" customHeight="1" s="372"/>
    <row r="512" ht="15.75" customHeight="1" s="372"/>
    <row r="513" ht="15.75" customHeight="1" s="372"/>
    <row r="514" ht="15.75" customHeight="1" s="372"/>
    <row r="515" ht="15.75" customHeight="1" s="372"/>
    <row r="516" ht="15.75" customHeight="1" s="372"/>
    <row r="517" ht="15.75" customHeight="1" s="372"/>
    <row r="518" ht="15.75" customHeight="1" s="372"/>
    <row r="519" ht="15.75" customHeight="1" s="372"/>
    <row r="520" ht="15.75" customHeight="1" s="372"/>
    <row r="521" ht="15.75" customHeight="1" s="372"/>
    <row r="522" ht="15.75" customHeight="1" s="372"/>
    <row r="523" ht="15.75" customHeight="1" s="372"/>
    <row r="524" ht="15.75" customHeight="1" s="372"/>
    <row r="525" ht="15.75" customHeight="1" s="372"/>
    <row r="526" ht="15.75" customHeight="1" s="372"/>
    <row r="527" ht="15.75" customHeight="1" s="372"/>
    <row r="528" ht="15.75" customHeight="1" s="372"/>
    <row r="529" ht="15.75" customHeight="1" s="372"/>
    <row r="530" ht="15.75" customHeight="1" s="372"/>
    <row r="531" ht="15.75" customHeight="1" s="372"/>
    <row r="532" ht="15.75" customHeight="1" s="372"/>
    <row r="533" ht="15.75" customHeight="1" s="372"/>
    <row r="534" ht="15.75" customHeight="1" s="372"/>
    <row r="535" ht="15.75" customHeight="1" s="372"/>
    <row r="536" ht="15.75" customHeight="1" s="372"/>
    <row r="537" ht="15.75" customHeight="1" s="372"/>
    <row r="538" ht="15.75" customHeight="1" s="372"/>
    <row r="539" ht="15.75" customHeight="1" s="372"/>
    <row r="540" ht="15.75" customHeight="1" s="372"/>
    <row r="541" ht="15.75" customHeight="1" s="372"/>
    <row r="542" ht="15.75" customHeight="1" s="372"/>
    <row r="543" ht="15.75" customHeight="1" s="372"/>
    <row r="544" ht="15.75" customHeight="1" s="372"/>
    <row r="545" ht="15.75" customHeight="1" s="372"/>
    <row r="546" ht="15.75" customHeight="1" s="372"/>
    <row r="547" ht="15.75" customHeight="1" s="372"/>
    <row r="548" ht="15.75" customHeight="1" s="372"/>
    <row r="549" ht="15.75" customHeight="1" s="372"/>
    <row r="550" ht="15.75" customHeight="1" s="372"/>
    <row r="551" ht="15.75" customHeight="1" s="372"/>
    <row r="552" ht="15.75" customHeight="1" s="372"/>
    <row r="553" ht="15.75" customHeight="1" s="372"/>
    <row r="554" ht="15.75" customHeight="1" s="372"/>
    <row r="555" ht="15.75" customHeight="1" s="372"/>
    <row r="556" ht="15.75" customHeight="1" s="372"/>
    <row r="557" ht="15.75" customHeight="1" s="372"/>
    <row r="558" ht="15.75" customHeight="1" s="372"/>
    <row r="559" ht="15.75" customHeight="1" s="372"/>
    <row r="560" ht="15.75" customHeight="1" s="372"/>
    <row r="561" ht="15.75" customHeight="1" s="372"/>
    <row r="562" ht="15.75" customHeight="1" s="372"/>
    <row r="563" ht="15.75" customHeight="1" s="372"/>
    <row r="564" ht="15.75" customHeight="1" s="372"/>
    <row r="565" ht="15.75" customHeight="1" s="372"/>
    <row r="566" ht="15.75" customHeight="1" s="372"/>
    <row r="567" ht="15.75" customHeight="1" s="372"/>
    <row r="568" ht="15.75" customHeight="1" s="372"/>
    <row r="569" ht="15.75" customHeight="1" s="372"/>
    <row r="570" ht="15.75" customHeight="1" s="372"/>
    <row r="571" ht="15.75" customHeight="1" s="372"/>
    <row r="572" ht="15.75" customHeight="1" s="372"/>
    <row r="573" ht="15.75" customHeight="1" s="372"/>
    <row r="574" ht="15.75" customHeight="1" s="372"/>
    <row r="575" ht="15.75" customHeight="1" s="372"/>
    <row r="576" ht="15.75" customHeight="1" s="372"/>
    <row r="577" ht="15.75" customHeight="1" s="372"/>
    <row r="578" ht="15.75" customHeight="1" s="372"/>
    <row r="579" ht="15.75" customHeight="1" s="372"/>
    <row r="580" ht="15.75" customHeight="1" s="372"/>
    <row r="581" ht="15.75" customHeight="1" s="372"/>
    <row r="582" ht="15.75" customHeight="1" s="372"/>
    <row r="583" ht="15.75" customHeight="1" s="372"/>
    <row r="584" ht="15.75" customHeight="1" s="372"/>
    <row r="585" ht="15.75" customHeight="1" s="372"/>
    <row r="586" ht="15.75" customHeight="1" s="372"/>
    <row r="587" ht="15.75" customHeight="1" s="372"/>
    <row r="588" ht="15.75" customHeight="1" s="372"/>
    <row r="589" ht="15.75" customHeight="1" s="372"/>
    <row r="590" ht="15.75" customHeight="1" s="372"/>
    <row r="591" ht="15.75" customHeight="1" s="372"/>
    <row r="592" ht="15.75" customHeight="1" s="372"/>
    <row r="593" ht="15.75" customHeight="1" s="372"/>
    <row r="594" ht="15.75" customHeight="1" s="372"/>
    <row r="595" ht="15.75" customHeight="1" s="372"/>
    <row r="596" ht="15.75" customHeight="1" s="372"/>
    <row r="597" ht="15.75" customHeight="1" s="372"/>
    <row r="598" ht="15.75" customHeight="1" s="372"/>
    <row r="599" ht="15.75" customHeight="1" s="372"/>
    <row r="600" ht="15.75" customHeight="1" s="372"/>
    <row r="601" ht="15.75" customHeight="1" s="372"/>
    <row r="602" ht="15.75" customHeight="1" s="372"/>
    <row r="603" ht="15.75" customHeight="1" s="372"/>
    <row r="604" ht="15.75" customHeight="1" s="372"/>
    <row r="605" ht="15.75" customHeight="1" s="372"/>
    <row r="606" ht="15.75" customHeight="1" s="372"/>
    <row r="607" ht="15.75" customHeight="1" s="372"/>
    <row r="608" ht="15.75" customHeight="1" s="372"/>
    <row r="609" ht="15.75" customHeight="1" s="372"/>
    <row r="610" ht="15.75" customHeight="1" s="372"/>
    <row r="611" ht="15.75" customHeight="1" s="372"/>
    <row r="612" ht="15.75" customHeight="1" s="372"/>
    <row r="613" ht="15.75" customHeight="1" s="372"/>
    <row r="614" ht="15.75" customHeight="1" s="372"/>
    <row r="615" ht="15.75" customHeight="1" s="372"/>
    <row r="616" ht="15.75" customHeight="1" s="372"/>
    <row r="617" ht="15.75" customHeight="1" s="372"/>
    <row r="618" ht="15.75" customHeight="1" s="372"/>
    <row r="619" ht="15.75" customHeight="1" s="372"/>
    <row r="620" ht="15.75" customHeight="1" s="372"/>
    <row r="621" ht="15.75" customHeight="1" s="372"/>
    <row r="622" ht="15.75" customHeight="1" s="372"/>
    <row r="623" ht="15.75" customHeight="1" s="372"/>
    <row r="624" ht="15.75" customHeight="1" s="372"/>
    <row r="625" ht="15.75" customHeight="1" s="372"/>
    <row r="626" ht="15.75" customHeight="1" s="372"/>
    <row r="627" ht="15.75" customHeight="1" s="372"/>
    <row r="628" ht="15.75" customHeight="1" s="372"/>
    <row r="629" ht="15.75" customHeight="1" s="372"/>
    <row r="630" ht="15.75" customHeight="1" s="372"/>
    <row r="631" ht="15.75" customHeight="1" s="372"/>
    <row r="632" ht="15.75" customHeight="1" s="372"/>
    <row r="633" ht="15.75" customHeight="1" s="372"/>
    <row r="634" ht="15.75" customHeight="1" s="372"/>
    <row r="635" ht="15.75" customHeight="1" s="372"/>
    <row r="636" ht="15.75" customHeight="1" s="372"/>
    <row r="637" ht="15.75" customHeight="1" s="372"/>
    <row r="638" ht="15.75" customHeight="1" s="372"/>
    <row r="639" ht="15.75" customHeight="1" s="372"/>
    <row r="640" ht="15.75" customHeight="1" s="372"/>
    <row r="641" ht="15.75" customHeight="1" s="372"/>
    <row r="642" ht="15.75" customHeight="1" s="372"/>
    <row r="643" ht="15.75" customHeight="1" s="372"/>
    <row r="644" ht="15.75" customHeight="1" s="372"/>
    <row r="645" ht="15.75" customHeight="1" s="372"/>
    <row r="646" ht="15.75" customHeight="1" s="372"/>
    <row r="647" ht="15.75" customHeight="1" s="372"/>
    <row r="648" ht="15.75" customHeight="1" s="372"/>
    <row r="649" ht="15.75" customHeight="1" s="372"/>
    <row r="650" ht="15.75" customHeight="1" s="372"/>
    <row r="651" ht="15.75" customHeight="1" s="372"/>
    <row r="652" ht="15.75" customHeight="1" s="372"/>
    <row r="653" ht="15.75" customHeight="1" s="372"/>
    <row r="654" ht="15.75" customHeight="1" s="372"/>
    <row r="655" ht="15.75" customHeight="1" s="372"/>
    <row r="656" ht="15.75" customHeight="1" s="372"/>
    <row r="657" ht="15.75" customHeight="1" s="372"/>
    <row r="658" ht="15.75" customHeight="1" s="372"/>
    <row r="659" ht="15.75" customHeight="1" s="372"/>
    <row r="660" ht="15.75" customHeight="1" s="372"/>
    <row r="661" ht="15.75" customHeight="1" s="372"/>
    <row r="662" ht="15.75" customHeight="1" s="372"/>
    <row r="663" ht="15.75" customHeight="1" s="372"/>
    <row r="664" ht="15.75" customHeight="1" s="372"/>
    <row r="665" ht="15.75" customHeight="1" s="372"/>
    <row r="666" ht="15.75" customHeight="1" s="372"/>
    <row r="667" ht="15.75" customHeight="1" s="372"/>
    <row r="668" ht="15.75" customHeight="1" s="372"/>
    <row r="669" ht="15.75" customHeight="1" s="372"/>
    <row r="670" ht="15.75" customHeight="1" s="372"/>
    <row r="671" ht="15.75" customHeight="1" s="372"/>
    <row r="672" ht="15.75" customHeight="1" s="372"/>
    <row r="673" ht="15.75" customHeight="1" s="372"/>
    <row r="674" ht="15.75" customHeight="1" s="372"/>
    <row r="675" ht="15.75" customHeight="1" s="372"/>
    <row r="676" ht="15.75" customHeight="1" s="372"/>
    <row r="677" ht="15.75" customHeight="1" s="372"/>
    <row r="678" ht="15.75" customHeight="1" s="372"/>
    <row r="679" ht="15.75" customHeight="1" s="372"/>
    <row r="680" ht="15.75" customHeight="1" s="372"/>
    <row r="681" ht="15.75" customHeight="1" s="372"/>
    <row r="682" ht="15.75" customHeight="1" s="372"/>
    <row r="683" ht="15.75" customHeight="1" s="372"/>
    <row r="684" ht="15.75" customHeight="1" s="372"/>
    <row r="685" ht="15.75" customHeight="1" s="372"/>
    <row r="686" ht="15.75" customHeight="1" s="372"/>
    <row r="687" ht="15.75" customHeight="1" s="372"/>
    <row r="688" ht="15.75" customHeight="1" s="372"/>
    <row r="689" ht="15.75" customHeight="1" s="372"/>
    <row r="690" ht="15.75" customHeight="1" s="372"/>
    <row r="691" ht="15.75" customHeight="1" s="372"/>
    <row r="692" ht="15.75" customHeight="1" s="372"/>
    <row r="693" ht="15.75" customHeight="1" s="372"/>
    <row r="694" ht="15.75" customHeight="1" s="372"/>
    <row r="695" ht="15.75" customHeight="1" s="372"/>
    <row r="696" ht="15.75" customHeight="1" s="372"/>
    <row r="697" ht="15.75" customHeight="1" s="372"/>
    <row r="698" ht="15.75" customHeight="1" s="372"/>
    <row r="699" ht="15.75" customHeight="1" s="372"/>
    <row r="700" ht="15.75" customHeight="1" s="372"/>
    <row r="701" ht="15.75" customHeight="1" s="372"/>
    <row r="702" ht="15.75" customHeight="1" s="372"/>
    <row r="703" ht="15.75" customHeight="1" s="372"/>
    <row r="704" ht="15.75" customHeight="1" s="372"/>
    <row r="705" ht="15.75" customHeight="1" s="372"/>
    <row r="706" ht="15.75" customHeight="1" s="372"/>
    <row r="707" ht="15.75" customHeight="1" s="372"/>
    <row r="708" ht="15.75" customHeight="1" s="372"/>
    <row r="709" ht="15.75" customHeight="1" s="372"/>
    <row r="710" ht="15.75" customHeight="1" s="372"/>
    <row r="711" ht="15.75" customHeight="1" s="372"/>
    <row r="712" ht="15.75" customHeight="1" s="372"/>
    <row r="713" ht="15.75" customHeight="1" s="372"/>
    <row r="714" ht="15.75" customHeight="1" s="372"/>
    <row r="715" ht="15.75" customHeight="1" s="372"/>
    <row r="716" ht="15.75" customHeight="1" s="372"/>
    <row r="717" ht="15.75" customHeight="1" s="372"/>
    <row r="718" ht="15.75" customHeight="1" s="372"/>
    <row r="719" ht="15.75" customHeight="1" s="372"/>
    <row r="720" ht="15.75" customHeight="1" s="372"/>
    <row r="721" ht="15.75" customHeight="1" s="372"/>
    <row r="722" ht="15.75" customHeight="1" s="372"/>
    <row r="723" ht="15.75" customHeight="1" s="372"/>
    <row r="724" ht="15.75" customHeight="1" s="372"/>
    <row r="725" ht="15.75" customHeight="1" s="372"/>
    <row r="726" ht="15.75" customHeight="1" s="372"/>
    <row r="727" ht="15.75" customHeight="1" s="372"/>
    <row r="728" ht="15.75" customHeight="1" s="372"/>
    <row r="729" ht="15.75" customHeight="1" s="372"/>
    <row r="730" ht="15.75" customHeight="1" s="372"/>
    <row r="731" ht="15.75" customHeight="1" s="372"/>
    <row r="732" ht="15.75" customHeight="1" s="372"/>
    <row r="733" ht="15.75" customHeight="1" s="372"/>
    <row r="734" ht="15.75" customHeight="1" s="372"/>
    <row r="735" ht="15.75" customHeight="1" s="372"/>
    <row r="736" ht="15.75" customHeight="1" s="372"/>
    <row r="737" ht="15.75" customHeight="1" s="372"/>
    <row r="738" ht="15.75" customHeight="1" s="372"/>
    <row r="739" ht="15.75" customHeight="1" s="372"/>
    <row r="740" ht="15.75" customHeight="1" s="372"/>
    <row r="741" ht="15.75" customHeight="1" s="372"/>
    <row r="742" ht="15.75" customHeight="1" s="372"/>
    <row r="743" ht="15.75" customHeight="1" s="372"/>
    <row r="744" ht="15.75" customHeight="1" s="372"/>
    <row r="745" ht="15.75" customHeight="1" s="372"/>
    <row r="746" ht="15.75" customHeight="1" s="372"/>
    <row r="747" ht="15.75" customHeight="1" s="372"/>
    <row r="748" ht="15.75" customHeight="1" s="372"/>
    <row r="749" ht="15.75" customHeight="1" s="372"/>
    <row r="750" ht="15.75" customHeight="1" s="372"/>
    <row r="751" ht="15.75" customHeight="1" s="372"/>
    <row r="752" ht="15.75" customHeight="1" s="372"/>
    <row r="753" ht="15.75" customHeight="1" s="372"/>
    <row r="754" ht="15.75" customHeight="1" s="372"/>
    <row r="755" ht="15.75" customHeight="1" s="372"/>
    <row r="756" ht="15.75" customHeight="1" s="372"/>
    <row r="757" ht="15.75" customHeight="1" s="372"/>
    <row r="758" ht="15.75" customHeight="1" s="372"/>
    <row r="759" ht="15.75" customHeight="1" s="372"/>
    <row r="760" ht="15.75" customHeight="1" s="372"/>
    <row r="761" ht="15.75" customHeight="1" s="372"/>
    <row r="762" ht="15.75" customHeight="1" s="372"/>
    <row r="763" ht="15.75" customHeight="1" s="372"/>
    <row r="764" ht="15.75" customHeight="1" s="372"/>
    <row r="765" ht="15.75" customHeight="1" s="372"/>
    <row r="766" ht="15.75" customHeight="1" s="372"/>
    <row r="767" ht="15.75" customHeight="1" s="372"/>
    <row r="768" ht="15.75" customHeight="1" s="372"/>
    <row r="769" ht="15.75" customHeight="1" s="372"/>
    <row r="770" ht="15.75" customHeight="1" s="372"/>
    <row r="771" ht="15.75" customHeight="1" s="372"/>
    <row r="772" ht="15.75" customHeight="1" s="372"/>
    <row r="773" ht="15.75" customHeight="1" s="372"/>
    <row r="774" ht="15.75" customHeight="1" s="372"/>
    <row r="775" ht="15.75" customHeight="1" s="372"/>
    <row r="776" ht="15.75" customHeight="1" s="372"/>
    <row r="777" ht="15.75" customHeight="1" s="372"/>
    <row r="778" ht="15.75" customHeight="1" s="372"/>
    <row r="779" ht="15.75" customHeight="1" s="372"/>
    <row r="780" ht="15.75" customHeight="1" s="372"/>
    <row r="781" ht="15.75" customHeight="1" s="372"/>
    <row r="782" ht="15.75" customHeight="1" s="372"/>
    <row r="783" ht="15.75" customHeight="1" s="372"/>
    <row r="784" ht="15.75" customHeight="1" s="372"/>
    <row r="785" ht="15.75" customHeight="1" s="372"/>
    <row r="786" ht="15.75" customHeight="1" s="372"/>
    <row r="787" ht="15.75" customHeight="1" s="372"/>
    <row r="788" ht="15.75" customHeight="1" s="372"/>
    <row r="789" ht="15.75" customHeight="1" s="372"/>
    <row r="790" ht="15.75" customHeight="1" s="372"/>
    <row r="791" ht="15.75" customHeight="1" s="372"/>
    <row r="792" ht="15.75" customHeight="1" s="372"/>
    <row r="793" ht="15.75" customHeight="1" s="372"/>
    <row r="794" ht="15.75" customHeight="1" s="372"/>
    <row r="795" ht="15.75" customHeight="1" s="372"/>
    <row r="796" ht="15.75" customHeight="1" s="372"/>
    <row r="797" ht="15.75" customHeight="1" s="372"/>
    <row r="798" ht="15.75" customHeight="1" s="372"/>
    <row r="799" ht="15.75" customHeight="1" s="372"/>
    <row r="800" ht="15.75" customHeight="1" s="372"/>
    <row r="801" ht="15.75" customHeight="1" s="372"/>
    <row r="802" ht="15.75" customHeight="1" s="372"/>
    <row r="803" ht="15.75" customHeight="1" s="372"/>
    <row r="804" ht="15.75" customHeight="1" s="372"/>
    <row r="805" ht="15.75" customHeight="1" s="372"/>
    <row r="806" ht="15.75" customHeight="1" s="372"/>
    <row r="807" ht="15.75" customHeight="1" s="372"/>
    <row r="808" ht="15.75" customHeight="1" s="372"/>
    <row r="809" ht="15.75" customHeight="1" s="372"/>
    <row r="810" ht="15.75" customHeight="1" s="372"/>
    <row r="811" ht="15.75" customHeight="1" s="372"/>
    <row r="812" ht="15.75" customHeight="1" s="372"/>
    <row r="813" ht="15.75" customHeight="1" s="372"/>
    <row r="814" ht="15.75" customHeight="1" s="372"/>
    <row r="815" ht="15.75" customHeight="1" s="372"/>
    <row r="816" ht="15.75" customHeight="1" s="372"/>
    <row r="817" ht="15.75" customHeight="1" s="372"/>
    <row r="818" ht="15.75" customHeight="1" s="372"/>
    <row r="819" ht="15.75" customHeight="1" s="372"/>
    <row r="820" ht="15.75" customHeight="1" s="372"/>
    <row r="821" ht="15.75" customHeight="1" s="372"/>
    <row r="822" ht="15.75" customHeight="1" s="372"/>
    <row r="823" ht="15.75" customHeight="1" s="372"/>
    <row r="824" ht="15.75" customHeight="1" s="372"/>
    <row r="825" ht="15.75" customHeight="1" s="372"/>
    <row r="826" ht="15.75" customHeight="1" s="372"/>
    <row r="827" ht="15.75" customHeight="1" s="372"/>
    <row r="828" ht="15.75" customHeight="1" s="372"/>
    <row r="829" ht="15.75" customHeight="1" s="372"/>
    <row r="830" ht="15.75" customHeight="1" s="372"/>
    <row r="831" ht="15.75" customHeight="1" s="372"/>
    <row r="832" ht="15.75" customHeight="1" s="372"/>
    <row r="833" ht="15.75" customHeight="1" s="372"/>
    <row r="834" ht="15.75" customHeight="1" s="372"/>
    <row r="835" ht="15.75" customHeight="1" s="372"/>
    <row r="836" ht="15.75" customHeight="1" s="372"/>
    <row r="837" ht="15.75" customHeight="1" s="372"/>
    <row r="838" ht="15.75" customHeight="1" s="372"/>
    <row r="839" ht="15.75" customHeight="1" s="372"/>
    <row r="840" ht="15.75" customHeight="1" s="372"/>
    <row r="841" ht="15.75" customHeight="1" s="372"/>
    <row r="842" ht="15.75" customHeight="1" s="372"/>
    <row r="843" ht="15.75" customHeight="1" s="372"/>
    <row r="844" ht="15.75" customHeight="1" s="372"/>
    <row r="845" ht="15.75" customHeight="1" s="372"/>
    <row r="846" ht="15.75" customHeight="1" s="372"/>
    <row r="847" ht="15.75" customHeight="1" s="372"/>
    <row r="848" ht="15.75" customHeight="1" s="372"/>
    <row r="849" ht="15.75" customHeight="1" s="372"/>
    <row r="850" ht="15.75" customHeight="1" s="372"/>
    <row r="851" ht="15.75" customHeight="1" s="372"/>
    <row r="852" ht="15.75" customHeight="1" s="372"/>
    <row r="853" ht="15.75" customHeight="1" s="372"/>
    <row r="854" ht="15.75" customHeight="1" s="372"/>
    <row r="855" ht="15.75" customHeight="1" s="372"/>
    <row r="856" ht="15.75" customHeight="1" s="372"/>
    <row r="857" ht="15.75" customHeight="1" s="372"/>
    <row r="858" ht="15.75" customHeight="1" s="372"/>
    <row r="859" ht="15.75" customHeight="1" s="372"/>
    <row r="860" ht="15.75" customHeight="1" s="372"/>
    <row r="861" ht="15.75" customHeight="1" s="372"/>
    <row r="862" ht="15.75" customHeight="1" s="372"/>
    <row r="863" ht="15.75" customHeight="1" s="372"/>
    <row r="864" ht="15.75" customHeight="1" s="372"/>
    <row r="865" ht="15.75" customHeight="1" s="372"/>
    <row r="866" ht="15.75" customHeight="1" s="372"/>
    <row r="867" ht="15.75" customHeight="1" s="372"/>
    <row r="868" ht="15.75" customHeight="1" s="372"/>
    <row r="869" ht="15.75" customHeight="1" s="372"/>
    <row r="870" ht="15.75" customHeight="1" s="372"/>
    <row r="871" ht="15.75" customHeight="1" s="372"/>
    <row r="872" ht="15.75" customHeight="1" s="372"/>
    <row r="873" ht="15.75" customHeight="1" s="372"/>
    <row r="874" ht="15.75" customHeight="1" s="372"/>
    <row r="875" ht="15.75" customHeight="1" s="372"/>
    <row r="876" ht="15.75" customHeight="1" s="372"/>
    <row r="877" ht="15.75" customHeight="1" s="372"/>
    <row r="878" ht="15.75" customHeight="1" s="372"/>
    <row r="879" ht="15.75" customHeight="1" s="372"/>
    <row r="880" ht="15.75" customHeight="1" s="372"/>
    <row r="881" ht="15.75" customHeight="1" s="372"/>
    <row r="882" ht="15.75" customHeight="1" s="372"/>
    <row r="883" ht="15.75" customHeight="1" s="372"/>
    <row r="884" ht="15.75" customHeight="1" s="372"/>
    <row r="885" ht="15.75" customHeight="1" s="372"/>
    <row r="886" ht="15.75" customHeight="1" s="372"/>
    <row r="887" ht="15.75" customHeight="1" s="372"/>
    <row r="888" ht="15.75" customHeight="1" s="372"/>
    <row r="889" ht="15.75" customHeight="1" s="372"/>
    <row r="890" ht="15.75" customHeight="1" s="372"/>
    <row r="891" ht="15.75" customHeight="1" s="372"/>
    <row r="892" ht="15.75" customHeight="1" s="372"/>
    <row r="893" ht="15.75" customHeight="1" s="372"/>
    <row r="894" ht="15.75" customHeight="1" s="372"/>
    <row r="895" ht="15.75" customHeight="1" s="372"/>
    <row r="896" ht="15.75" customHeight="1" s="372"/>
    <row r="897" ht="15.75" customHeight="1" s="372"/>
    <row r="898" ht="15.75" customHeight="1" s="372"/>
    <row r="899" ht="15.75" customHeight="1" s="372"/>
    <row r="900" ht="15.75" customHeight="1" s="372"/>
    <row r="901" ht="15.75" customHeight="1" s="372"/>
    <row r="902" ht="15.75" customHeight="1" s="372"/>
    <row r="903" ht="15.75" customHeight="1" s="372"/>
    <row r="904" ht="15.75" customHeight="1" s="372"/>
    <row r="905" ht="15.75" customHeight="1" s="372"/>
    <row r="906" ht="15.75" customHeight="1" s="372"/>
    <row r="907" ht="15.75" customHeight="1" s="372"/>
    <row r="908" ht="15.75" customHeight="1" s="372"/>
    <row r="909" ht="15.75" customHeight="1" s="372"/>
    <row r="910" ht="15.75" customHeight="1" s="372"/>
    <row r="911" ht="15.75" customHeight="1" s="372"/>
    <row r="912" ht="15.75" customHeight="1" s="372"/>
    <row r="913" ht="15.75" customHeight="1" s="372"/>
    <row r="914" ht="15.75" customHeight="1" s="372"/>
    <row r="915" ht="15.75" customHeight="1" s="372"/>
    <row r="916" ht="15.75" customHeight="1" s="372"/>
    <row r="917" ht="15.75" customHeight="1" s="372"/>
    <row r="918" ht="15.75" customHeight="1" s="372"/>
    <row r="919" ht="15.75" customHeight="1" s="372"/>
    <row r="920" ht="15.75" customHeight="1" s="372"/>
    <row r="921" ht="15.75" customHeight="1" s="372"/>
    <row r="922" ht="15.75" customHeight="1" s="372"/>
    <row r="923" ht="15.75" customHeight="1" s="372"/>
    <row r="924" ht="15.75" customHeight="1" s="372"/>
    <row r="925" ht="15.75" customHeight="1" s="372"/>
    <row r="926" ht="15.75" customHeight="1" s="372"/>
    <row r="927" ht="15.75" customHeight="1" s="372"/>
    <row r="928" ht="15.75" customHeight="1" s="372"/>
    <row r="929" ht="15.75" customHeight="1" s="372"/>
    <row r="930" ht="15.75" customHeight="1" s="372"/>
    <row r="931" ht="15.75" customHeight="1" s="372"/>
    <row r="932" ht="15.75" customHeight="1" s="372"/>
    <row r="933" ht="15.75" customHeight="1" s="372"/>
    <row r="934" ht="15.75" customHeight="1" s="372"/>
    <row r="935" ht="15.75" customHeight="1" s="372"/>
    <row r="936" ht="15.75" customHeight="1" s="372"/>
    <row r="937" ht="15.75" customHeight="1" s="372"/>
    <row r="938" ht="15.75" customHeight="1" s="372"/>
    <row r="939" ht="15.75" customHeight="1" s="372"/>
    <row r="940" ht="15.75" customHeight="1" s="372"/>
    <row r="941" ht="15.75" customHeight="1" s="372"/>
    <row r="942" ht="15.75" customHeight="1" s="372"/>
    <row r="943" ht="15.75" customHeight="1" s="372"/>
    <row r="944" ht="15.75" customHeight="1" s="372"/>
    <row r="945" ht="15.75" customHeight="1" s="372"/>
    <row r="946" ht="15.75" customHeight="1" s="372"/>
    <row r="947" ht="15.75" customHeight="1" s="372"/>
    <row r="948" ht="15.75" customHeight="1" s="372"/>
    <row r="949" ht="15.75" customHeight="1" s="372"/>
    <row r="950" ht="15.75" customHeight="1" s="372"/>
    <row r="951" ht="15.75" customHeight="1" s="372"/>
    <row r="952" ht="15.75" customHeight="1" s="372"/>
    <row r="953" ht="15.75" customHeight="1" s="372"/>
    <row r="954" ht="15.75" customHeight="1" s="372"/>
    <row r="955" ht="15.75" customHeight="1" s="372"/>
    <row r="956" ht="15.75" customHeight="1" s="372"/>
    <row r="957" ht="15.75" customHeight="1" s="372"/>
    <row r="958" ht="15.75" customHeight="1" s="372"/>
    <row r="959" ht="15.75" customHeight="1" s="372"/>
    <row r="960" ht="15.75" customHeight="1" s="372"/>
    <row r="961" ht="15.75" customHeight="1" s="372"/>
    <row r="962" ht="15.75" customHeight="1" s="372"/>
    <row r="963" ht="15.75" customHeight="1" s="372"/>
    <row r="964" ht="15.75" customHeight="1" s="372"/>
    <row r="965" ht="15.75" customHeight="1" s="372"/>
    <row r="966" ht="15.75" customHeight="1" s="372"/>
    <row r="967" ht="15.75" customHeight="1" s="372"/>
    <row r="968" ht="15.75" customHeight="1" s="372"/>
    <row r="969" ht="15.75" customHeight="1" s="372"/>
    <row r="970" ht="15.75" customHeight="1" s="372"/>
    <row r="971" ht="15.75" customHeight="1" s="372"/>
    <row r="972" ht="15.75" customHeight="1" s="372"/>
    <row r="973" ht="15.75" customHeight="1" s="372"/>
    <row r="974" ht="15.75" customHeight="1" s="372"/>
    <row r="975" ht="15.75" customHeight="1" s="372"/>
    <row r="976" ht="15.75" customHeight="1" s="372"/>
    <row r="977" ht="15.75" customHeight="1" s="372"/>
    <row r="978" ht="15.75" customHeight="1" s="372"/>
    <row r="979" ht="15.75" customHeight="1" s="372"/>
    <row r="980" ht="15.75" customHeight="1" s="372"/>
    <row r="981" ht="15.75" customHeight="1" s="372"/>
    <row r="982" ht="15.75" customHeight="1" s="372"/>
    <row r="983" ht="15.75" customHeight="1" s="372"/>
    <row r="984" ht="15.75" customHeight="1" s="372"/>
    <row r="985" ht="15.75" customHeight="1" s="372"/>
    <row r="986" ht="15.75" customHeight="1" s="372"/>
    <row r="987" ht="15.75" customHeight="1" s="372"/>
    <row r="988" ht="15.75" customHeight="1" s="372"/>
    <row r="989" ht="15.75" customHeight="1" s="372"/>
    <row r="990" ht="15.75" customHeight="1" s="372"/>
    <row r="991" ht="15.75" customHeight="1" s="372"/>
    <row r="992" ht="15.75" customHeight="1" s="372"/>
    <row r="993" ht="15.75" customHeight="1" s="372"/>
    <row r="994" ht="15.75" customHeight="1" s="372"/>
    <row r="995" ht="15.75" customHeight="1" s="372"/>
    <row r="996" ht="15.75" customHeight="1" s="372"/>
    <row r="997" ht="15.75" customHeight="1" s="372"/>
    <row r="998" ht="15.75" customHeight="1" s="372"/>
    <row r="999" ht="15.75" customHeight="1" s="372"/>
    <row r="1000" ht="15.75" customHeight="1" s="372"/>
  </sheetData>
  <mergeCells count="7">
    <mergeCell ref="A9:D9"/>
    <mergeCell ref="H2:I2"/>
    <mergeCell ref="A1:M1"/>
    <mergeCell ref="E2:F2"/>
    <mergeCell ref="A2:D2"/>
    <mergeCell ref="A3:F3"/>
    <mergeCell ref="E9:F9"/>
  </mergeCells>
  <dataValidations count="3">
    <dataValidation sqref="D6:D8 D10:D32" showDropDown="0" showInputMessage="0" showErrorMessage="0" allowBlank="1" type="list">
      <formula1>"Observer,Participant,Leader"</formula1>
    </dataValidation>
    <dataValidation sqref="C6:C8 C10:C32" showDropDown="0" showInputMessage="0" showErrorMessage="0" allowBlank="1" type="list">
      <formula1>"Elementary,Middle,High,Central Office,Agency,Other"</formula1>
    </dataValidation>
    <dataValidation sqref="O6 O7 O8 O10 O11 O12 O13 O14 O15 O16 O17 O18 O19 O20 O21 O22 O23 O24 O25 O26 O27 O28 O29 O30 O31" showDropDown="0" showInputMessage="1" showErrorMessage="0" allowBlank="1" promptTitle="Completed" prompt="Choose Yes once you have finished this experience." type="list">
      <formula1>"Yes"</formula1>
    </dataValidation>
  </dataValidations>
  <pageMargins left="0.75" right="0.75" top="1" bottom="1" header="0" footer="0"/>
  <pageSetup orientation="portrait" paperSize="9"/>
</worksheet>
</file>

<file path=xl/worksheets/sheet3.xml><?xml version="1.0" encoding="utf-8"?>
<worksheet xmlns="http://schemas.openxmlformats.org/spreadsheetml/2006/main">
  <sheetPr>
    <tabColor rgb="FF2E7D32"/>
    <outlinePr summaryBelow="1" summaryRight="1"/>
    <pageSetUpPr/>
  </sheetPr>
  <dimension ref="A1:Z32"/>
  <sheetViews>
    <sheetView workbookViewId="0">
      <pane ySplit="5" topLeftCell="A6" activePane="bottomLeft" state="frozen"/>
      <selection pane="bottomLeft" activeCell="B7" sqref="B7"/>
    </sheetView>
  </sheetViews>
  <sheetFormatPr baseColWidth="8" defaultColWidth="14.43" defaultRowHeight="15" customHeight="1"/>
  <cols>
    <col width="12" customWidth="1" style="372" min="1" max="2"/>
    <col width="14" customWidth="1" style="372" min="3" max="3"/>
    <col width="10" customWidth="1" style="372" min="4" max="4"/>
    <col width="55" customWidth="1" style="372" min="5" max="5"/>
    <col width="8" customWidth="1" style="372" min="6" max="6"/>
    <col width="5" customWidth="1" style="372" min="7" max="12"/>
    <col width="28" customWidth="1" style="372" min="13" max="13"/>
    <col width="29.71" customWidth="1" style="372" min="14" max="14"/>
    <col width="12" customWidth="1" style="372" min="15" max="26"/>
  </cols>
  <sheetData>
    <row r="1" ht="39.75" customHeight="1" s="372">
      <c r="A1" s="157" t="inlineStr">
        <is>
          <t>INTERNSHIP LOG  |  7812 – Leading Continuous Improvement  |  Semester 1</t>
        </is>
      </c>
    </row>
    <row r="2" ht="36" customHeight="1" s="372">
      <c r="A2" s="19" t="inlineStr">
        <is>
          <t>Name: Pat Example      Placement(s): Invented Elementary</t>
        </is>
      </c>
      <c r="B2" s="373" t="n"/>
      <c r="C2" s="373" t="n"/>
      <c r="D2" s="373" t="n"/>
      <c r="E2" s="21" t="inlineStr">
        <is>
          <t>Total Hours Logged</t>
        </is>
      </c>
      <c r="F2" s="373" t="n"/>
      <c r="G2" s="22">
        <f>SUM(F6:F200)</f>
        <v/>
      </c>
      <c r="H2" s="23" t="inlineStr">
        <is>
          <t>Remaining</t>
        </is>
      </c>
      <c r="I2" s="373" t="n"/>
      <c r="J2" s="24">
        <f>(32-G2)</f>
        <v/>
      </c>
    </row>
    <row r="3" ht="19.5" customHeight="1" s="372">
      <c r="A3" s="25" t="inlineStr">
        <is>
          <t>Hours by Competency (auto-calculated from your X marks below):</t>
        </is>
      </c>
      <c r="G3" s="26">
        <f>SUMIF($G$6:$G$200,"X",$F$6:$F$200)</f>
        <v/>
      </c>
      <c r="H3" s="27">
        <f>SUMIF($H$6:$H$200,"X",$F$6:$F$200)</f>
        <v/>
      </c>
      <c r="I3" s="28">
        <f>SUMIF($I$6:$I$200,"X",$F$6:$F$200)</f>
        <v/>
      </c>
      <c r="J3" s="29">
        <f>SUMIF($J$6:$J$200,"X",$F$6:$F$200)</f>
        <v/>
      </c>
      <c r="K3" s="30">
        <f>SUMIF($K$6:$K$200,"X",$F$6:$F$200)</f>
        <v/>
      </c>
      <c r="L3" s="31">
        <f>SUMIF($L$6:$L$200,"X",$F$6:$F$200)</f>
        <v/>
      </c>
      <c r="M3" s="32" t="inlineStr">
        <is>
          <t>← Competency hour totals</t>
        </is>
      </c>
    </row>
    <row r="4" ht="6" customHeight="1" s="372"/>
    <row r="5" ht="31.5" customHeight="1" s="372">
      <c r="A5" s="116" t="inlineStr">
        <is>
          <t>Type</t>
        </is>
      </c>
      <c r="B5" s="116" t="inlineStr">
        <is>
          <t>Date</t>
        </is>
      </c>
      <c r="C5" s="116" t="inlineStr">
        <is>
          <t>Location</t>
        </is>
      </c>
      <c r="D5" s="116" t="inlineStr">
        <is>
          <t>Role</t>
        </is>
      </c>
      <c r="E5" s="116" t="inlineStr">
        <is>
          <t>Experience Description</t>
        </is>
      </c>
      <c r="F5" s="116" t="inlineStr">
        <is>
          <t>Hrs</t>
        </is>
      </c>
      <c r="G5" s="117" t="inlineStr">
        <is>
          <t>①</t>
        </is>
      </c>
      <c r="H5" s="118" t="inlineStr">
        <is>
          <t>②</t>
        </is>
      </c>
      <c r="I5" s="119" t="inlineStr">
        <is>
          <t>③</t>
        </is>
      </c>
      <c r="J5" s="120" t="inlineStr">
        <is>
          <t>④</t>
        </is>
      </c>
      <c r="K5" s="121" t="inlineStr">
        <is>
          <t>⑤</t>
        </is>
      </c>
      <c r="L5" s="122" t="inlineStr">
        <is>
          <t>⑥</t>
        </is>
      </c>
      <c r="M5" s="116" t="inlineStr">
        <is>
          <t>Evidence / Notes</t>
        </is>
      </c>
      <c r="N5" s="40" t="inlineStr">
        <is>
          <t>Site name</t>
        </is>
      </c>
      <c r="O5" s="40" t="inlineStr">
        <is>
          <t>Completed</t>
        </is>
      </c>
    </row>
    <row r="6" ht="49.5" customHeight="1" s="372">
      <c r="A6" s="123" t="inlineStr">
        <is>
          <t>EMBEDDED</t>
        </is>
      </c>
      <c r="B6" s="412" t="n">
        <v>46189</v>
      </c>
      <c r="C6" s="125" t="inlineStr">
        <is>
          <t>Middle</t>
        </is>
      </c>
      <c r="D6" s="126" t="inlineStr">
        <is>
          <t>Participant</t>
        </is>
      </c>
      <c r="E6" s="127" t="inlineStr">
        <is>
          <t>Embedded Experience: Continuous Improvement Semester Plan: As team leader of improvement in your school, you will prepare for a short-cycle improvement cycle targeting your selected area of instructional improvement by developing a slideshow that describes your Project Charter.</t>
        </is>
      </c>
      <c r="F6" s="128" t="n">
        <v>15</v>
      </c>
      <c r="G6" s="129" t="n"/>
      <c r="H6" s="130" t="inlineStr">
        <is>
          <t>X</t>
        </is>
      </c>
      <c r="I6" s="131" t="n"/>
      <c r="J6" s="132" t="n"/>
      <c r="K6" s="133" t="n"/>
      <c r="L6" s="134" t="n"/>
      <c r="M6" s="135" t="inlineStr">
        <is>
          <t>Submit: Assignment</t>
        </is>
      </c>
      <c r="N6" s="54" t="n"/>
      <c r="O6" s="54" t="inlineStr">
        <is>
          <t>Yes</t>
        </is>
      </c>
    </row>
    <row r="7" ht="45" customHeight="1" s="372">
      <c r="A7" s="136" t="inlineStr">
        <is>
          <t>ALIGNED</t>
        </is>
      </c>
      <c r="B7" s="413" t="n">
        <v>46190</v>
      </c>
      <c r="C7" s="138" t="inlineStr">
        <is>
          <t>Middle</t>
        </is>
      </c>
      <c r="D7" s="138" t="inlineStr">
        <is>
          <t>Participant</t>
        </is>
      </c>
      <c r="E7" s="139" t="inlineStr">
        <is>
          <t>Aligned Experience: Obtain a copy of the School Improvement Plan for your school. Debrief with a school leader about decision-making related to the SIP.</t>
        </is>
      </c>
      <c r="F7" s="140" t="n">
        <v>5</v>
      </c>
      <c r="G7" s="129" t="n"/>
      <c r="H7" s="130" t="inlineStr">
        <is>
          <t>X</t>
        </is>
      </c>
      <c r="I7" s="131" t="n"/>
      <c r="J7" s="132" t="n"/>
      <c r="K7" s="133" t="n"/>
      <c r="L7" s="134" t="n"/>
      <c r="M7" s="141" t="inlineStr">
        <is>
          <t>Submit: Agenda and Meeting Notes</t>
        </is>
      </c>
      <c r="N7" s="54" t="n"/>
      <c r="O7" s="54" t="inlineStr">
        <is>
          <t>Yes</t>
        </is>
      </c>
    </row>
    <row r="8" ht="45" customHeight="1" s="372">
      <c r="A8" s="136" t="inlineStr">
        <is>
          <t>ALIGNED</t>
        </is>
      </c>
      <c r="B8" s="413" t="n">
        <v>46191</v>
      </c>
      <c r="C8" s="138" t="inlineStr">
        <is>
          <t>Middle</t>
        </is>
      </c>
      <c r="D8" s="138" t="inlineStr">
        <is>
          <t>Participant</t>
        </is>
      </c>
      <c r="E8" s="139" t="inlineStr">
        <is>
          <t>Aligned Experience: Participate in discussions aimed at reaching a consensus on a school issue (e.g., grading policy, behavior support).</t>
        </is>
      </c>
      <c r="F8" s="140" t="n">
        <v>5</v>
      </c>
      <c r="G8" s="129" t="n"/>
      <c r="H8" s="130" t="inlineStr">
        <is>
          <t>X</t>
        </is>
      </c>
      <c r="I8" s="131" t="n"/>
      <c r="J8" s="132" t="n"/>
      <c r="K8" s="133" t="n"/>
      <c r="L8" s="134" t="n"/>
      <c r="M8" s="141" t="inlineStr">
        <is>
          <t>Submit: Notes Taken from Meeting</t>
        </is>
      </c>
      <c r="N8" s="54" t="n"/>
      <c r="O8" s="54" t="inlineStr">
        <is>
          <t>Yes</t>
        </is>
      </c>
    </row>
    <row r="9" ht="27.75" customHeight="1" s="372">
      <c r="A9" s="142" t="inlineStr">
        <is>
          <t>⭐  CHOICE HOURS  —  7 hours needed this semester</t>
        </is>
      </c>
      <c r="B9" s="378" t="n"/>
      <c r="C9" s="378" t="n"/>
      <c r="D9" s="378" t="n"/>
      <c r="E9" s="144">
        <f>IF(SUMIF(A10:A59,"CHOICE",F10:F59)&gt;=7,"✅ Choice Hours Met!","⚠ Still need: "&amp;(7-SUMIF(A10:A59,"CHOICE",F10:F59))&amp;" more hours")</f>
        <v/>
      </c>
      <c r="F9" s="378" t="n"/>
      <c r="G9" s="145" t="inlineStr">
        <is>
          <t>1. I</t>
        </is>
      </c>
      <c r="H9" s="146" t="inlineStr">
        <is>
          <t>2. O</t>
        </is>
      </c>
      <c r="I9" s="147" t="inlineStr">
        <is>
          <t>3. O</t>
        </is>
      </c>
      <c r="J9" s="148" t="inlineStr">
        <is>
          <t>4. S</t>
        </is>
      </c>
      <c r="K9" s="149" t="inlineStr">
        <is>
          <t>5. P</t>
        </is>
      </c>
      <c r="L9" s="150" t="inlineStr">
        <is>
          <t>6. A</t>
        </is>
      </c>
      <c r="M9" s="151" t="inlineStr">
        <is>
          <t>No evidence required for choice hours</t>
        </is>
      </c>
      <c r="N9" s="54" t="n"/>
    </row>
    <row r="10" ht="34.5" customHeight="1" s="372">
      <c r="A10" s="72" t="inlineStr">
        <is>
          <t>CHOICE</t>
        </is>
      </c>
      <c r="B10" s="411" t="n">
        <v>46209</v>
      </c>
      <c r="C10" s="87" t="inlineStr">
        <is>
          <t>High</t>
        </is>
      </c>
      <c r="D10" s="87" t="inlineStr">
        <is>
          <t>Leader</t>
        </is>
      </c>
      <c r="E10" s="152" t="inlineStr">
        <is>
          <t>Led a grade-level team through an improvement-cycle review with the principal and recorded recommendations</t>
        </is>
      </c>
      <c r="F10" s="153" t="n">
        <v>3</v>
      </c>
      <c r="G10" s="84" t="n"/>
      <c r="H10" s="154" t="n"/>
      <c r="I10" s="85" t="n"/>
      <c r="J10" s="80" t="n"/>
      <c r="K10" s="81" t="inlineStr">
        <is>
          <t>X</t>
        </is>
      </c>
      <c r="L10" s="82" t="n"/>
      <c r="M10" s="87" t="n"/>
      <c r="N10" s="54" t="n"/>
      <c r="O10" s="54" t="inlineStr">
        <is>
          <t>Yes</t>
        </is>
      </c>
      <c r="P10" s="54" t="n"/>
      <c r="Q10" s="54" t="n"/>
      <c r="R10" s="54" t="n"/>
      <c r="S10" s="54" t="n"/>
      <c r="T10" s="54" t="n"/>
      <c r="U10" s="54" t="n"/>
      <c r="V10" s="54" t="n"/>
      <c r="W10" s="54" t="n"/>
      <c r="X10" s="54" t="n"/>
      <c r="Y10" s="54" t="n"/>
      <c r="Z10" s="54" t="n"/>
    </row>
    <row r="11" ht="34.5" customHeight="1" s="372">
      <c r="A11" s="72" t="inlineStr">
        <is>
          <t>CHOICE</t>
        </is>
      </c>
      <c r="B11" s="411" t="n">
        <v>46212</v>
      </c>
      <c r="C11" s="87" t="inlineStr">
        <is>
          <t>Elementary</t>
        </is>
      </c>
      <c r="D11" s="87" t="inlineStr">
        <is>
          <t>Participant</t>
        </is>
      </c>
      <c r="E11" s="152" t="inlineStr">
        <is>
          <t>Interviewed two community partners about school outreach and summarized findings for the leadership team</t>
        </is>
      </c>
      <c r="F11" s="153" t="n">
        <v>3</v>
      </c>
      <c r="G11" s="84" t="n"/>
      <c r="H11" s="154" t="n"/>
      <c r="I11" s="85" t="n"/>
      <c r="J11" s="80" t="inlineStr">
        <is>
          <t>X</t>
        </is>
      </c>
      <c r="K11" s="81" t="n"/>
      <c r="L11" s="82" t="n"/>
      <c r="M11" s="87" t="n"/>
      <c r="N11" s="54" t="n"/>
      <c r="O11" s="54" t="inlineStr">
        <is>
          <t>Yes</t>
        </is>
      </c>
      <c r="P11" s="54" t="n"/>
      <c r="Q11" s="54" t="n"/>
      <c r="R11" s="54" t="n"/>
      <c r="S11" s="54" t="n"/>
      <c r="T11" s="54" t="n"/>
      <c r="U11" s="54" t="n"/>
      <c r="V11" s="54" t="n"/>
      <c r="W11" s="54" t="n"/>
      <c r="X11" s="54" t="n"/>
      <c r="Y11" s="54" t="n"/>
      <c r="Z11" s="54" t="n"/>
    </row>
    <row r="12" ht="34.5" customHeight="1" s="372">
      <c r="A12" s="72" t="inlineStr">
        <is>
          <t>CHOICE</t>
        </is>
      </c>
      <c r="B12" s="411" t="n">
        <v>46217</v>
      </c>
      <c r="C12" s="87" t="inlineStr">
        <is>
          <t>Central Office</t>
        </is>
      </c>
      <c r="D12" s="87" t="inlineStr">
        <is>
          <t>Observer</t>
        </is>
      </c>
      <c r="E12" s="152" t="inlineStr">
        <is>
          <t>Shadowed the transportation director during bus route planning and reflected on operational tradeoffs</t>
        </is>
      </c>
      <c r="F12" s="153" t="n">
        <v>3</v>
      </c>
      <c r="G12" s="84" t="n"/>
      <c r="H12" s="154" t="n"/>
      <c r="I12" s="85" t="inlineStr">
        <is>
          <t>X</t>
        </is>
      </c>
      <c r="J12" s="80" t="n"/>
      <c r="K12" s="81" t="n"/>
      <c r="L12" s="82" t="n"/>
      <c r="M12" s="87" t="n"/>
      <c r="N12" s="54" t="n"/>
      <c r="O12" s="54" t="inlineStr">
        <is>
          <t>Yes</t>
        </is>
      </c>
      <c r="P12" s="54" t="n"/>
      <c r="Q12" s="54" t="n"/>
      <c r="R12" s="54" t="n"/>
      <c r="S12" s="54" t="n"/>
      <c r="T12" s="54" t="n"/>
      <c r="U12" s="54" t="n"/>
      <c r="V12" s="54" t="n"/>
      <c r="W12" s="54" t="n"/>
      <c r="X12" s="54" t="n"/>
      <c r="Y12" s="54" t="n"/>
      <c r="Z12" s="54" t="n"/>
    </row>
    <row r="13" ht="34.5" customHeight="1" s="372">
      <c r="A13" s="72" t="inlineStr">
        <is>
          <t>CHOICE</t>
        </is>
      </c>
      <c r="B13" s="87" t="n"/>
      <c r="C13" s="87" t="n"/>
      <c r="D13" s="87" t="n"/>
      <c r="E13" s="152" t="n"/>
      <c r="F13" s="153" t="n"/>
      <c r="G13" s="84" t="n"/>
      <c r="H13" s="154" t="n"/>
      <c r="I13" s="85" t="n"/>
      <c r="J13" s="80" t="n"/>
      <c r="K13" s="81" t="n"/>
      <c r="L13" s="82" t="n"/>
      <c r="M13" s="87" t="n"/>
      <c r="N13" s="54" t="n"/>
      <c r="O13" s="54" t="n"/>
      <c r="P13" s="54" t="n"/>
      <c r="Q13" s="54" t="n"/>
      <c r="R13" s="54" t="n"/>
      <c r="S13" s="54" t="n"/>
      <c r="T13" s="54" t="n"/>
      <c r="U13" s="54" t="n"/>
      <c r="V13" s="54" t="n"/>
      <c r="W13" s="54" t="n"/>
      <c r="X13" s="54" t="n"/>
      <c r="Y13" s="54" t="n"/>
      <c r="Z13" s="54" t="n"/>
    </row>
    <row r="14" ht="34.5" customHeight="1" s="372">
      <c r="A14" s="72" t="inlineStr">
        <is>
          <t>CHOICE</t>
        </is>
      </c>
      <c r="B14" s="87" t="n"/>
      <c r="C14" s="87" t="n"/>
      <c r="D14" s="87" t="n"/>
      <c r="E14" s="152" t="n"/>
      <c r="F14" s="153" t="n"/>
      <c r="G14" s="84" t="n"/>
      <c r="H14" s="154" t="n"/>
      <c r="I14" s="85" t="n"/>
      <c r="J14" s="80" t="n"/>
      <c r="K14" s="81" t="n"/>
      <c r="L14" s="82" t="n"/>
      <c r="M14" s="87" t="n"/>
      <c r="N14" s="54" t="n"/>
      <c r="O14" s="54" t="n"/>
      <c r="P14" s="54" t="n"/>
      <c r="Q14" s="54" t="n"/>
      <c r="R14" s="54" t="n"/>
      <c r="S14" s="54" t="n"/>
      <c r="T14" s="54" t="n"/>
      <c r="U14" s="54" t="n"/>
      <c r="V14" s="54" t="n"/>
      <c r="W14" s="54" t="n"/>
      <c r="X14" s="54" t="n"/>
      <c r="Y14" s="54" t="n"/>
      <c r="Z14" s="54" t="n"/>
    </row>
    <row r="15" ht="34.5" customHeight="1" s="372">
      <c r="A15" s="72" t="inlineStr">
        <is>
          <t>CHOICE</t>
        </is>
      </c>
      <c r="B15" s="87" t="n"/>
      <c r="C15" s="87" t="n"/>
      <c r="D15" s="87" t="n"/>
      <c r="E15" s="152" t="n"/>
      <c r="F15" s="153" t="n"/>
      <c r="G15" s="84" t="n"/>
      <c r="H15" s="154" t="n"/>
      <c r="I15" s="85" t="n"/>
      <c r="J15" s="80" t="n"/>
      <c r="K15" s="81" t="n"/>
      <c r="L15" s="82" t="n"/>
      <c r="M15" s="87" t="n"/>
      <c r="N15" s="54" t="n"/>
      <c r="O15" s="54" t="n"/>
      <c r="P15" s="54" t="n"/>
      <c r="Q15" s="54" t="n"/>
      <c r="R15" s="54" t="n"/>
      <c r="S15" s="54" t="n"/>
      <c r="T15" s="54" t="n"/>
      <c r="U15" s="54" t="n"/>
      <c r="V15" s="54" t="n"/>
      <c r="W15" s="54" t="n"/>
      <c r="X15" s="54" t="n"/>
      <c r="Y15" s="54" t="n"/>
      <c r="Z15" s="54" t="n"/>
    </row>
    <row r="16" ht="34.5" customHeight="1" s="372">
      <c r="A16" s="72" t="inlineStr">
        <is>
          <t>CHOICE</t>
        </is>
      </c>
      <c r="B16" s="87" t="n"/>
      <c r="C16" s="87" t="n"/>
      <c r="D16" s="87" t="n"/>
      <c r="E16" s="152" t="n"/>
      <c r="F16" s="153" t="n"/>
      <c r="G16" s="84" t="n"/>
      <c r="H16" s="154" t="n"/>
      <c r="I16" s="85" t="n"/>
      <c r="J16" s="80" t="n"/>
      <c r="K16" s="81" t="n"/>
      <c r="L16" s="82" t="n"/>
      <c r="M16" s="87" t="n"/>
      <c r="P16" s="54" t="n"/>
      <c r="Q16" s="54" t="n"/>
      <c r="R16" s="54" t="n"/>
      <c r="S16" s="54" t="n"/>
      <c r="T16" s="54" t="n"/>
      <c r="U16" s="54" t="n"/>
      <c r="V16" s="54" t="n"/>
      <c r="W16" s="54" t="n"/>
      <c r="X16" s="54" t="n"/>
      <c r="Y16" s="54" t="n"/>
      <c r="Z16" s="54" t="n"/>
    </row>
    <row r="17" ht="34.5" customHeight="1" s="372">
      <c r="A17" s="72" t="inlineStr">
        <is>
          <t>CHOICE</t>
        </is>
      </c>
      <c r="B17" s="87" t="n"/>
      <c r="C17" s="87" t="n"/>
      <c r="D17" s="87" t="n"/>
      <c r="E17" s="152" t="n"/>
      <c r="F17" s="153" t="n"/>
      <c r="G17" s="84" t="n"/>
      <c r="H17" s="154" t="n"/>
      <c r="I17" s="85" t="n"/>
      <c r="J17" s="80" t="n"/>
      <c r="K17" s="81" t="n"/>
      <c r="L17" s="82" t="n"/>
      <c r="M17" s="87" t="n"/>
      <c r="P17" s="54" t="n"/>
      <c r="Q17" s="54" t="n"/>
      <c r="R17" s="54" t="n"/>
      <c r="S17" s="54" t="n"/>
      <c r="T17" s="54" t="n"/>
      <c r="U17" s="54" t="n"/>
      <c r="V17" s="54" t="n"/>
      <c r="W17" s="54" t="n"/>
      <c r="X17" s="54" t="n"/>
      <c r="Y17" s="54" t="n"/>
      <c r="Z17" s="54" t="n"/>
    </row>
    <row r="18" ht="34.5" customHeight="1" s="372">
      <c r="A18" s="72" t="inlineStr">
        <is>
          <t>CHOICE</t>
        </is>
      </c>
      <c r="B18" s="87" t="n"/>
      <c r="C18" s="87" t="n"/>
      <c r="D18" s="87" t="n"/>
      <c r="E18" s="152" t="n"/>
      <c r="F18" s="153" t="n"/>
      <c r="G18" s="84" t="n"/>
      <c r="H18" s="154" t="n"/>
      <c r="I18" s="85" t="n"/>
      <c r="J18" s="80" t="n"/>
      <c r="K18" s="81" t="n"/>
      <c r="L18" s="82" t="n"/>
      <c r="M18" s="87" t="n"/>
      <c r="P18" s="54" t="n"/>
      <c r="Q18" s="54" t="n"/>
      <c r="R18" s="54" t="n"/>
      <c r="S18" s="54" t="n"/>
      <c r="T18" s="54" t="n"/>
      <c r="U18" s="54" t="n"/>
      <c r="V18" s="54" t="n"/>
      <c r="W18" s="54" t="n"/>
      <c r="X18" s="54" t="n"/>
      <c r="Y18" s="54" t="n"/>
      <c r="Z18" s="54" t="n"/>
    </row>
    <row r="19" ht="34.5" customHeight="1" s="372">
      <c r="A19" s="72" t="inlineStr">
        <is>
          <t>CHOICE</t>
        </is>
      </c>
      <c r="B19" s="87" t="n"/>
      <c r="C19" s="87" t="n"/>
      <c r="D19" s="87" t="n"/>
      <c r="E19" s="152" t="n"/>
      <c r="F19" s="153" t="n"/>
      <c r="G19" s="84" t="n"/>
      <c r="H19" s="154" t="n"/>
      <c r="I19" s="85" t="n"/>
      <c r="J19" s="80" t="n"/>
      <c r="K19" s="81" t="n"/>
      <c r="L19" s="82" t="n"/>
      <c r="M19" s="87" t="n"/>
      <c r="P19" s="54" t="n"/>
      <c r="Q19" s="54" t="n"/>
      <c r="R19" s="54" t="n"/>
      <c r="S19" s="54" t="n"/>
      <c r="T19" s="54" t="n"/>
      <c r="U19" s="54" t="n"/>
      <c r="V19" s="54" t="n"/>
      <c r="W19" s="54" t="n"/>
      <c r="X19" s="54" t="n"/>
      <c r="Y19" s="54" t="n"/>
      <c r="Z19" s="54" t="n"/>
    </row>
    <row r="20" ht="34.5" customHeight="1" s="372">
      <c r="A20" s="72" t="inlineStr">
        <is>
          <t>CHOICE</t>
        </is>
      </c>
      <c r="B20" s="87" t="n"/>
      <c r="C20" s="87" t="n"/>
      <c r="D20" s="87" t="n"/>
      <c r="E20" s="152" t="n"/>
      <c r="F20" s="153" t="n"/>
      <c r="G20" s="84" t="n"/>
      <c r="H20" s="154" t="n"/>
      <c r="I20" s="85" t="n"/>
      <c r="J20" s="80" t="n"/>
      <c r="K20" s="81" t="n"/>
      <c r="L20" s="82" t="n"/>
      <c r="M20" s="87" t="n"/>
      <c r="P20" s="54" t="n"/>
      <c r="Q20" s="54" t="n"/>
      <c r="R20" s="54" t="n"/>
      <c r="S20" s="54" t="n"/>
      <c r="T20" s="54" t="n"/>
      <c r="U20" s="54" t="n"/>
      <c r="V20" s="54" t="n"/>
      <c r="W20" s="54" t="n"/>
      <c r="X20" s="54" t="n"/>
      <c r="Y20" s="54" t="n"/>
      <c r="Z20" s="54" t="n"/>
    </row>
    <row r="21" ht="34.5" customHeight="1" s="372">
      <c r="A21" s="72" t="inlineStr">
        <is>
          <t>CHOICE</t>
        </is>
      </c>
      <c r="B21" s="87" t="n"/>
      <c r="C21" s="87" t="n"/>
      <c r="D21" s="87" t="n"/>
      <c r="E21" s="152" t="n"/>
      <c r="F21" s="153" t="n"/>
      <c r="G21" s="84" t="n"/>
      <c r="H21" s="154" t="n"/>
      <c r="I21" s="85" t="n"/>
      <c r="J21" s="80" t="n"/>
      <c r="K21" s="81" t="n"/>
      <c r="L21" s="82" t="n"/>
      <c r="M21" s="87" t="n"/>
      <c r="P21" s="54" t="n"/>
      <c r="Q21" s="54" t="n"/>
      <c r="R21" s="54" t="n"/>
      <c r="S21" s="54" t="n"/>
      <c r="T21" s="54" t="n"/>
      <c r="U21" s="54" t="n"/>
      <c r="V21" s="54" t="n"/>
      <c r="W21" s="54" t="n"/>
      <c r="X21" s="54" t="n"/>
      <c r="Y21" s="54" t="n"/>
      <c r="Z21" s="54" t="n"/>
    </row>
    <row r="22" ht="24.75" customHeight="1" s="372">
      <c r="A22" s="155" t="inlineStr">
        <is>
          <t>CHOICE</t>
        </is>
      </c>
      <c r="B22" s="87" t="n"/>
      <c r="C22" s="87" t="n"/>
      <c r="D22" s="87" t="n"/>
      <c r="E22" s="87" t="n"/>
      <c r="F22" s="87" t="n"/>
      <c r="G22" s="87" t="n"/>
      <c r="H22" s="87" t="n"/>
      <c r="I22" s="87" t="n"/>
      <c r="J22" s="87" t="n"/>
      <c r="K22" s="87" t="n"/>
      <c r="L22" s="87" t="n"/>
      <c r="M22" s="87" t="n"/>
      <c r="P22" s="54" t="n"/>
      <c r="Q22" s="54" t="n"/>
      <c r="R22" s="54" t="n"/>
      <c r="S22" s="54" t="n"/>
      <c r="T22" s="54" t="n"/>
      <c r="U22" s="54" t="n"/>
      <c r="V22" s="54" t="n"/>
      <c r="W22" s="54" t="n"/>
      <c r="X22" s="54" t="n"/>
      <c r="Y22" s="54" t="n"/>
      <c r="Z22" s="54" t="n"/>
    </row>
    <row r="23" ht="24.75" customHeight="1" s="372">
      <c r="A23" s="155" t="inlineStr">
        <is>
          <t>CHOICE</t>
        </is>
      </c>
      <c r="B23" s="87" t="n"/>
      <c r="C23" s="87" t="n"/>
      <c r="D23" s="87" t="n"/>
      <c r="E23" s="87" t="n"/>
      <c r="F23" s="87" t="n"/>
      <c r="G23" s="87" t="n"/>
      <c r="H23" s="87" t="n"/>
      <c r="I23" s="87" t="n"/>
      <c r="J23" s="87" t="n"/>
      <c r="K23" s="87" t="n"/>
      <c r="L23" s="87" t="n"/>
      <c r="M23" s="87" t="n"/>
      <c r="P23" s="54" t="n"/>
      <c r="Q23" s="54" t="n"/>
      <c r="R23" s="54" t="n"/>
      <c r="S23" s="54" t="n"/>
      <c r="T23" s="54" t="n"/>
      <c r="U23" s="54" t="n"/>
      <c r="V23" s="54" t="n"/>
      <c r="W23" s="54" t="n"/>
      <c r="X23" s="54" t="n"/>
      <c r="Y23" s="54" t="n"/>
      <c r="Z23" s="54" t="n"/>
    </row>
    <row r="24" ht="24.75" customHeight="1" s="372">
      <c r="A24" s="155" t="inlineStr">
        <is>
          <t>CHOICE</t>
        </is>
      </c>
      <c r="B24" s="87" t="n"/>
      <c r="C24" s="87" t="n"/>
      <c r="D24" s="87" t="n"/>
      <c r="E24" s="87" t="n"/>
      <c r="F24" s="87" t="n"/>
      <c r="G24" s="87" t="n"/>
      <c r="H24" s="87" t="n"/>
      <c r="I24" s="87" t="n"/>
      <c r="J24" s="87" t="n"/>
      <c r="K24" s="87" t="n"/>
      <c r="L24" s="87" t="n"/>
      <c r="M24" s="87" t="n"/>
      <c r="P24" s="54" t="n"/>
      <c r="Q24" s="54" t="n"/>
      <c r="R24" s="54" t="n"/>
      <c r="S24" s="54" t="n"/>
      <c r="T24" s="54" t="n"/>
      <c r="U24" s="54" t="n"/>
      <c r="V24" s="54" t="n"/>
      <c r="W24" s="54" t="n"/>
      <c r="X24" s="54" t="n"/>
      <c r="Y24" s="54" t="n"/>
      <c r="Z24" s="54" t="n"/>
    </row>
    <row r="25" ht="24.75" customHeight="1" s="372">
      <c r="A25" s="155" t="inlineStr">
        <is>
          <t>CHOICE</t>
        </is>
      </c>
      <c r="B25" s="87" t="n"/>
      <c r="C25" s="87" t="n"/>
      <c r="D25" s="87" t="n"/>
      <c r="E25" s="87" t="n"/>
      <c r="F25" s="87" t="n"/>
      <c r="G25" s="87" t="n"/>
      <c r="H25" s="87" t="n"/>
      <c r="I25" s="87" t="n"/>
      <c r="J25" s="87" t="n"/>
      <c r="K25" s="87" t="n"/>
      <c r="L25" s="87" t="n"/>
      <c r="M25" s="87" t="n"/>
      <c r="P25" s="54" t="n"/>
      <c r="Q25" s="54" t="n"/>
      <c r="R25" s="54" t="n"/>
      <c r="S25" s="54" t="n"/>
      <c r="T25" s="54" t="n"/>
      <c r="U25" s="54" t="n"/>
      <c r="V25" s="54" t="n"/>
      <c r="W25" s="54" t="n"/>
      <c r="X25" s="54" t="n"/>
      <c r="Y25" s="54" t="n"/>
      <c r="Z25" s="54" t="n"/>
    </row>
    <row r="26" ht="24.75" customHeight="1" s="372">
      <c r="A26" s="155" t="inlineStr">
        <is>
          <t>CHOICE</t>
        </is>
      </c>
      <c r="B26" s="87" t="n"/>
      <c r="C26" s="87" t="n"/>
      <c r="D26" s="87" t="n"/>
      <c r="E26" s="87" t="n"/>
      <c r="F26" s="87" t="n"/>
      <c r="G26" s="87" t="n"/>
      <c r="H26" s="87" t="n"/>
      <c r="I26" s="87" t="n"/>
      <c r="J26" s="87" t="n"/>
      <c r="K26" s="87" t="n"/>
      <c r="L26" s="87" t="n"/>
      <c r="M26" s="87" t="n"/>
      <c r="P26" s="54" t="n"/>
      <c r="Q26" s="54" t="n"/>
      <c r="R26" s="54" t="n"/>
      <c r="S26" s="54" t="n"/>
      <c r="T26" s="54" t="n"/>
      <c r="U26" s="54" t="n"/>
      <c r="V26" s="54" t="n"/>
      <c r="W26" s="54" t="n"/>
      <c r="X26" s="54" t="n"/>
      <c r="Y26" s="54" t="n"/>
      <c r="Z26" s="54" t="n"/>
    </row>
    <row r="27" ht="24.75" customHeight="1" s="372">
      <c r="A27" s="156" t="inlineStr">
        <is>
          <t>CHOICE</t>
        </is>
      </c>
      <c r="B27" s="95" t="n"/>
      <c r="C27" s="95" t="n"/>
      <c r="D27" s="95" t="n"/>
      <c r="E27" s="95" t="n"/>
      <c r="F27" s="95" t="n"/>
      <c r="G27" s="95" t="n"/>
      <c r="H27" s="95" t="n"/>
      <c r="I27" s="95" t="n"/>
      <c r="J27" s="95" t="n"/>
      <c r="K27" s="95" t="n"/>
      <c r="L27" s="95" t="n"/>
      <c r="M27" s="95" t="n"/>
    </row>
    <row r="28" ht="24.75" customHeight="1" s="372">
      <c r="A28" s="114" t="inlineStr">
        <is>
          <t>CHOICE</t>
        </is>
      </c>
      <c r="B28" s="105" t="n"/>
      <c r="C28" s="105" t="n"/>
      <c r="D28" s="105" t="n"/>
      <c r="E28" s="105" t="n"/>
      <c r="F28" s="105" t="n"/>
      <c r="G28" s="105" t="n"/>
      <c r="H28" s="105" t="n"/>
      <c r="I28" s="105" t="n"/>
      <c r="J28" s="105" t="n"/>
      <c r="K28" s="105" t="n"/>
      <c r="L28" s="105" t="n"/>
      <c r="M28" s="105" t="n"/>
    </row>
    <row r="29" ht="24.75" customHeight="1" s="372">
      <c r="A29" s="114" t="inlineStr">
        <is>
          <t>CHOICE</t>
        </is>
      </c>
      <c r="B29" s="105" t="n"/>
      <c r="C29" s="105" t="n"/>
      <c r="D29" s="105" t="n"/>
      <c r="E29" s="105" t="n"/>
      <c r="F29" s="105" t="n"/>
      <c r="G29" s="105" t="n"/>
      <c r="H29" s="105" t="n"/>
      <c r="I29" s="105" t="n"/>
      <c r="J29" s="105" t="n"/>
      <c r="K29" s="105" t="n"/>
      <c r="L29" s="105" t="n"/>
      <c r="M29" s="105" t="n"/>
    </row>
    <row r="30" ht="24.75" customHeight="1" s="372">
      <c r="A30" s="114" t="inlineStr">
        <is>
          <t>CHOICE</t>
        </is>
      </c>
      <c r="B30" s="105" t="n"/>
      <c r="C30" s="105" t="n"/>
      <c r="D30" s="105" t="n"/>
      <c r="E30" s="105" t="n"/>
      <c r="F30" s="105" t="n"/>
      <c r="G30" s="105" t="n"/>
      <c r="H30" s="105" t="n"/>
      <c r="I30" s="105" t="n"/>
      <c r="J30" s="105" t="n"/>
      <c r="K30" s="105" t="n"/>
      <c r="L30" s="105" t="n"/>
      <c r="M30" s="105" t="n"/>
    </row>
    <row r="31" ht="24.75" customHeight="1" s="372">
      <c r="A31" s="114" t="inlineStr">
        <is>
          <t>CHOICE</t>
        </is>
      </c>
      <c r="B31" s="105" t="n"/>
      <c r="C31" s="105" t="n"/>
      <c r="D31" s="105" t="n"/>
      <c r="E31" s="105" t="n"/>
      <c r="F31" s="105" t="n"/>
      <c r="G31" s="105" t="n"/>
      <c r="H31" s="105" t="n"/>
      <c r="I31" s="105" t="n"/>
      <c r="J31" s="105" t="n"/>
      <c r="K31" s="105" t="n"/>
      <c r="L31" s="105" t="n"/>
      <c r="M31" s="105" t="n"/>
    </row>
    <row r="32" ht="15.75" customHeight="1" s="372">
      <c r="C32" s="115" t="n"/>
      <c r="D32" s="115" t="n"/>
    </row>
    <row r="33" ht="15.75" customHeight="1" s="372"/>
    <row r="34" ht="15.75" customHeight="1" s="372"/>
    <row r="35" ht="15.75" customHeight="1" s="372"/>
    <row r="36" ht="15.75" customHeight="1" s="372"/>
    <row r="37" ht="15.75" customHeight="1" s="372"/>
    <row r="38" ht="15.75" customHeight="1" s="372"/>
    <row r="39" ht="15.75" customHeight="1" s="372"/>
    <row r="40" ht="15.75" customHeight="1" s="372"/>
    <row r="41" ht="15.75" customHeight="1" s="372"/>
    <row r="42" ht="15.75" customHeight="1" s="372"/>
    <row r="43" ht="15.75" customHeight="1" s="372"/>
    <row r="44" ht="15.75" customHeight="1" s="372"/>
    <row r="45" ht="15.75" customHeight="1" s="372"/>
    <row r="46" ht="15.75" customHeight="1" s="372"/>
    <row r="47" ht="15.75" customHeight="1" s="372"/>
    <row r="48" ht="15.75" customHeight="1" s="372"/>
    <row r="49" ht="15.75" customHeight="1" s="372"/>
    <row r="50" ht="15.75" customHeight="1" s="372"/>
    <row r="51" ht="15.75" customHeight="1" s="372"/>
    <row r="52" ht="15.75" customHeight="1" s="372"/>
    <row r="53" ht="15.75" customHeight="1" s="372"/>
    <row r="54" ht="15.75" customHeight="1" s="372"/>
    <row r="55" ht="15.75" customHeight="1" s="372"/>
    <row r="56" ht="15.75" customHeight="1" s="372"/>
    <row r="57" ht="15.75" customHeight="1" s="372"/>
    <row r="58" ht="15.75" customHeight="1" s="372"/>
    <row r="59" ht="15.75" customHeight="1" s="372"/>
    <row r="60" ht="15.75" customHeight="1" s="372"/>
    <row r="61" ht="15.75" customHeight="1" s="372"/>
    <row r="62" ht="15.75" customHeight="1" s="372"/>
    <row r="63" ht="15.75" customHeight="1" s="372"/>
    <row r="64" ht="15.75" customHeight="1" s="372"/>
    <row r="65" ht="15.75" customHeight="1" s="372"/>
    <row r="66" ht="15.75" customHeight="1" s="372"/>
    <row r="67" ht="15.75" customHeight="1" s="372"/>
    <row r="68" ht="15.75" customHeight="1" s="372"/>
    <row r="69" ht="15.75" customHeight="1" s="372"/>
    <row r="70" ht="15.75" customHeight="1" s="372"/>
    <row r="71" ht="15.75" customHeight="1" s="372"/>
    <row r="72" ht="15.75" customHeight="1" s="372"/>
    <row r="73" ht="15.75" customHeight="1" s="372"/>
    <row r="74" ht="15.75" customHeight="1" s="372"/>
    <row r="75" ht="15.75" customHeight="1" s="372"/>
    <row r="76" ht="15.75" customHeight="1" s="372"/>
    <row r="77" ht="15.75" customHeight="1" s="372"/>
    <row r="78" ht="15.75" customHeight="1" s="372"/>
    <row r="79" ht="15.75" customHeight="1" s="372"/>
    <row r="80" ht="15.75" customHeight="1" s="372"/>
    <row r="81" ht="15.75" customHeight="1" s="372"/>
    <row r="82" ht="15.75" customHeight="1" s="372"/>
    <row r="83" ht="15.75" customHeight="1" s="372"/>
    <row r="84" ht="15.75" customHeight="1" s="372"/>
    <row r="85" ht="15.75" customHeight="1" s="372"/>
    <row r="86" ht="15.75" customHeight="1" s="372"/>
    <row r="87" ht="15.75" customHeight="1" s="372"/>
    <row r="88" ht="15.75" customHeight="1" s="372"/>
    <row r="89" ht="15.75" customHeight="1" s="372"/>
    <row r="90" ht="15.75" customHeight="1" s="372"/>
    <row r="91" ht="15.75" customHeight="1" s="372"/>
    <row r="92" ht="15.75" customHeight="1" s="372"/>
    <row r="93" ht="15.75" customHeight="1" s="372"/>
    <row r="94" ht="15.75" customHeight="1" s="372"/>
    <row r="95" ht="15.75" customHeight="1" s="372"/>
    <row r="96" ht="15.75" customHeight="1" s="372"/>
    <row r="97" ht="15.75" customHeight="1" s="372"/>
    <row r="98" ht="15.75" customHeight="1" s="372"/>
    <row r="99" ht="15.75" customHeight="1" s="372"/>
    <row r="100" ht="15.75" customHeight="1" s="372"/>
    <row r="101" ht="15.75" customHeight="1" s="372"/>
    <row r="102" ht="15.75" customHeight="1" s="372"/>
    <row r="103" ht="15.75" customHeight="1" s="372"/>
    <row r="104" ht="15.75" customHeight="1" s="372"/>
    <row r="105" ht="15.75" customHeight="1" s="372"/>
    <row r="106" ht="15.75" customHeight="1" s="372"/>
    <row r="107" ht="15.75" customHeight="1" s="372"/>
    <row r="108" ht="15.75" customHeight="1" s="372"/>
    <row r="109" ht="15.75" customHeight="1" s="372"/>
    <row r="110" ht="15.75" customHeight="1" s="372"/>
    <row r="111" ht="15.75" customHeight="1" s="372"/>
    <row r="112" ht="15.75" customHeight="1" s="372"/>
    <row r="113" ht="15.75" customHeight="1" s="372"/>
    <row r="114" ht="15.75" customHeight="1" s="372"/>
    <row r="115" ht="15.75" customHeight="1" s="372"/>
    <row r="116" ht="15.75" customHeight="1" s="372"/>
    <row r="117" ht="15.75" customHeight="1" s="372"/>
    <row r="118" ht="15.75" customHeight="1" s="372"/>
    <row r="119" ht="15.75" customHeight="1" s="372"/>
    <row r="120" ht="15.75" customHeight="1" s="372"/>
    <row r="121" ht="15.75" customHeight="1" s="372"/>
    <row r="122" ht="15.75" customHeight="1" s="372"/>
    <row r="123" ht="15.75" customHeight="1" s="372"/>
    <row r="124" ht="15.75" customHeight="1" s="372"/>
    <row r="125" ht="15.75" customHeight="1" s="372"/>
    <row r="126" ht="15.75" customHeight="1" s="372"/>
    <row r="127" ht="15.75" customHeight="1" s="372"/>
    <row r="128" ht="15.75" customHeight="1" s="372"/>
    <row r="129" ht="15.75" customHeight="1" s="372"/>
    <row r="130" ht="15.75" customHeight="1" s="372"/>
    <row r="131" ht="15.75" customHeight="1" s="372"/>
    <row r="132" ht="15.75" customHeight="1" s="372"/>
    <row r="133" ht="15.75" customHeight="1" s="372"/>
    <row r="134" ht="15.75" customHeight="1" s="372"/>
    <row r="135" ht="15.75" customHeight="1" s="372"/>
    <row r="136" ht="15.75" customHeight="1" s="372"/>
    <row r="137" ht="15.75" customHeight="1" s="372"/>
    <row r="138" ht="15.75" customHeight="1" s="372"/>
    <row r="139" ht="15.75" customHeight="1" s="372"/>
    <row r="140" ht="15.75" customHeight="1" s="372"/>
    <row r="141" ht="15.75" customHeight="1" s="372"/>
    <row r="142" ht="15.75" customHeight="1" s="372"/>
    <row r="143" ht="15.75" customHeight="1" s="372"/>
    <row r="144" ht="15.75" customHeight="1" s="372"/>
    <row r="145" ht="15.75" customHeight="1" s="372"/>
    <row r="146" ht="15.75" customHeight="1" s="372"/>
    <row r="147" ht="15.75" customHeight="1" s="372"/>
    <row r="148" ht="15.75" customHeight="1" s="372"/>
    <row r="149" ht="15.75" customHeight="1" s="372"/>
    <row r="150" ht="15.75" customHeight="1" s="372"/>
    <row r="151" ht="15.75" customHeight="1" s="372"/>
    <row r="152" ht="15.75" customHeight="1" s="372"/>
    <row r="153" ht="15.75" customHeight="1" s="372"/>
    <row r="154" ht="15.75" customHeight="1" s="372"/>
    <row r="155" ht="15.75" customHeight="1" s="372"/>
    <row r="156" ht="15.75" customHeight="1" s="372"/>
    <row r="157" ht="15.75" customHeight="1" s="372"/>
    <row r="158" ht="15.75" customHeight="1" s="372"/>
    <row r="159" ht="15.75" customHeight="1" s="372"/>
    <row r="160" ht="15.75" customHeight="1" s="372"/>
    <row r="161" ht="15.75" customHeight="1" s="372"/>
    <row r="162" ht="15.75" customHeight="1" s="372"/>
    <row r="163" ht="15.75" customHeight="1" s="372"/>
    <row r="164" ht="15.75" customHeight="1" s="372"/>
    <row r="165" ht="15.75" customHeight="1" s="372"/>
    <row r="166" ht="15.75" customHeight="1" s="372"/>
    <row r="167" ht="15.75" customHeight="1" s="372"/>
    <row r="168" ht="15.75" customHeight="1" s="372"/>
    <row r="169" ht="15.75" customHeight="1" s="372"/>
    <row r="170" ht="15.75" customHeight="1" s="372"/>
    <row r="171" ht="15.75" customHeight="1" s="372"/>
    <row r="172" ht="15.75" customHeight="1" s="372"/>
    <row r="173" ht="15.75" customHeight="1" s="372"/>
    <row r="174" ht="15.75" customHeight="1" s="372"/>
    <row r="175" ht="15.75" customHeight="1" s="372"/>
    <row r="176" ht="15.75" customHeight="1" s="372"/>
    <row r="177" ht="15.75" customHeight="1" s="372"/>
    <row r="178" ht="15.75" customHeight="1" s="372"/>
    <row r="179" ht="15.75" customHeight="1" s="372"/>
    <row r="180" ht="15.75" customHeight="1" s="372"/>
    <row r="181" ht="15.75" customHeight="1" s="372"/>
    <row r="182" ht="15.75" customHeight="1" s="372"/>
    <row r="183" ht="15.75" customHeight="1" s="372"/>
    <row r="184" ht="15.75" customHeight="1" s="372"/>
    <row r="185" ht="15.75" customHeight="1" s="372"/>
    <row r="186" ht="15.75" customHeight="1" s="372"/>
    <row r="187" ht="15.75" customHeight="1" s="372"/>
    <row r="188" ht="15.75" customHeight="1" s="372"/>
    <row r="189" ht="15.75" customHeight="1" s="372"/>
    <row r="190" ht="15.75" customHeight="1" s="372"/>
    <row r="191" ht="15.75" customHeight="1" s="372"/>
    <row r="192" ht="15.75" customHeight="1" s="372"/>
    <row r="193" ht="15.75" customHeight="1" s="372"/>
    <row r="194" ht="15.75" customHeight="1" s="372"/>
    <row r="195" ht="15.75" customHeight="1" s="372"/>
    <row r="196" ht="15.75" customHeight="1" s="372"/>
    <row r="197" ht="15.75" customHeight="1" s="372"/>
    <row r="198" ht="15.75" customHeight="1" s="372"/>
    <row r="199" ht="15.75" customHeight="1" s="372"/>
    <row r="200" ht="15.75" customHeight="1" s="372"/>
    <row r="201" ht="15.75" customHeight="1" s="372"/>
    <row r="202" ht="15.75" customHeight="1" s="372"/>
    <row r="203" ht="15.75" customHeight="1" s="372"/>
    <row r="204" ht="15.75" customHeight="1" s="372"/>
    <row r="205" ht="15.75" customHeight="1" s="372"/>
    <row r="206" ht="15.75" customHeight="1" s="372"/>
    <row r="207" ht="15.75" customHeight="1" s="372"/>
    <row r="208" ht="15.75" customHeight="1" s="372"/>
    <row r="209" ht="15.75" customHeight="1" s="372"/>
    <row r="210" ht="15.75" customHeight="1" s="372"/>
    <row r="211" ht="15.75" customHeight="1" s="372"/>
    <row r="212" ht="15.75" customHeight="1" s="372"/>
    <row r="213" ht="15.75" customHeight="1" s="372"/>
    <row r="214" ht="15.75" customHeight="1" s="372"/>
    <row r="215" ht="15.75" customHeight="1" s="372"/>
    <row r="216" ht="15.75" customHeight="1" s="372"/>
    <row r="217" ht="15.75" customHeight="1" s="372"/>
    <row r="218" ht="15.75" customHeight="1" s="372"/>
    <row r="219" ht="15.75" customHeight="1" s="372"/>
    <row r="220" ht="15.75" customHeight="1" s="372"/>
    <row r="221" ht="15.75" customHeight="1" s="372"/>
    <row r="222" ht="15.75" customHeight="1" s="372"/>
    <row r="223" ht="15.75" customHeight="1" s="372"/>
    <row r="224" ht="15.75" customHeight="1" s="372"/>
    <row r="225" ht="15.75" customHeight="1" s="372"/>
    <row r="226" ht="15.75" customHeight="1" s="372"/>
    <row r="227" ht="15.75" customHeight="1" s="372"/>
    <row r="228" ht="15.75" customHeight="1" s="372"/>
    <row r="229" ht="15.75" customHeight="1" s="372"/>
    <row r="230" ht="15.75" customHeight="1" s="372"/>
    <row r="231" ht="15.75" customHeight="1" s="372"/>
    <row r="232" ht="15.75" customHeight="1" s="372"/>
    <row r="233" ht="15.75" customHeight="1" s="372"/>
    <row r="234" ht="15.75" customHeight="1" s="372"/>
    <row r="235" ht="15.75" customHeight="1" s="372"/>
    <row r="236" ht="15.75" customHeight="1" s="372"/>
    <row r="237" ht="15.75" customHeight="1" s="372"/>
    <row r="238" ht="15.75" customHeight="1" s="372"/>
    <row r="239" ht="15.75" customHeight="1" s="372"/>
    <row r="240" ht="15.75" customHeight="1" s="372"/>
    <row r="241" ht="15.75" customHeight="1" s="372"/>
    <row r="242" ht="15.75" customHeight="1" s="372"/>
    <row r="243" ht="15.75" customHeight="1" s="372"/>
    <row r="244" ht="15.75" customHeight="1" s="372"/>
    <row r="245" ht="15.75" customHeight="1" s="372"/>
    <row r="246" ht="15.75" customHeight="1" s="372"/>
    <row r="247" ht="15.75" customHeight="1" s="372"/>
    <row r="248" ht="15.75" customHeight="1" s="372"/>
    <row r="249" ht="15.75" customHeight="1" s="372"/>
    <row r="250" ht="15.75" customHeight="1" s="372"/>
    <row r="251" ht="15.75" customHeight="1" s="372"/>
    <row r="252" ht="15.75" customHeight="1" s="372"/>
    <row r="253" ht="15.75" customHeight="1" s="372"/>
    <row r="254" ht="15.75" customHeight="1" s="372"/>
    <row r="255" ht="15.75" customHeight="1" s="372"/>
    <row r="256" ht="15.75" customHeight="1" s="372"/>
    <row r="257" ht="15.75" customHeight="1" s="372"/>
    <row r="258" ht="15.75" customHeight="1" s="372"/>
    <row r="259" ht="15.75" customHeight="1" s="372"/>
    <row r="260" ht="15.75" customHeight="1" s="372"/>
    <row r="261" ht="15.75" customHeight="1" s="372"/>
    <row r="262" ht="15.75" customHeight="1" s="372"/>
    <row r="263" ht="15.75" customHeight="1" s="372"/>
    <row r="264" ht="15.75" customHeight="1" s="372"/>
    <row r="265" ht="15.75" customHeight="1" s="372"/>
    <row r="266" ht="15.75" customHeight="1" s="372"/>
    <row r="267" ht="15.75" customHeight="1" s="372"/>
    <row r="268" ht="15.75" customHeight="1" s="372"/>
    <row r="269" ht="15.75" customHeight="1" s="372"/>
    <row r="270" ht="15.75" customHeight="1" s="372"/>
    <row r="271" ht="15.75" customHeight="1" s="372"/>
    <row r="272" ht="15.75" customHeight="1" s="372"/>
    <row r="273" ht="15.75" customHeight="1" s="372"/>
    <row r="274" ht="15.75" customHeight="1" s="372"/>
    <row r="275" ht="15.75" customHeight="1" s="372"/>
    <row r="276" ht="15.75" customHeight="1" s="372"/>
    <row r="277" ht="15.75" customHeight="1" s="372"/>
    <row r="278" ht="15.75" customHeight="1" s="372"/>
    <row r="279" ht="15.75" customHeight="1" s="372"/>
    <row r="280" ht="15.75" customHeight="1" s="372"/>
    <row r="281" ht="15.75" customHeight="1" s="372"/>
    <row r="282" ht="15.75" customHeight="1" s="372"/>
    <row r="283" ht="15.75" customHeight="1" s="372"/>
    <row r="284" ht="15.75" customHeight="1" s="372"/>
    <row r="285" ht="15.75" customHeight="1" s="372"/>
    <row r="286" ht="15.75" customHeight="1" s="372"/>
    <row r="287" ht="15.75" customHeight="1" s="372"/>
    <row r="288" ht="15.75" customHeight="1" s="372"/>
    <row r="289" ht="15.75" customHeight="1" s="372"/>
    <row r="290" ht="15.75" customHeight="1" s="372"/>
    <row r="291" ht="15.75" customHeight="1" s="372"/>
    <row r="292" ht="15.75" customHeight="1" s="372"/>
    <row r="293" ht="15.75" customHeight="1" s="372"/>
    <row r="294" ht="15.75" customHeight="1" s="372"/>
    <row r="295" ht="15.75" customHeight="1" s="372"/>
    <row r="296" ht="15.75" customHeight="1" s="372"/>
    <row r="297" ht="15.75" customHeight="1" s="372"/>
    <row r="298" ht="15.75" customHeight="1" s="372"/>
    <row r="299" ht="15.75" customHeight="1" s="372"/>
    <row r="300" ht="15.75" customHeight="1" s="372"/>
    <row r="301" ht="15.75" customHeight="1" s="372"/>
    <row r="302" ht="15.75" customHeight="1" s="372"/>
    <row r="303" ht="15.75" customHeight="1" s="372"/>
    <row r="304" ht="15.75" customHeight="1" s="372"/>
    <row r="305" ht="15.75" customHeight="1" s="372"/>
    <row r="306" ht="15.75" customHeight="1" s="372"/>
    <row r="307" ht="15.75" customHeight="1" s="372"/>
    <row r="308" ht="15.75" customHeight="1" s="372"/>
    <row r="309" ht="15.75" customHeight="1" s="372"/>
    <row r="310" ht="15.75" customHeight="1" s="372"/>
    <row r="311" ht="15.75" customHeight="1" s="372"/>
    <row r="312" ht="15.75" customHeight="1" s="372"/>
    <row r="313" ht="15.75" customHeight="1" s="372"/>
    <row r="314" ht="15.75" customHeight="1" s="372"/>
    <row r="315" ht="15.75" customHeight="1" s="372"/>
    <row r="316" ht="15.75" customHeight="1" s="372"/>
    <row r="317" ht="15.75" customHeight="1" s="372"/>
    <row r="318" ht="15.75" customHeight="1" s="372"/>
    <row r="319" ht="15.75" customHeight="1" s="372"/>
    <row r="320" ht="15.75" customHeight="1" s="372"/>
    <row r="321" ht="15.75" customHeight="1" s="372"/>
    <row r="322" ht="15.75" customHeight="1" s="372"/>
    <row r="323" ht="15.75" customHeight="1" s="372"/>
    <row r="324" ht="15.75" customHeight="1" s="372"/>
    <row r="325" ht="15.75" customHeight="1" s="372"/>
    <row r="326" ht="15.75" customHeight="1" s="372"/>
    <row r="327" ht="15.75" customHeight="1" s="372"/>
    <row r="328" ht="15.75" customHeight="1" s="372"/>
    <row r="329" ht="15.75" customHeight="1" s="372"/>
    <row r="330" ht="15.75" customHeight="1" s="372"/>
    <row r="331" ht="15.75" customHeight="1" s="372"/>
    <row r="332" ht="15.75" customHeight="1" s="372"/>
    <row r="333" ht="15.75" customHeight="1" s="372"/>
    <row r="334" ht="15.75" customHeight="1" s="372"/>
    <row r="335" ht="15.75" customHeight="1" s="372"/>
    <row r="336" ht="15.75" customHeight="1" s="372"/>
    <row r="337" ht="15.75" customHeight="1" s="372"/>
    <row r="338" ht="15.75" customHeight="1" s="372"/>
    <row r="339" ht="15.75" customHeight="1" s="372"/>
    <row r="340" ht="15.75" customHeight="1" s="372"/>
    <row r="341" ht="15.75" customHeight="1" s="372"/>
    <row r="342" ht="15.75" customHeight="1" s="372"/>
    <row r="343" ht="15.75" customHeight="1" s="372"/>
    <row r="344" ht="15.75" customHeight="1" s="372"/>
    <row r="345" ht="15.75" customHeight="1" s="372"/>
    <row r="346" ht="15.75" customHeight="1" s="372"/>
    <row r="347" ht="15.75" customHeight="1" s="372"/>
    <row r="348" ht="15.75" customHeight="1" s="372"/>
    <row r="349" ht="15.75" customHeight="1" s="372"/>
    <row r="350" ht="15.75" customHeight="1" s="372"/>
    <row r="351" ht="15.75" customHeight="1" s="372"/>
    <row r="352" ht="15.75" customHeight="1" s="372"/>
    <row r="353" ht="15.75" customHeight="1" s="372"/>
    <row r="354" ht="15.75" customHeight="1" s="372"/>
    <row r="355" ht="15.75" customHeight="1" s="372"/>
    <row r="356" ht="15.75" customHeight="1" s="372"/>
    <row r="357" ht="15.75" customHeight="1" s="372"/>
    <row r="358" ht="15.75" customHeight="1" s="372"/>
    <row r="359" ht="15.75" customHeight="1" s="372"/>
    <row r="360" ht="15.75" customHeight="1" s="372"/>
    <row r="361" ht="15.75" customHeight="1" s="372"/>
    <row r="362" ht="15.75" customHeight="1" s="372"/>
    <row r="363" ht="15.75" customHeight="1" s="372"/>
    <row r="364" ht="15.75" customHeight="1" s="372"/>
    <row r="365" ht="15.75" customHeight="1" s="372"/>
    <row r="366" ht="15.75" customHeight="1" s="372"/>
    <row r="367" ht="15.75" customHeight="1" s="372"/>
    <row r="368" ht="15.75" customHeight="1" s="372"/>
    <row r="369" ht="15.75" customHeight="1" s="372"/>
    <row r="370" ht="15.75" customHeight="1" s="372"/>
    <row r="371" ht="15.75" customHeight="1" s="372"/>
    <row r="372" ht="15.75" customHeight="1" s="372"/>
    <row r="373" ht="15.75" customHeight="1" s="372"/>
    <row r="374" ht="15.75" customHeight="1" s="372"/>
    <row r="375" ht="15.75" customHeight="1" s="372"/>
    <row r="376" ht="15.75" customHeight="1" s="372"/>
    <row r="377" ht="15.75" customHeight="1" s="372"/>
    <row r="378" ht="15.75" customHeight="1" s="372"/>
    <row r="379" ht="15.75" customHeight="1" s="372"/>
    <row r="380" ht="15.75" customHeight="1" s="372"/>
    <row r="381" ht="15.75" customHeight="1" s="372"/>
    <row r="382" ht="15.75" customHeight="1" s="372"/>
    <row r="383" ht="15.75" customHeight="1" s="372"/>
    <row r="384" ht="15.75" customHeight="1" s="372"/>
    <row r="385" ht="15.75" customHeight="1" s="372"/>
    <row r="386" ht="15.75" customHeight="1" s="372"/>
    <row r="387" ht="15.75" customHeight="1" s="372"/>
    <row r="388" ht="15.75" customHeight="1" s="372"/>
    <row r="389" ht="15.75" customHeight="1" s="372"/>
    <row r="390" ht="15.75" customHeight="1" s="372"/>
    <row r="391" ht="15.75" customHeight="1" s="372"/>
    <row r="392" ht="15.75" customHeight="1" s="372"/>
    <row r="393" ht="15.75" customHeight="1" s="372"/>
    <row r="394" ht="15.75" customHeight="1" s="372"/>
    <row r="395" ht="15.75" customHeight="1" s="372"/>
    <row r="396" ht="15.75" customHeight="1" s="372"/>
    <row r="397" ht="15.75" customHeight="1" s="372"/>
    <row r="398" ht="15.75" customHeight="1" s="372"/>
    <row r="399" ht="15.75" customHeight="1" s="372"/>
    <row r="400" ht="15.75" customHeight="1" s="372"/>
    <row r="401" ht="15.75" customHeight="1" s="372"/>
    <row r="402" ht="15.75" customHeight="1" s="372"/>
    <row r="403" ht="15.75" customHeight="1" s="372"/>
    <row r="404" ht="15.75" customHeight="1" s="372"/>
    <row r="405" ht="15.75" customHeight="1" s="372"/>
    <row r="406" ht="15.75" customHeight="1" s="372"/>
    <row r="407" ht="15.75" customHeight="1" s="372"/>
    <row r="408" ht="15.75" customHeight="1" s="372"/>
    <row r="409" ht="15.75" customHeight="1" s="372"/>
    <row r="410" ht="15.75" customHeight="1" s="372"/>
    <row r="411" ht="15.75" customHeight="1" s="372"/>
    <row r="412" ht="15.75" customHeight="1" s="372"/>
    <row r="413" ht="15.75" customHeight="1" s="372"/>
    <row r="414" ht="15.75" customHeight="1" s="372"/>
    <row r="415" ht="15.75" customHeight="1" s="372"/>
    <row r="416" ht="15.75" customHeight="1" s="372"/>
    <row r="417" ht="15.75" customHeight="1" s="372"/>
    <row r="418" ht="15.75" customHeight="1" s="372"/>
    <row r="419" ht="15.75" customHeight="1" s="372"/>
    <row r="420" ht="15.75" customHeight="1" s="372"/>
    <row r="421" ht="15.75" customHeight="1" s="372"/>
    <row r="422" ht="15.75" customHeight="1" s="372"/>
    <row r="423" ht="15.75" customHeight="1" s="372"/>
    <row r="424" ht="15.75" customHeight="1" s="372"/>
    <row r="425" ht="15.75" customHeight="1" s="372"/>
    <row r="426" ht="15.75" customHeight="1" s="372"/>
    <row r="427" ht="15.75" customHeight="1" s="372"/>
    <row r="428" ht="15.75" customHeight="1" s="372"/>
    <row r="429" ht="15.75" customHeight="1" s="372"/>
    <row r="430" ht="15.75" customHeight="1" s="372"/>
    <row r="431" ht="15.75" customHeight="1" s="372"/>
    <row r="432" ht="15.75" customHeight="1" s="372"/>
    <row r="433" ht="15.75" customHeight="1" s="372"/>
    <row r="434" ht="15.75" customHeight="1" s="372"/>
    <row r="435" ht="15.75" customHeight="1" s="372"/>
    <row r="436" ht="15.75" customHeight="1" s="372"/>
    <row r="437" ht="15.75" customHeight="1" s="372"/>
    <row r="438" ht="15.75" customHeight="1" s="372"/>
    <row r="439" ht="15.75" customHeight="1" s="372"/>
    <row r="440" ht="15.75" customHeight="1" s="372"/>
    <row r="441" ht="15.75" customHeight="1" s="372"/>
    <row r="442" ht="15.75" customHeight="1" s="372"/>
    <row r="443" ht="15.75" customHeight="1" s="372"/>
    <row r="444" ht="15.75" customHeight="1" s="372"/>
    <row r="445" ht="15.75" customHeight="1" s="372"/>
    <row r="446" ht="15.75" customHeight="1" s="372"/>
    <row r="447" ht="15.75" customHeight="1" s="372"/>
    <row r="448" ht="15.75" customHeight="1" s="372"/>
    <row r="449" ht="15.75" customHeight="1" s="372"/>
    <row r="450" ht="15.75" customHeight="1" s="372"/>
    <row r="451" ht="15.75" customHeight="1" s="372"/>
    <row r="452" ht="15.75" customHeight="1" s="372"/>
    <row r="453" ht="15.75" customHeight="1" s="372"/>
    <row r="454" ht="15.75" customHeight="1" s="372"/>
    <row r="455" ht="15.75" customHeight="1" s="372"/>
    <row r="456" ht="15.75" customHeight="1" s="372"/>
    <row r="457" ht="15.75" customHeight="1" s="372"/>
    <row r="458" ht="15.75" customHeight="1" s="372"/>
    <row r="459" ht="15.75" customHeight="1" s="372"/>
    <row r="460" ht="15.75" customHeight="1" s="372"/>
    <row r="461" ht="15.75" customHeight="1" s="372"/>
    <row r="462" ht="15.75" customHeight="1" s="372"/>
    <row r="463" ht="15.75" customHeight="1" s="372"/>
    <row r="464" ht="15.75" customHeight="1" s="372"/>
    <row r="465" ht="15.75" customHeight="1" s="372"/>
    <row r="466" ht="15.75" customHeight="1" s="372"/>
    <row r="467" ht="15.75" customHeight="1" s="372"/>
    <row r="468" ht="15.75" customHeight="1" s="372"/>
    <row r="469" ht="15.75" customHeight="1" s="372"/>
    <row r="470" ht="15.75" customHeight="1" s="372"/>
    <row r="471" ht="15.75" customHeight="1" s="372"/>
    <row r="472" ht="15.75" customHeight="1" s="372"/>
    <row r="473" ht="15.75" customHeight="1" s="372"/>
    <row r="474" ht="15.75" customHeight="1" s="372"/>
    <row r="475" ht="15.75" customHeight="1" s="372"/>
    <row r="476" ht="15.75" customHeight="1" s="372"/>
    <row r="477" ht="15.75" customHeight="1" s="372"/>
    <row r="478" ht="15.75" customHeight="1" s="372"/>
    <row r="479" ht="15.75" customHeight="1" s="372"/>
    <row r="480" ht="15.75" customHeight="1" s="372"/>
    <row r="481" ht="15.75" customHeight="1" s="372"/>
    <row r="482" ht="15.75" customHeight="1" s="372"/>
    <row r="483" ht="15.75" customHeight="1" s="372"/>
    <row r="484" ht="15.75" customHeight="1" s="372"/>
    <row r="485" ht="15.75" customHeight="1" s="372"/>
    <row r="486" ht="15.75" customHeight="1" s="372"/>
    <row r="487" ht="15.75" customHeight="1" s="372"/>
    <row r="488" ht="15.75" customHeight="1" s="372"/>
    <row r="489" ht="15.75" customHeight="1" s="372"/>
    <row r="490" ht="15.75" customHeight="1" s="372"/>
    <row r="491" ht="15.75" customHeight="1" s="372"/>
    <row r="492" ht="15.75" customHeight="1" s="372"/>
    <row r="493" ht="15.75" customHeight="1" s="372"/>
    <row r="494" ht="15.75" customHeight="1" s="372"/>
    <row r="495" ht="15.75" customHeight="1" s="372"/>
    <row r="496" ht="15.75" customHeight="1" s="372"/>
    <row r="497" ht="15.75" customHeight="1" s="372"/>
    <row r="498" ht="15.75" customHeight="1" s="372"/>
    <row r="499" ht="15.75" customHeight="1" s="372"/>
    <row r="500" ht="15.75" customHeight="1" s="372"/>
    <row r="501" ht="15.75" customHeight="1" s="372"/>
    <row r="502" ht="15.75" customHeight="1" s="372"/>
    <row r="503" ht="15.75" customHeight="1" s="372"/>
    <row r="504" ht="15.75" customHeight="1" s="372"/>
    <row r="505" ht="15.75" customHeight="1" s="372"/>
    <row r="506" ht="15.75" customHeight="1" s="372"/>
    <row r="507" ht="15.75" customHeight="1" s="372"/>
    <row r="508" ht="15.75" customHeight="1" s="372"/>
    <row r="509" ht="15.75" customHeight="1" s="372"/>
    <row r="510" ht="15.75" customHeight="1" s="372"/>
    <row r="511" ht="15.75" customHeight="1" s="372"/>
    <row r="512" ht="15.75" customHeight="1" s="372"/>
    <row r="513" ht="15.75" customHeight="1" s="372"/>
    <row r="514" ht="15.75" customHeight="1" s="372"/>
    <row r="515" ht="15.75" customHeight="1" s="372"/>
    <row r="516" ht="15.75" customHeight="1" s="372"/>
    <row r="517" ht="15.75" customHeight="1" s="372"/>
    <row r="518" ht="15.75" customHeight="1" s="372"/>
    <row r="519" ht="15.75" customHeight="1" s="372"/>
    <row r="520" ht="15.75" customHeight="1" s="372"/>
    <row r="521" ht="15.75" customHeight="1" s="372"/>
    <row r="522" ht="15.75" customHeight="1" s="372"/>
    <row r="523" ht="15.75" customHeight="1" s="372"/>
    <row r="524" ht="15.75" customHeight="1" s="372"/>
    <row r="525" ht="15.75" customHeight="1" s="372"/>
    <row r="526" ht="15.75" customHeight="1" s="372"/>
    <row r="527" ht="15.75" customHeight="1" s="372"/>
    <row r="528" ht="15.75" customHeight="1" s="372"/>
    <row r="529" ht="15.75" customHeight="1" s="372"/>
    <row r="530" ht="15.75" customHeight="1" s="372"/>
    <row r="531" ht="15.75" customHeight="1" s="372"/>
    <row r="532" ht="15.75" customHeight="1" s="372"/>
    <row r="533" ht="15.75" customHeight="1" s="372"/>
    <row r="534" ht="15.75" customHeight="1" s="372"/>
    <row r="535" ht="15.75" customHeight="1" s="372"/>
    <row r="536" ht="15.75" customHeight="1" s="372"/>
    <row r="537" ht="15.75" customHeight="1" s="372"/>
    <row r="538" ht="15.75" customHeight="1" s="372"/>
    <row r="539" ht="15.75" customHeight="1" s="372"/>
    <row r="540" ht="15.75" customHeight="1" s="372"/>
    <row r="541" ht="15.75" customHeight="1" s="372"/>
    <row r="542" ht="15.75" customHeight="1" s="372"/>
    <row r="543" ht="15.75" customHeight="1" s="372"/>
    <row r="544" ht="15.75" customHeight="1" s="372"/>
    <row r="545" ht="15.75" customHeight="1" s="372"/>
    <row r="546" ht="15.75" customHeight="1" s="372"/>
    <row r="547" ht="15.75" customHeight="1" s="372"/>
    <row r="548" ht="15.75" customHeight="1" s="372"/>
    <row r="549" ht="15.75" customHeight="1" s="372"/>
    <row r="550" ht="15.75" customHeight="1" s="372"/>
    <row r="551" ht="15.75" customHeight="1" s="372"/>
    <row r="552" ht="15.75" customHeight="1" s="372"/>
    <row r="553" ht="15.75" customHeight="1" s="372"/>
    <row r="554" ht="15.75" customHeight="1" s="372"/>
    <row r="555" ht="15.75" customHeight="1" s="372"/>
    <row r="556" ht="15.75" customHeight="1" s="372"/>
    <row r="557" ht="15.75" customHeight="1" s="372"/>
    <row r="558" ht="15.75" customHeight="1" s="372"/>
    <row r="559" ht="15.75" customHeight="1" s="372"/>
    <row r="560" ht="15.75" customHeight="1" s="372"/>
    <row r="561" ht="15.75" customHeight="1" s="372"/>
    <row r="562" ht="15.75" customHeight="1" s="372"/>
    <row r="563" ht="15.75" customHeight="1" s="372"/>
    <row r="564" ht="15.75" customHeight="1" s="372"/>
    <row r="565" ht="15.75" customHeight="1" s="372"/>
    <row r="566" ht="15.75" customHeight="1" s="372"/>
    <row r="567" ht="15.75" customHeight="1" s="372"/>
    <row r="568" ht="15.75" customHeight="1" s="372"/>
    <row r="569" ht="15.75" customHeight="1" s="372"/>
    <row r="570" ht="15.75" customHeight="1" s="372"/>
    <row r="571" ht="15.75" customHeight="1" s="372"/>
    <row r="572" ht="15.75" customHeight="1" s="372"/>
    <row r="573" ht="15.75" customHeight="1" s="372"/>
    <row r="574" ht="15.75" customHeight="1" s="372"/>
    <row r="575" ht="15.75" customHeight="1" s="372"/>
    <row r="576" ht="15.75" customHeight="1" s="372"/>
    <row r="577" ht="15.75" customHeight="1" s="372"/>
    <row r="578" ht="15.75" customHeight="1" s="372"/>
    <row r="579" ht="15.75" customHeight="1" s="372"/>
    <row r="580" ht="15.75" customHeight="1" s="372"/>
    <row r="581" ht="15.75" customHeight="1" s="372"/>
    <row r="582" ht="15.75" customHeight="1" s="372"/>
    <row r="583" ht="15.75" customHeight="1" s="372"/>
    <row r="584" ht="15.75" customHeight="1" s="372"/>
    <row r="585" ht="15.75" customHeight="1" s="372"/>
    <row r="586" ht="15.75" customHeight="1" s="372"/>
    <row r="587" ht="15.75" customHeight="1" s="372"/>
    <row r="588" ht="15.75" customHeight="1" s="372"/>
    <row r="589" ht="15.75" customHeight="1" s="372"/>
    <row r="590" ht="15.75" customHeight="1" s="372"/>
    <row r="591" ht="15.75" customHeight="1" s="372"/>
    <row r="592" ht="15.75" customHeight="1" s="372"/>
    <row r="593" ht="15.75" customHeight="1" s="372"/>
    <row r="594" ht="15.75" customHeight="1" s="372"/>
    <row r="595" ht="15.75" customHeight="1" s="372"/>
    <row r="596" ht="15.75" customHeight="1" s="372"/>
    <row r="597" ht="15.75" customHeight="1" s="372"/>
    <row r="598" ht="15.75" customHeight="1" s="372"/>
    <row r="599" ht="15.75" customHeight="1" s="372"/>
    <row r="600" ht="15.75" customHeight="1" s="372"/>
    <row r="601" ht="15.75" customHeight="1" s="372"/>
    <row r="602" ht="15.75" customHeight="1" s="372"/>
    <row r="603" ht="15.75" customHeight="1" s="372"/>
    <row r="604" ht="15.75" customHeight="1" s="372"/>
    <row r="605" ht="15.75" customHeight="1" s="372"/>
    <row r="606" ht="15.75" customHeight="1" s="372"/>
    <row r="607" ht="15.75" customHeight="1" s="372"/>
    <row r="608" ht="15.75" customHeight="1" s="372"/>
    <row r="609" ht="15.75" customHeight="1" s="372"/>
    <row r="610" ht="15.75" customHeight="1" s="372"/>
    <row r="611" ht="15.75" customHeight="1" s="372"/>
    <row r="612" ht="15.75" customHeight="1" s="372"/>
    <row r="613" ht="15.75" customHeight="1" s="372"/>
    <row r="614" ht="15.75" customHeight="1" s="372"/>
    <row r="615" ht="15.75" customHeight="1" s="372"/>
    <row r="616" ht="15.75" customHeight="1" s="372"/>
    <row r="617" ht="15.75" customHeight="1" s="372"/>
    <row r="618" ht="15.75" customHeight="1" s="372"/>
    <row r="619" ht="15.75" customHeight="1" s="372"/>
    <row r="620" ht="15.75" customHeight="1" s="372"/>
    <row r="621" ht="15.75" customHeight="1" s="372"/>
    <row r="622" ht="15.75" customHeight="1" s="372"/>
    <row r="623" ht="15.75" customHeight="1" s="372"/>
    <row r="624" ht="15.75" customHeight="1" s="372"/>
    <row r="625" ht="15.75" customHeight="1" s="372"/>
    <row r="626" ht="15.75" customHeight="1" s="372"/>
    <row r="627" ht="15.75" customHeight="1" s="372"/>
    <row r="628" ht="15.75" customHeight="1" s="372"/>
    <row r="629" ht="15.75" customHeight="1" s="372"/>
    <row r="630" ht="15.75" customHeight="1" s="372"/>
    <row r="631" ht="15.75" customHeight="1" s="372"/>
    <row r="632" ht="15.75" customHeight="1" s="372"/>
    <row r="633" ht="15.75" customHeight="1" s="372"/>
    <row r="634" ht="15.75" customHeight="1" s="372"/>
    <row r="635" ht="15.75" customHeight="1" s="372"/>
    <row r="636" ht="15.75" customHeight="1" s="372"/>
    <row r="637" ht="15.75" customHeight="1" s="372"/>
    <row r="638" ht="15.75" customHeight="1" s="372"/>
    <row r="639" ht="15.75" customHeight="1" s="372"/>
    <row r="640" ht="15.75" customHeight="1" s="372"/>
    <row r="641" ht="15.75" customHeight="1" s="372"/>
    <row r="642" ht="15.75" customHeight="1" s="372"/>
    <row r="643" ht="15.75" customHeight="1" s="372"/>
    <row r="644" ht="15.75" customHeight="1" s="372"/>
    <row r="645" ht="15.75" customHeight="1" s="372"/>
    <row r="646" ht="15.75" customHeight="1" s="372"/>
    <row r="647" ht="15.75" customHeight="1" s="372"/>
    <row r="648" ht="15.75" customHeight="1" s="372"/>
    <row r="649" ht="15.75" customHeight="1" s="372"/>
    <row r="650" ht="15.75" customHeight="1" s="372"/>
    <row r="651" ht="15.75" customHeight="1" s="372"/>
    <row r="652" ht="15.75" customHeight="1" s="372"/>
    <row r="653" ht="15.75" customHeight="1" s="372"/>
    <row r="654" ht="15.75" customHeight="1" s="372"/>
    <row r="655" ht="15.75" customHeight="1" s="372"/>
    <row r="656" ht="15.75" customHeight="1" s="372"/>
    <row r="657" ht="15.75" customHeight="1" s="372"/>
    <row r="658" ht="15.75" customHeight="1" s="372"/>
    <row r="659" ht="15.75" customHeight="1" s="372"/>
    <row r="660" ht="15.75" customHeight="1" s="372"/>
    <row r="661" ht="15.75" customHeight="1" s="372"/>
    <row r="662" ht="15.75" customHeight="1" s="372"/>
    <row r="663" ht="15.75" customHeight="1" s="372"/>
    <row r="664" ht="15.75" customHeight="1" s="372"/>
    <row r="665" ht="15.75" customHeight="1" s="372"/>
    <row r="666" ht="15.75" customHeight="1" s="372"/>
    <row r="667" ht="15.75" customHeight="1" s="372"/>
    <row r="668" ht="15.75" customHeight="1" s="372"/>
    <row r="669" ht="15.75" customHeight="1" s="372"/>
    <row r="670" ht="15.75" customHeight="1" s="372"/>
    <row r="671" ht="15.75" customHeight="1" s="372"/>
    <row r="672" ht="15.75" customHeight="1" s="372"/>
    <row r="673" ht="15.75" customHeight="1" s="372"/>
    <row r="674" ht="15.75" customHeight="1" s="372"/>
    <row r="675" ht="15.75" customHeight="1" s="372"/>
    <row r="676" ht="15.75" customHeight="1" s="372"/>
    <row r="677" ht="15.75" customHeight="1" s="372"/>
    <row r="678" ht="15.75" customHeight="1" s="372"/>
    <row r="679" ht="15.75" customHeight="1" s="372"/>
    <row r="680" ht="15.75" customHeight="1" s="372"/>
    <row r="681" ht="15.75" customHeight="1" s="372"/>
    <row r="682" ht="15.75" customHeight="1" s="372"/>
    <row r="683" ht="15.75" customHeight="1" s="372"/>
    <row r="684" ht="15.75" customHeight="1" s="372"/>
    <row r="685" ht="15.75" customHeight="1" s="372"/>
    <row r="686" ht="15.75" customHeight="1" s="372"/>
    <row r="687" ht="15.75" customHeight="1" s="372"/>
    <row r="688" ht="15.75" customHeight="1" s="372"/>
    <row r="689" ht="15.75" customHeight="1" s="372"/>
    <row r="690" ht="15.75" customHeight="1" s="372"/>
    <row r="691" ht="15.75" customHeight="1" s="372"/>
    <row r="692" ht="15.75" customHeight="1" s="372"/>
    <row r="693" ht="15.75" customHeight="1" s="372"/>
    <row r="694" ht="15.75" customHeight="1" s="372"/>
    <row r="695" ht="15.75" customHeight="1" s="372"/>
    <row r="696" ht="15.75" customHeight="1" s="372"/>
    <row r="697" ht="15.75" customHeight="1" s="372"/>
    <row r="698" ht="15.75" customHeight="1" s="372"/>
    <row r="699" ht="15.75" customHeight="1" s="372"/>
    <row r="700" ht="15.75" customHeight="1" s="372"/>
    <row r="701" ht="15.75" customHeight="1" s="372"/>
    <row r="702" ht="15.75" customHeight="1" s="372"/>
    <row r="703" ht="15.75" customHeight="1" s="372"/>
    <row r="704" ht="15.75" customHeight="1" s="372"/>
    <row r="705" ht="15.75" customHeight="1" s="372"/>
    <row r="706" ht="15.75" customHeight="1" s="372"/>
    <row r="707" ht="15.75" customHeight="1" s="372"/>
    <row r="708" ht="15.75" customHeight="1" s="372"/>
    <row r="709" ht="15.75" customHeight="1" s="372"/>
    <row r="710" ht="15.75" customHeight="1" s="372"/>
    <row r="711" ht="15.75" customHeight="1" s="372"/>
    <row r="712" ht="15.75" customHeight="1" s="372"/>
    <row r="713" ht="15.75" customHeight="1" s="372"/>
    <row r="714" ht="15.75" customHeight="1" s="372"/>
    <row r="715" ht="15.75" customHeight="1" s="372"/>
    <row r="716" ht="15.75" customHeight="1" s="372"/>
    <row r="717" ht="15.75" customHeight="1" s="372"/>
    <row r="718" ht="15.75" customHeight="1" s="372"/>
    <row r="719" ht="15.75" customHeight="1" s="372"/>
    <row r="720" ht="15.75" customHeight="1" s="372"/>
    <row r="721" ht="15.75" customHeight="1" s="372"/>
    <row r="722" ht="15.75" customHeight="1" s="372"/>
    <row r="723" ht="15.75" customHeight="1" s="372"/>
    <row r="724" ht="15.75" customHeight="1" s="372"/>
    <row r="725" ht="15.75" customHeight="1" s="372"/>
    <row r="726" ht="15.75" customHeight="1" s="372"/>
    <row r="727" ht="15.75" customHeight="1" s="372"/>
    <row r="728" ht="15.75" customHeight="1" s="372"/>
    <row r="729" ht="15.75" customHeight="1" s="372"/>
    <row r="730" ht="15.75" customHeight="1" s="372"/>
    <row r="731" ht="15.75" customHeight="1" s="372"/>
    <row r="732" ht="15.75" customHeight="1" s="372"/>
    <row r="733" ht="15.75" customHeight="1" s="372"/>
    <row r="734" ht="15.75" customHeight="1" s="372"/>
    <row r="735" ht="15.75" customHeight="1" s="372"/>
    <row r="736" ht="15.75" customHeight="1" s="372"/>
    <row r="737" ht="15.75" customHeight="1" s="372"/>
    <row r="738" ht="15.75" customHeight="1" s="372"/>
    <row r="739" ht="15.75" customHeight="1" s="372"/>
    <row r="740" ht="15.75" customHeight="1" s="372"/>
    <row r="741" ht="15.75" customHeight="1" s="372"/>
    <row r="742" ht="15.75" customHeight="1" s="372"/>
    <row r="743" ht="15.75" customHeight="1" s="372"/>
    <row r="744" ht="15.75" customHeight="1" s="372"/>
    <row r="745" ht="15.75" customHeight="1" s="372"/>
    <row r="746" ht="15.75" customHeight="1" s="372"/>
    <row r="747" ht="15.75" customHeight="1" s="372"/>
    <row r="748" ht="15.75" customHeight="1" s="372"/>
    <row r="749" ht="15.75" customHeight="1" s="372"/>
    <row r="750" ht="15.75" customHeight="1" s="372"/>
    <row r="751" ht="15.75" customHeight="1" s="372"/>
    <row r="752" ht="15.75" customHeight="1" s="372"/>
    <row r="753" ht="15.75" customHeight="1" s="372"/>
    <row r="754" ht="15.75" customHeight="1" s="372"/>
    <row r="755" ht="15.75" customHeight="1" s="372"/>
    <row r="756" ht="15.75" customHeight="1" s="372"/>
    <row r="757" ht="15.75" customHeight="1" s="372"/>
    <row r="758" ht="15.75" customHeight="1" s="372"/>
    <row r="759" ht="15.75" customHeight="1" s="372"/>
    <row r="760" ht="15.75" customHeight="1" s="372"/>
    <row r="761" ht="15.75" customHeight="1" s="372"/>
    <row r="762" ht="15.75" customHeight="1" s="372"/>
    <row r="763" ht="15.75" customHeight="1" s="372"/>
    <row r="764" ht="15.75" customHeight="1" s="372"/>
    <row r="765" ht="15.75" customHeight="1" s="372"/>
    <row r="766" ht="15.75" customHeight="1" s="372"/>
    <row r="767" ht="15.75" customHeight="1" s="372"/>
    <row r="768" ht="15.75" customHeight="1" s="372"/>
    <row r="769" ht="15.75" customHeight="1" s="372"/>
    <row r="770" ht="15.75" customHeight="1" s="372"/>
    <row r="771" ht="15.75" customHeight="1" s="372"/>
    <row r="772" ht="15.75" customHeight="1" s="372"/>
    <row r="773" ht="15.75" customHeight="1" s="372"/>
    <row r="774" ht="15.75" customHeight="1" s="372"/>
    <row r="775" ht="15.75" customHeight="1" s="372"/>
    <row r="776" ht="15.75" customHeight="1" s="372"/>
    <row r="777" ht="15.75" customHeight="1" s="372"/>
    <row r="778" ht="15.75" customHeight="1" s="372"/>
    <row r="779" ht="15.75" customHeight="1" s="372"/>
    <row r="780" ht="15.75" customHeight="1" s="372"/>
    <row r="781" ht="15.75" customHeight="1" s="372"/>
    <row r="782" ht="15.75" customHeight="1" s="372"/>
    <row r="783" ht="15.75" customHeight="1" s="372"/>
    <row r="784" ht="15.75" customHeight="1" s="372"/>
    <row r="785" ht="15.75" customHeight="1" s="372"/>
    <row r="786" ht="15.75" customHeight="1" s="372"/>
    <row r="787" ht="15.75" customHeight="1" s="372"/>
    <row r="788" ht="15.75" customHeight="1" s="372"/>
    <row r="789" ht="15.75" customHeight="1" s="372"/>
    <row r="790" ht="15.75" customHeight="1" s="372"/>
    <row r="791" ht="15.75" customHeight="1" s="372"/>
    <row r="792" ht="15.75" customHeight="1" s="372"/>
    <row r="793" ht="15.75" customHeight="1" s="372"/>
    <row r="794" ht="15.75" customHeight="1" s="372"/>
    <row r="795" ht="15.75" customHeight="1" s="372"/>
    <row r="796" ht="15.75" customHeight="1" s="372"/>
    <row r="797" ht="15.75" customHeight="1" s="372"/>
    <row r="798" ht="15.75" customHeight="1" s="372"/>
    <row r="799" ht="15.75" customHeight="1" s="372"/>
    <row r="800" ht="15.75" customHeight="1" s="372"/>
    <row r="801" ht="15.75" customHeight="1" s="372"/>
    <row r="802" ht="15.75" customHeight="1" s="372"/>
    <row r="803" ht="15.75" customHeight="1" s="372"/>
    <row r="804" ht="15.75" customHeight="1" s="372"/>
    <row r="805" ht="15.75" customHeight="1" s="372"/>
    <row r="806" ht="15.75" customHeight="1" s="372"/>
    <row r="807" ht="15.75" customHeight="1" s="372"/>
    <row r="808" ht="15.75" customHeight="1" s="372"/>
    <row r="809" ht="15.75" customHeight="1" s="372"/>
    <row r="810" ht="15.75" customHeight="1" s="372"/>
    <row r="811" ht="15.75" customHeight="1" s="372"/>
    <row r="812" ht="15.75" customHeight="1" s="372"/>
    <row r="813" ht="15.75" customHeight="1" s="372"/>
    <row r="814" ht="15.75" customHeight="1" s="372"/>
    <row r="815" ht="15.75" customHeight="1" s="372"/>
    <row r="816" ht="15.75" customHeight="1" s="372"/>
    <row r="817" ht="15.75" customHeight="1" s="372"/>
    <row r="818" ht="15.75" customHeight="1" s="372"/>
    <row r="819" ht="15.75" customHeight="1" s="372"/>
    <row r="820" ht="15.75" customHeight="1" s="372"/>
    <row r="821" ht="15.75" customHeight="1" s="372"/>
    <row r="822" ht="15.75" customHeight="1" s="372"/>
    <row r="823" ht="15.75" customHeight="1" s="372"/>
    <row r="824" ht="15.75" customHeight="1" s="372"/>
    <row r="825" ht="15.75" customHeight="1" s="372"/>
    <row r="826" ht="15.75" customHeight="1" s="372"/>
    <row r="827" ht="15.75" customHeight="1" s="372"/>
    <row r="828" ht="15.75" customHeight="1" s="372"/>
    <row r="829" ht="15.75" customHeight="1" s="372"/>
    <row r="830" ht="15.75" customHeight="1" s="372"/>
    <row r="831" ht="15.75" customHeight="1" s="372"/>
    <row r="832" ht="15.75" customHeight="1" s="372"/>
    <row r="833" ht="15.75" customHeight="1" s="372"/>
    <row r="834" ht="15.75" customHeight="1" s="372"/>
    <row r="835" ht="15.75" customHeight="1" s="372"/>
    <row r="836" ht="15.75" customHeight="1" s="372"/>
    <row r="837" ht="15.75" customHeight="1" s="372"/>
    <row r="838" ht="15.75" customHeight="1" s="372"/>
    <row r="839" ht="15.75" customHeight="1" s="372"/>
    <row r="840" ht="15.75" customHeight="1" s="372"/>
    <row r="841" ht="15.75" customHeight="1" s="372"/>
    <row r="842" ht="15.75" customHeight="1" s="372"/>
    <row r="843" ht="15.75" customHeight="1" s="372"/>
    <row r="844" ht="15.75" customHeight="1" s="372"/>
    <row r="845" ht="15.75" customHeight="1" s="372"/>
    <row r="846" ht="15.75" customHeight="1" s="372"/>
    <row r="847" ht="15.75" customHeight="1" s="372"/>
    <row r="848" ht="15.75" customHeight="1" s="372"/>
    <row r="849" ht="15.75" customHeight="1" s="372"/>
    <row r="850" ht="15.75" customHeight="1" s="372"/>
    <row r="851" ht="15.75" customHeight="1" s="372"/>
    <row r="852" ht="15.75" customHeight="1" s="372"/>
    <row r="853" ht="15.75" customHeight="1" s="372"/>
    <row r="854" ht="15.75" customHeight="1" s="372"/>
    <row r="855" ht="15.75" customHeight="1" s="372"/>
    <row r="856" ht="15.75" customHeight="1" s="372"/>
    <row r="857" ht="15.75" customHeight="1" s="372"/>
    <row r="858" ht="15.75" customHeight="1" s="372"/>
    <row r="859" ht="15.75" customHeight="1" s="372"/>
    <row r="860" ht="15.75" customHeight="1" s="372"/>
    <row r="861" ht="15.75" customHeight="1" s="372"/>
    <row r="862" ht="15.75" customHeight="1" s="372"/>
    <row r="863" ht="15.75" customHeight="1" s="372"/>
    <row r="864" ht="15.75" customHeight="1" s="372"/>
    <row r="865" ht="15.75" customHeight="1" s="372"/>
    <row r="866" ht="15.75" customHeight="1" s="372"/>
    <row r="867" ht="15.75" customHeight="1" s="372"/>
    <row r="868" ht="15.75" customHeight="1" s="372"/>
    <row r="869" ht="15.75" customHeight="1" s="372"/>
    <row r="870" ht="15.75" customHeight="1" s="372"/>
    <row r="871" ht="15.75" customHeight="1" s="372"/>
    <row r="872" ht="15.75" customHeight="1" s="372"/>
    <row r="873" ht="15.75" customHeight="1" s="372"/>
    <row r="874" ht="15.75" customHeight="1" s="372"/>
    <row r="875" ht="15.75" customHeight="1" s="372"/>
    <row r="876" ht="15.75" customHeight="1" s="372"/>
    <row r="877" ht="15.75" customHeight="1" s="372"/>
    <row r="878" ht="15.75" customHeight="1" s="372"/>
    <row r="879" ht="15.75" customHeight="1" s="372"/>
    <row r="880" ht="15.75" customHeight="1" s="372"/>
    <row r="881" ht="15.75" customHeight="1" s="372"/>
    <row r="882" ht="15.75" customHeight="1" s="372"/>
    <row r="883" ht="15.75" customHeight="1" s="372"/>
    <row r="884" ht="15.75" customHeight="1" s="372"/>
    <row r="885" ht="15.75" customHeight="1" s="372"/>
    <row r="886" ht="15.75" customHeight="1" s="372"/>
    <row r="887" ht="15.75" customHeight="1" s="372"/>
    <row r="888" ht="15.75" customHeight="1" s="372"/>
    <row r="889" ht="15.75" customHeight="1" s="372"/>
    <row r="890" ht="15.75" customHeight="1" s="372"/>
    <row r="891" ht="15.75" customHeight="1" s="372"/>
    <row r="892" ht="15.75" customHeight="1" s="372"/>
    <row r="893" ht="15.75" customHeight="1" s="372"/>
    <row r="894" ht="15.75" customHeight="1" s="372"/>
    <row r="895" ht="15.75" customHeight="1" s="372"/>
    <row r="896" ht="15.75" customHeight="1" s="372"/>
    <row r="897" ht="15.75" customHeight="1" s="372"/>
    <row r="898" ht="15.75" customHeight="1" s="372"/>
    <row r="899" ht="15.75" customHeight="1" s="372"/>
    <row r="900" ht="15.75" customHeight="1" s="372"/>
    <row r="901" ht="15.75" customHeight="1" s="372"/>
    <row r="902" ht="15.75" customHeight="1" s="372"/>
    <row r="903" ht="15.75" customHeight="1" s="372"/>
    <row r="904" ht="15.75" customHeight="1" s="372"/>
    <row r="905" ht="15.75" customHeight="1" s="372"/>
    <row r="906" ht="15.75" customHeight="1" s="372"/>
    <row r="907" ht="15.75" customHeight="1" s="372"/>
    <row r="908" ht="15.75" customHeight="1" s="372"/>
    <row r="909" ht="15.75" customHeight="1" s="372"/>
    <row r="910" ht="15.75" customHeight="1" s="372"/>
    <row r="911" ht="15.75" customHeight="1" s="372"/>
    <row r="912" ht="15.75" customHeight="1" s="372"/>
    <row r="913" ht="15.75" customHeight="1" s="372"/>
    <row r="914" ht="15.75" customHeight="1" s="372"/>
    <row r="915" ht="15.75" customHeight="1" s="372"/>
    <row r="916" ht="15.75" customHeight="1" s="372"/>
    <row r="917" ht="15.75" customHeight="1" s="372"/>
    <row r="918" ht="15.75" customHeight="1" s="372"/>
    <row r="919" ht="15.75" customHeight="1" s="372"/>
    <row r="920" ht="15.75" customHeight="1" s="372"/>
    <row r="921" ht="15.75" customHeight="1" s="372"/>
    <row r="922" ht="15.75" customHeight="1" s="372"/>
    <row r="923" ht="15.75" customHeight="1" s="372"/>
    <row r="924" ht="15.75" customHeight="1" s="372"/>
    <row r="925" ht="15.75" customHeight="1" s="372"/>
    <row r="926" ht="15.75" customHeight="1" s="372"/>
    <row r="927" ht="15.75" customHeight="1" s="372"/>
    <row r="928" ht="15.75" customHeight="1" s="372"/>
    <row r="929" ht="15.75" customHeight="1" s="372"/>
    <row r="930" ht="15.75" customHeight="1" s="372"/>
    <row r="931" ht="15.75" customHeight="1" s="372"/>
    <row r="932" ht="15.75" customHeight="1" s="372"/>
    <row r="933" ht="15.75" customHeight="1" s="372"/>
    <row r="934" ht="15.75" customHeight="1" s="372"/>
    <row r="935" ht="15.75" customHeight="1" s="372"/>
    <row r="936" ht="15.75" customHeight="1" s="372"/>
    <row r="937" ht="15.75" customHeight="1" s="372"/>
    <row r="938" ht="15.75" customHeight="1" s="372"/>
    <row r="939" ht="15.75" customHeight="1" s="372"/>
    <row r="940" ht="15.75" customHeight="1" s="372"/>
    <row r="941" ht="15.75" customHeight="1" s="372"/>
    <row r="942" ht="15.75" customHeight="1" s="372"/>
    <row r="943" ht="15.75" customHeight="1" s="372"/>
    <row r="944" ht="15.75" customHeight="1" s="372"/>
    <row r="945" ht="15.75" customHeight="1" s="372"/>
    <row r="946" ht="15.75" customHeight="1" s="372"/>
    <row r="947" ht="15.75" customHeight="1" s="372"/>
    <row r="948" ht="15.75" customHeight="1" s="372"/>
    <row r="949" ht="15.75" customHeight="1" s="372"/>
    <row r="950" ht="15.75" customHeight="1" s="372"/>
    <row r="951" ht="15.75" customHeight="1" s="372"/>
    <row r="952" ht="15.75" customHeight="1" s="372"/>
    <row r="953" ht="15.75" customHeight="1" s="372"/>
    <row r="954" ht="15.75" customHeight="1" s="372"/>
    <row r="955" ht="15.75" customHeight="1" s="372"/>
    <row r="956" ht="15.75" customHeight="1" s="372"/>
    <row r="957" ht="15.75" customHeight="1" s="372"/>
    <row r="958" ht="15.75" customHeight="1" s="372"/>
    <row r="959" ht="15.75" customHeight="1" s="372"/>
    <row r="960" ht="15.75" customHeight="1" s="372"/>
    <row r="961" ht="15.75" customHeight="1" s="372"/>
    <row r="962" ht="15.75" customHeight="1" s="372"/>
    <row r="963" ht="15.75" customHeight="1" s="372"/>
    <row r="964" ht="15.75" customHeight="1" s="372"/>
    <row r="965" ht="15.75" customHeight="1" s="372"/>
    <row r="966" ht="15.75" customHeight="1" s="372"/>
    <row r="967" ht="15.75" customHeight="1" s="372"/>
    <row r="968" ht="15.75" customHeight="1" s="372"/>
    <row r="969" ht="15.75" customHeight="1" s="372"/>
    <row r="970" ht="15.75" customHeight="1" s="372"/>
    <row r="971" ht="15.75" customHeight="1" s="372"/>
    <row r="972" ht="15.75" customHeight="1" s="372"/>
    <row r="973" ht="15.75" customHeight="1" s="372"/>
    <row r="974" ht="15.75" customHeight="1" s="372"/>
    <row r="975" ht="15.75" customHeight="1" s="372"/>
    <row r="976" ht="15.75" customHeight="1" s="372"/>
    <row r="977" ht="15.75" customHeight="1" s="372"/>
    <row r="978" ht="15.75" customHeight="1" s="372"/>
    <row r="979" ht="15.75" customHeight="1" s="372"/>
    <row r="980" ht="15.75" customHeight="1" s="372"/>
    <row r="981" ht="15.75" customHeight="1" s="372"/>
    <row r="982" ht="15.75" customHeight="1" s="372"/>
    <row r="983" ht="15.75" customHeight="1" s="372"/>
    <row r="984" ht="15.75" customHeight="1" s="372"/>
    <row r="985" ht="15.75" customHeight="1" s="372"/>
    <row r="986" ht="15.75" customHeight="1" s="372"/>
    <row r="987" ht="15.75" customHeight="1" s="372"/>
    <row r="988" ht="15.75" customHeight="1" s="372"/>
    <row r="989" ht="15.75" customHeight="1" s="372"/>
    <row r="990" ht="15.75" customHeight="1" s="372"/>
    <row r="991" ht="15.75" customHeight="1" s="372"/>
    <row r="992" ht="15.75" customHeight="1" s="372"/>
    <row r="993" ht="15.75" customHeight="1" s="372"/>
    <row r="994" ht="15.75" customHeight="1" s="372"/>
    <row r="995" ht="15.75" customHeight="1" s="372"/>
    <row r="996" ht="15.75" customHeight="1" s="372"/>
    <row r="997" ht="15.75" customHeight="1" s="372"/>
    <row r="998" ht="15.75" customHeight="1" s="372"/>
    <row r="999" ht="15.75" customHeight="1" s="372"/>
    <row r="1000" ht="15.75" customHeight="1" s="372"/>
  </sheetData>
  <mergeCells count="7">
    <mergeCell ref="A9:D9"/>
    <mergeCell ref="H2:I2"/>
    <mergeCell ref="A1:M1"/>
    <mergeCell ref="E2:F2"/>
    <mergeCell ref="A2:D2"/>
    <mergeCell ref="A3:F3"/>
    <mergeCell ref="E9:F9"/>
  </mergeCells>
  <dataValidations count="3">
    <dataValidation sqref="D6:D8 D10:D32" showDropDown="0" showInputMessage="0" showErrorMessage="0" allowBlank="1" type="list">
      <formula1>"Observer,Participant,Leader"</formula1>
    </dataValidation>
    <dataValidation sqref="C6:C8 C10:C32" showDropDown="0" showInputMessage="0" showErrorMessage="0" allowBlank="1" type="list">
      <formula1>"Elementary,Middle,High,Central Office,Agency,Other"</formula1>
    </dataValidation>
    <dataValidation sqref="O6 O7 O8 O10 O11 O12 O13 O14 O15 O16 O17 O18 O19 O20 O21 O22 O23 O24 O25 O26 O27 O28 O29 O30 O31" showDropDown="0" showInputMessage="1" showErrorMessage="0" allowBlank="1" promptTitle="Completed" prompt="Choose Yes once you have finished this experience." type="list">
      <formula1>"Yes"</formula1>
    </dataValidation>
  </dataValidations>
  <pageMargins left="0.75" right="0.75" top="1" bottom="1" header="0" footer="0"/>
  <pageSetup orientation="portrait" paperSize="9"/>
</worksheet>
</file>

<file path=xl/worksheets/sheet4.xml><?xml version="1.0" encoding="utf-8"?>
<worksheet xmlns="http://schemas.openxmlformats.org/spreadsheetml/2006/main">
  <sheetPr>
    <tabColor rgb="FF0000FF"/>
    <outlinePr summaryBelow="1" summaryRight="1"/>
    <pageSetUpPr/>
  </sheetPr>
  <dimension ref="A1:Z28"/>
  <sheetViews>
    <sheetView workbookViewId="0">
      <pane ySplit="5" topLeftCell="A6" activePane="bottomLeft" state="frozen"/>
      <selection pane="bottomLeft" activeCell="B7" sqref="B7"/>
    </sheetView>
  </sheetViews>
  <sheetFormatPr baseColWidth="8" defaultColWidth="14.43" defaultRowHeight="15" customHeight="1"/>
  <cols>
    <col width="12" customWidth="1" style="372" min="1" max="2"/>
    <col width="14" customWidth="1" style="372" min="3" max="3"/>
    <col width="10" customWidth="1" style="372" min="4" max="4"/>
    <col width="55" customWidth="1" style="372" min="5" max="5"/>
    <col width="8" customWidth="1" style="372" min="6" max="6"/>
    <col width="5" customWidth="1" style="372" min="7" max="12"/>
    <col width="28" customWidth="1" style="372" min="13" max="13"/>
    <col width="29.71" customWidth="1" style="372" min="14" max="14"/>
    <col width="12" customWidth="1" style="372" min="15" max="26"/>
  </cols>
  <sheetData>
    <row r="1" ht="39.75" customHeight="1" s="372">
      <c r="A1" s="157" t="inlineStr">
        <is>
          <t>INTERNSHIP LOG  |  7811 – Teaching &amp; Learning  |  Semester 2</t>
        </is>
      </c>
    </row>
    <row r="2" ht="36" customHeight="1" s="372">
      <c r="A2" s="19" t="inlineStr">
        <is>
          <t>Name: Pat Example      Placement(s): Invented Elementary</t>
        </is>
      </c>
      <c r="B2" s="373" t="n"/>
      <c r="C2" s="373" t="n"/>
      <c r="D2" s="373" t="n"/>
      <c r="E2" s="21" t="inlineStr">
        <is>
          <t>Total Hours Logged</t>
        </is>
      </c>
      <c r="F2" s="373" t="n"/>
      <c r="G2" s="22">
        <f>SUM(F6:F200)</f>
        <v/>
      </c>
      <c r="H2" s="23" t="inlineStr">
        <is>
          <t>Remaining</t>
        </is>
      </c>
      <c r="I2" s="373" t="n"/>
      <c r="J2" s="24">
        <f>(32-G2)</f>
        <v/>
      </c>
    </row>
    <row r="3" ht="19.5" customHeight="1" s="372">
      <c r="A3" s="25" t="inlineStr">
        <is>
          <t>Hours by Competency (auto-calculated from your X marks below):</t>
        </is>
      </c>
      <c r="G3" s="26">
        <f>SUMIF($G$6:$G$200,"X",$F$6:$F$200)</f>
        <v/>
      </c>
      <c r="H3" s="27">
        <f>SUMIF($H$6:$H$200,"X",$F$6:$F$200)</f>
        <v/>
      </c>
      <c r="I3" s="28">
        <f>SUMIF($I$6:$I$200,"X",$F$6:$F$200)</f>
        <v/>
      </c>
      <c r="J3" s="29">
        <f>SUMIF($J$6:$J$200,"X",$F$6:$F$200)</f>
        <v/>
      </c>
      <c r="K3" s="30">
        <f>SUMIF($K$6:$K$200,"X",$F$6:$F$200)</f>
        <v/>
      </c>
      <c r="L3" s="31">
        <f>SUMIF($L$6:$L$200,"X",$F$6:$F$200)</f>
        <v/>
      </c>
      <c r="M3" s="32" t="inlineStr">
        <is>
          <t>← Competency hour totals</t>
        </is>
      </c>
    </row>
    <row r="4" ht="6" customHeight="1" s="372"/>
    <row r="5" ht="31.5" customHeight="1" s="372">
      <c r="A5" s="33" t="inlineStr">
        <is>
          <t>Type</t>
        </is>
      </c>
      <c r="B5" s="33" t="inlineStr">
        <is>
          <t>Date</t>
        </is>
      </c>
      <c r="C5" s="33" t="inlineStr">
        <is>
          <t>Location</t>
        </is>
      </c>
      <c r="D5" s="33" t="inlineStr">
        <is>
          <t>Role</t>
        </is>
      </c>
      <c r="E5" s="33" t="inlineStr">
        <is>
          <t>Experience Description</t>
        </is>
      </c>
      <c r="F5" s="33" t="inlineStr">
        <is>
          <t>Hrs</t>
        </is>
      </c>
      <c r="G5" s="34" t="inlineStr">
        <is>
          <t>①</t>
        </is>
      </c>
      <c r="H5" s="35" t="inlineStr">
        <is>
          <t>②</t>
        </is>
      </c>
      <c r="I5" s="36" t="inlineStr">
        <is>
          <t>③</t>
        </is>
      </c>
      <c r="J5" s="37" t="inlineStr">
        <is>
          <t>④</t>
        </is>
      </c>
      <c r="K5" s="38" t="inlineStr">
        <is>
          <t>⑤</t>
        </is>
      </c>
      <c r="L5" s="39" t="inlineStr">
        <is>
          <t>⑥</t>
        </is>
      </c>
      <c r="M5" s="33" t="inlineStr">
        <is>
          <t>Evidence / Notes</t>
        </is>
      </c>
      <c r="N5" s="40" t="inlineStr">
        <is>
          <t>Site name</t>
        </is>
      </c>
      <c r="O5" s="40" t="inlineStr">
        <is>
          <t>Completed</t>
        </is>
      </c>
    </row>
    <row r="6" ht="49.5" customHeight="1" s="372">
      <c r="A6" s="41" t="inlineStr">
        <is>
          <t>EMBEDDED</t>
        </is>
      </c>
      <c r="B6" s="158" t="n"/>
      <c r="C6" s="43" t="inlineStr">
        <is>
          <t>Main Site</t>
        </is>
      </c>
      <c r="D6" s="44" t="n"/>
      <c r="E6" s="45" t="inlineStr">
        <is>
          <t>Embedded Experience: Observation-Feedback Experience: Practice an aspect of instructional supervision. You and your mentor will visit a classroom together to observe a teacher and provide structured feedback.</t>
        </is>
      </c>
      <c r="F6" s="46" t="n">
        <v>15</v>
      </c>
      <c r="G6" s="159" t="inlineStr">
        <is>
          <t>X</t>
        </is>
      </c>
      <c r="H6" s="48" t="n"/>
      <c r="I6" s="49" t="n"/>
      <c r="J6" s="160" t="n"/>
      <c r="K6" s="51" t="n"/>
      <c r="L6" s="52" t="n"/>
      <c r="M6" s="53" t="inlineStr">
        <is>
          <t>Submit: Assignment</t>
        </is>
      </c>
      <c r="N6" s="54" t="n"/>
      <c r="O6" s="54" t="n"/>
      <c r="P6" s="54" t="n"/>
      <c r="Q6" s="54" t="n"/>
      <c r="R6" s="54" t="n"/>
      <c r="S6" s="54" t="n"/>
      <c r="T6" s="54" t="n"/>
      <c r="U6" s="54" t="n"/>
      <c r="V6" s="54" t="n"/>
      <c r="W6" s="54" t="n"/>
      <c r="X6" s="54" t="n"/>
      <c r="Y6" s="54" t="n"/>
      <c r="Z6" s="54" t="n"/>
    </row>
    <row r="7" ht="45" customHeight="1" s="372">
      <c r="A7" s="55" t="inlineStr">
        <is>
          <t>ALIGNED</t>
        </is>
      </c>
      <c r="B7" s="56" t="n"/>
      <c r="C7" s="57" t="n"/>
      <c r="D7" s="57" t="n"/>
      <c r="E7" s="75" t="inlineStr">
        <is>
          <t>Aligned Experience: Enhance your knowledge, understanding, and application of Virginia's school leader competencies through mentor-guided fieldwork.</t>
        </is>
      </c>
      <c r="F7" s="59" t="n">
        <v>5</v>
      </c>
      <c r="G7" s="47" t="n"/>
      <c r="H7" s="161" t="inlineStr">
        <is>
          <t>X</t>
        </is>
      </c>
      <c r="I7" s="49" t="n"/>
      <c r="J7" s="160" t="n"/>
      <c r="K7" s="51" t="n"/>
      <c r="L7" s="52" t="n"/>
      <c r="M7" s="60" t="inlineStr">
        <is>
          <t>Submit: Competency Journal #2</t>
        </is>
      </c>
      <c r="N7" s="54" t="n"/>
      <c r="O7" s="54" t="n"/>
      <c r="P7" s="54" t="n"/>
      <c r="Q7" s="54" t="n"/>
      <c r="R7" s="54" t="n"/>
      <c r="S7" s="54" t="n"/>
      <c r="T7" s="54" t="n"/>
      <c r="U7" s="54" t="n"/>
      <c r="V7" s="54" t="n"/>
      <c r="W7" s="54" t="n"/>
      <c r="X7" s="54" t="n"/>
      <c r="Y7" s="54" t="n"/>
      <c r="Z7" s="54" t="n"/>
    </row>
    <row r="8" ht="45" customHeight="1" s="372">
      <c r="A8" s="55" t="inlineStr">
        <is>
          <t>ALIGNED</t>
        </is>
      </c>
      <c r="B8" s="56" t="n"/>
      <c r="C8" s="57" t="n"/>
      <c r="D8" s="57" t="n"/>
      <c r="E8" s="75" t="inlineStr">
        <is>
          <t>Aligned Experience: Plan and Conduct a Needs Assessment: Design a simple needs assessment to identify gaps in instructional resources or support that affect student outcomes.</t>
        </is>
      </c>
      <c r="F8" s="59" t="n">
        <v>5</v>
      </c>
      <c r="G8" s="159" t="inlineStr">
        <is>
          <t>X</t>
        </is>
      </c>
      <c r="H8" s="48" t="n"/>
      <c r="I8" s="49" t="n"/>
      <c r="J8" s="160" t="n"/>
      <c r="K8" s="51" t="n"/>
      <c r="L8" s="52" t="n"/>
      <c r="M8" s="60" t="inlineStr">
        <is>
          <t>Submit: Needs Assessment Report</t>
        </is>
      </c>
      <c r="N8" s="54" t="n"/>
      <c r="O8" s="54" t="n"/>
      <c r="P8" s="54" t="n"/>
      <c r="Q8" s="54" t="n"/>
      <c r="R8" s="54" t="n"/>
      <c r="S8" s="54" t="n"/>
      <c r="T8" s="54" t="n"/>
      <c r="U8" s="54" t="n"/>
      <c r="V8" s="54" t="n"/>
      <c r="W8" s="54" t="n"/>
      <c r="X8" s="54" t="n"/>
      <c r="Y8" s="54" t="n"/>
      <c r="Z8" s="54" t="n"/>
    </row>
    <row r="9" ht="27.75" customHeight="1" s="372">
      <c r="A9" s="374" t="inlineStr">
        <is>
          <t>⭐  CHOICE HOURS  —  7 hours needed this semester</t>
        </is>
      </c>
      <c r="B9" s="375" t="n"/>
      <c r="C9" s="375" t="n"/>
      <c r="D9" s="376" t="n"/>
      <c r="E9" s="377">
        <f>IF(SUMIF(A10:A59,"CHOICE",F10:F59)&gt;=7,"✅ Choice Hours Met!","⚠ Still need: "&amp;(7-SUMIF(A10:A59,"CHOICE",F10:F59))&amp;" more hours")</f>
        <v/>
      </c>
      <c r="F9" s="376" t="n"/>
      <c r="G9" s="65" t="inlineStr">
        <is>
          <t>1. I</t>
        </is>
      </c>
      <c r="H9" s="66" t="inlineStr">
        <is>
          <t>2. O</t>
        </is>
      </c>
      <c r="I9" s="67" t="inlineStr">
        <is>
          <t>3. O</t>
        </is>
      </c>
      <c r="J9" s="68" t="inlineStr">
        <is>
          <t>4. S</t>
        </is>
      </c>
      <c r="K9" s="69" t="inlineStr">
        <is>
          <t>5. P</t>
        </is>
      </c>
      <c r="L9" s="70" t="inlineStr">
        <is>
          <t>6. A</t>
        </is>
      </c>
      <c r="M9" s="71" t="inlineStr">
        <is>
          <t>No evidence required for choice hours</t>
        </is>
      </c>
      <c r="N9" s="54" t="n"/>
      <c r="O9" s="54" t="n"/>
      <c r="P9" s="54" t="n"/>
      <c r="Q9" s="54" t="n"/>
      <c r="R9" s="54" t="n"/>
      <c r="S9" s="54" t="n"/>
      <c r="T9" s="54" t="n"/>
      <c r="U9" s="54" t="n"/>
      <c r="V9" s="54" t="n"/>
      <c r="W9" s="54" t="n"/>
      <c r="X9" s="54" t="n"/>
      <c r="Y9" s="54" t="n"/>
      <c r="Z9" s="54" t="n"/>
    </row>
    <row r="10" ht="34.5" customHeight="1" s="372">
      <c r="A10" s="72" t="inlineStr">
        <is>
          <t>CHOICE</t>
        </is>
      </c>
      <c r="B10" s="87" t="n"/>
      <c r="C10" s="87" t="n"/>
      <c r="D10" s="87" t="n"/>
      <c r="E10" s="152" t="n"/>
      <c r="F10" s="153" t="n"/>
      <c r="G10" s="84" t="n"/>
      <c r="H10" s="154" t="n"/>
      <c r="I10" s="85" t="n"/>
      <c r="J10" s="80" t="n"/>
      <c r="K10" s="81" t="n"/>
      <c r="L10" s="82" t="n"/>
      <c r="M10" s="87" t="n"/>
      <c r="N10" s="54" t="n"/>
      <c r="O10" s="54" t="n"/>
      <c r="P10" s="54" t="n"/>
      <c r="Q10" s="54" t="n"/>
      <c r="R10" s="54" t="n"/>
      <c r="S10" s="54" t="n"/>
      <c r="T10" s="54" t="n"/>
      <c r="U10" s="54" t="n"/>
      <c r="V10" s="54" t="n"/>
      <c r="W10" s="54" t="n"/>
      <c r="X10" s="54" t="n"/>
      <c r="Y10" s="54" t="n"/>
      <c r="Z10" s="54" t="n"/>
    </row>
    <row r="11" ht="34.5" customHeight="1" s="372">
      <c r="A11" s="72" t="inlineStr">
        <is>
          <t>CHOICE</t>
        </is>
      </c>
      <c r="B11" s="87" t="n"/>
      <c r="C11" s="87" t="n"/>
      <c r="D11" s="87" t="n"/>
      <c r="E11" s="152" t="n"/>
      <c r="F11" s="153" t="n"/>
      <c r="G11" s="84" t="n"/>
      <c r="H11" s="154" t="n"/>
      <c r="I11" s="85" t="n"/>
      <c r="J11" s="80" t="n"/>
      <c r="K11" s="162" t="n"/>
      <c r="L11" s="82" t="n"/>
      <c r="M11" s="87" t="n"/>
      <c r="N11" s="54" t="n"/>
      <c r="O11" s="54" t="n"/>
      <c r="P11" s="54" t="n"/>
      <c r="Q11" s="54" t="n"/>
      <c r="R11" s="54" t="n"/>
      <c r="S11" s="54" t="n"/>
      <c r="T11" s="54" t="n"/>
      <c r="U11" s="54" t="n"/>
      <c r="V11" s="54" t="n"/>
      <c r="W11" s="54" t="n"/>
      <c r="X11" s="54" t="n"/>
      <c r="Y11" s="54" t="n"/>
      <c r="Z11" s="54" t="n"/>
    </row>
    <row r="12" ht="34.5" customHeight="1" s="372">
      <c r="A12" s="72" t="inlineStr">
        <is>
          <t>CHOICE</t>
        </is>
      </c>
      <c r="B12" s="87" t="n"/>
      <c r="C12" s="87" t="n"/>
      <c r="D12" s="87" t="n"/>
      <c r="E12" s="152" t="n"/>
      <c r="F12" s="153" t="n"/>
      <c r="G12" s="84" t="n"/>
      <c r="H12" s="154" t="n"/>
      <c r="I12" s="85" t="n"/>
      <c r="J12" s="80" t="n"/>
      <c r="K12" s="81" t="n"/>
      <c r="L12" s="82" t="n"/>
      <c r="M12" s="87" t="n"/>
      <c r="N12" s="54" t="n"/>
      <c r="O12" s="54" t="n"/>
      <c r="P12" s="54" t="n"/>
      <c r="Q12" s="54" t="n"/>
      <c r="R12" s="54" t="n"/>
      <c r="S12" s="54" t="n"/>
      <c r="T12" s="54" t="n"/>
      <c r="U12" s="54" t="n"/>
      <c r="V12" s="54" t="n"/>
      <c r="W12" s="54" t="n"/>
      <c r="X12" s="54" t="n"/>
      <c r="Y12" s="54" t="n"/>
      <c r="Z12" s="54" t="n"/>
    </row>
    <row r="13" ht="34.5" customHeight="1" s="372">
      <c r="A13" s="72" t="inlineStr">
        <is>
          <t>CHOICE</t>
        </is>
      </c>
      <c r="B13" s="87" t="n"/>
      <c r="C13" s="87" t="n"/>
      <c r="D13" s="87" t="n"/>
      <c r="E13" s="152" t="n"/>
      <c r="F13" s="153" t="n"/>
      <c r="G13" s="84" t="n"/>
      <c r="H13" s="154" t="n"/>
      <c r="I13" s="85" t="n"/>
      <c r="J13" s="80" t="n"/>
      <c r="K13" s="81" t="n"/>
      <c r="L13" s="82" t="n"/>
      <c r="M13" s="87" t="n"/>
      <c r="N13" s="54" t="n"/>
      <c r="O13" s="54" t="n"/>
      <c r="P13" s="54" t="n"/>
      <c r="Q13" s="54" t="n"/>
      <c r="R13" s="54" t="n"/>
      <c r="S13" s="54" t="n"/>
      <c r="T13" s="54" t="n"/>
      <c r="U13" s="54" t="n"/>
      <c r="V13" s="54" t="n"/>
      <c r="W13" s="54" t="n"/>
      <c r="X13" s="54" t="n"/>
      <c r="Y13" s="54" t="n"/>
      <c r="Z13" s="54" t="n"/>
    </row>
    <row r="14" ht="34.5" customHeight="1" s="372">
      <c r="A14" s="72" t="inlineStr">
        <is>
          <t>CHOICE</t>
        </is>
      </c>
      <c r="B14" s="87" t="n"/>
      <c r="C14" s="87" t="n"/>
      <c r="D14" s="87" t="n"/>
      <c r="E14" s="152" t="n"/>
      <c r="F14" s="153" t="n"/>
      <c r="G14" s="84" t="n"/>
      <c r="H14" s="154" t="n"/>
      <c r="I14" s="85" t="n"/>
      <c r="J14" s="80" t="n"/>
      <c r="K14" s="81" t="n"/>
      <c r="L14" s="82" t="n"/>
      <c r="M14" s="87" t="n"/>
      <c r="N14" s="54" t="n"/>
      <c r="O14" s="54" t="n"/>
      <c r="P14" s="54" t="n"/>
      <c r="Q14" s="54" t="n"/>
      <c r="R14" s="54" t="n"/>
      <c r="S14" s="54" t="n"/>
      <c r="T14" s="54" t="n"/>
      <c r="U14" s="54" t="n"/>
      <c r="V14" s="54" t="n"/>
      <c r="W14" s="54" t="n"/>
      <c r="X14" s="54" t="n"/>
      <c r="Y14" s="54" t="n"/>
      <c r="Z14" s="54" t="n"/>
    </row>
    <row r="15" ht="34.5" customHeight="1" s="372">
      <c r="A15" s="72" t="inlineStr">
        <is>
          <t>CHOICE</t>
        </is>
      </c>
      <c r="B15" s="87" t="n"/>
      <c r="C15" s="87" t="n"/>
      <c r="D15" s="87" t="n"/>
      <c r="E15" s="152" t="n"/>
      <c r="F15" s="153" t="n"/>
      <c r="G15" s="84" t="n"/>
      <c r="H15" s="154" t="n"/>
      <c r="I15" s="85" t="n"/>
      <c r="J15" s="80" t="n"/>
      <c r="K15" s="81" t="n"/>
      <c r="L15" s="82" t="n"/>
      <c r="M15" s="87" t="n"/>
      <c r="N15" s="54" t="n"/>
      <c r="O15" s="54" t="n"/>
      <c r="P15" s="54" t="n"/>
      <c r="Q15" s="54" t="n"/>
      <c r="R15" s="54" t="n"/>
      <c r="S15" s="54" t="n"/>
      <c r="T15" s="54" t="n"/>
      <c r="U15" s="54" t="n"/>
      <c r="V15" s="54" t="n"/>
      <c r="W15" s="54" t="n"/>
      <c r="X15" s="54" t="n"/>
      <c r="Y15" s="54" t="n"/>
      <c r="Z15" s="54" t="n"/>
    </row>
    <row r="16" ht="34.5" customHeight="1" s="372">
      <c r="A16" s="72" t="inlineStr">
        <is>
          <t>CHOICE</t>
        </is>
      </c>
      <c r="B16" s="87" t="n"/>
      <c r="C16" s="87" t="n"/>
      <c r="D16" s="87" t="n"/>
      <c r="E16" s="152" t="n"/>
      <c r="F16" s="153" t="n"/>
      <c r="G16" s="84" t="n"/>
      <c r="H16" s="154" t="n"/>
      <c r="I16" s="85" t="n"/>
      <c r="J16" s="80" t="n"/>
      <c r="K16" s="81" t="n"/>
      <c r="L16" s="82" t="n"/>
      <c r="M16" s="87" t="n"/>
      <c r="P16" s="54" t="n"/>
      <c r="Q16" s="54" t="n"/>
      <c r="R16" s="54" t="n"/>
      <c r="S16" s="54" t="n"/>
      <c r="T16" s="54" t="n"/>
      <c r="U16" s="54" t="n"/>
      <c r="V16" s="54" t="n"/>
      <c r="W16" s="54" t="n"/>
      <c r="X16" s="54" t="n"/>
      <c r="Y16" s="54" t="n"/>
      <c r="Z16" s="54" t="n"/>
    </row>
    <row r="17" ht="34.5" customHeight="1" s="372">
      <c r="A17" s="72" t="inlineStr">
        <is>
          <t>CHOICE</t>
        </is>
      </c>
      <c r="B17" s="87" t="n"/>
      <c r="C17" s="87" t="n"/>
      <c r="D17" s="87" t="n"/>
      <c r="E17" s="152" t="n"/>
      <c r="F17" s="153" t="n"/>
      <c r="G17" s="84" t="n"/>
      <c r="H17" s="154" t="n"/>
      <c r="I17" s="85" t="n"/>
      <c r="J17" s="80" t="n"/>
      <c r="K17" s="81" t="n"/>
      <c r="L17" s="82" t="n"/>
      <c r="M17" s="87" t="n"/>
      <c r="P17" s="54" t="n"/>
      <c r="Q17" s="54" t="n"/>
      <c r="R17" s="54" t="n"/>
      <c r="S17" s="54" t="n"/>
      <c r="T17" s="54" t="n"/>
      <c r="U17" s="54" t="n"/>
      <c r="V17" s="54" t="n"/>
      <c r="W17" s="54" t="n"/>
      <c r="X17" s="54" t="n"/>
      <c r="Y17" s="54" t="n"/>
      <c r="Z17" s="54" t="n"/>
    </row>
    <row r="18" ht="24.75" customHeight="1" s="372">
      <c r="A18" s="155" t="inlineStr">
        <is>
          <t>CHOICE</t>
        </is>
      </c>
      <c r="B18" s="87" t="n"/>
      <c r="C18" s="87" t="n"/>
      <c r="D18" s="87" t="n"/>
      <c r="E18" s="87" t="n"/>
      <c r="F18" s="87" t="n"/>
      <c r="G18" s="87" t="n"/>
      <c r="H18" s="87" t="n"/>
      <c r="I18" s="87" t="n"/>
      <c r="J18" s="87" t="n"/>
      <c r="K18" s="87" t="n"/>
      <c r="L18" s="87" t="n"/>
      <c r="M18" s="87" t="n"/>
      <c r="P18" s="54" t="n"/>
      <c r="Q18" s="54" t="n"/>
      <c r="R18" s="54" t="n"/>
      <c r="S18" s="54" t="n"/>
      <c r="T18" s="54" t="n"/>
      <c r="U18" s="54" t="n"/>
      <c r="V18" s="54" t="n"/>
      <c r="W18" s="54" t="n"/>
      <c r="X18" s="54" t="n"/>
      <c r="Y18" s="54" t="n"/>
      <c r="Z18" s="54" t="n"/>
    </row>
    <row r="19" ht="24.75" customHeight="1" s="372">
      <c r="A19" s="155" t="inlineStr">
        <is>
          <t>CHOICE</t>
        </is>
      </c>
      <c r="B19" s="87" t="n"/>
      <c r="C19" s="87" t="n"/>
      <c r="D19" s="87" t="n"/>
      <c r="E19" s="87" t="n"/>
      <c r="F19" s="87" t="n"/>
      <c r="G19" s="87" t="n"/>
      <c r="H19" s="87" t="n"/>
      <c r="I19" s="87" t="n"/>
      <c r="J19" s="87" t="n"/>
      <c r="K19" s="87" t="n"/>
      <c r="L19" s="87" t="n"/>
      <c r="M19" s="87" t="n"/>
      <c r="P19" s="54" t="n"/>
      <c r="Q19" s="54" t="n"/>
      <c r="R19" s="54" t="n"/>
      <c r="S19" s="54" t="n"/>
      <c r="T19" s="54" t="n"/>
      <c r="U19" s="54" t="n"/>
      <c r="V19" s="54" t="n"/>
      <c r="W19" s="54" t="n"/>
      <c r="X19" s="54" t="n"/>
      <c r="Y19" s="54" t="n"/>
      <c r="Z19" s="54" t="n"/>
    </row>
    <row r="20" ht="24.75" customHeight="1" s="372">
      <c r="A20" s="155" t="inlineStr">
        <is>
          <t>CHOICE</t>
        </is>
      </c>
      <c r="B20" s="87" t="n"/>
      <c r="C20" s="87" t="n"/>
      <c r="D20" s="87" t="n"/>
      <c r="E20" s="87" t="n"/>
      <c r="F20" s="87" t="n"/>
      <c r="G20" s="87" t="n"/>
      <c r="H20" s="87" t="n"/>
      <c r="I20" s="87" t="n"/>
      <c r="J20" s="87" t="n"/>
      <c r="K20" s="87" t="n"/>
      <c r="L20" s="87" t="n"/>
      <c r="M20" s="87" t="n"/>
      <c r="P20" s="54" t="n"/>
      <c r="Q20" s="54" t="n"/>
      <c r="R20" s="54" t="n"/>
      <c r="S20" s="54" t="n"/>
      <c r="T20" s="54" t="n"/>
      <c r="U20" s="54" t="n"/>
      <c r="V20" s="54" t="n"/>
      <c r="W20" s="54" t="n"/>
      <c r="X20" s="54" t="n"/>
      <c r="Y20" s="54" t="n"/>
      <c r="Z20" s="54" t="n"/>
    </row>
    <row r="21" ht="24.75" customHeight="1" s="372">
      <c r="A21" s="156" t="inlineStr">
        <is>
          <t>CHOICE</t>
        </is>
      </c>
      <c r="B21" s="95" t="n"/>
      <c r="C21" s="95" t="n"/>
      <c r="D21" s="95" t="n"/>
      <c r="E21" s="95" t="n"/>
      <c r="F21" s="95" t="n"/>
      <c r="G21" s="95" t="n"/>
      <c r="H21" s="95" t="n"/>
      <c r="I21" s="95" t="n"/>
      <c r="J21" s="95" t="n"/>
      <c r="K21" s="95" t="n"/>
      <c r="L21" s="95" t="n"/>
      <c r="M21" s="95" t="n"/>
    </row>
    <row r="22" ht="24.75" customHeight="1" s="372">
      <c r="A22" s="114" t="inlineStr">
        <is>
          <t>CHOICE</t>
        </is>
      </c>
      <c r="B22" s="105" t="n"/>
      <c r="C22" s="105" t="n"/>
      <c r="D22" s="105" t="n"/>
      <c r="E22" s="105" t="n"/>
      <c r="F22" s="105" t="n"/>
      <c r="G22" s="105" t="n"/>
      <c r="H22" s="105" t="n"/>
      <c r="I22" s="105" t="n"/>
      <c r="J22" s="105" t="n"/>
      <c r="K22" s="105" t="n"/>
      <c r="L22" s="105" t="n"/>
      <c r="M22" s="105" t="n"/>
    </row>
    <row r="23" ht="24.75" customHeight="1" s="372">
      <c r="A23" s="114" t="inlineStr">
        <is>
          <t>CHOICE</t>
        </is>
      </c>
      <c r="B23" s="105" t="n"/>
      <c r="C23" s="105" t="n"/>
      <c r="D23" s="105" t="n"/>
      <c r="E23" s="105" t="n"/>
      <c r="F23" s="105" t="n"/>
      <c r="G23" s="105" t="n"/>
      <c r="H23" s="105" t="n"/>
      <c r="I23" s="105" t="n"/>
      <c r="J23" s="105" t="n"/>
      <c r="K23" s="105" t="n"/>
      <c r="L23" s="105" t="n"/>
      <c r="M23" s="105" t="n"/>
    </row>
    <row r="24" ht="24.75" customHeight="1" s="372">
      <c r="A24" s="114" t="inlineStr">
        <is>
          <t>CHOICE</t>
        </is>
      </c>
      <c r="B24" s="105" t="n"/>
      <c r="C24" s="105" t="n"/>
      <c r="D24" s="105" t="n"/>
      <c r="E24" s="105" t="n"/>
      <c r="F24" s="105" t="n"/>
      <c r="G24" s="105" t="n"/>
      <c r="H24" s="105" t="n"/>
      <c r="I24" s="105" t="n"/>
      <c r="J24" s="105" t="n"/>
      <c r="K24" s="105" t="n"/>
      <c r="L24" s="105" t="n"/>
      <c r="M24" s="105" t="n"/>
    </row>
    <row r="25" ht="24.75" customHeight="1" s="372">
      <c r="A25" s="114" t="inlineStr">
        <is>
          <t>CHOICE</t>
        </is>
      </c>
      <c r="B25" s="105" t="n"/>
      <c r="C25" s="105" t="n"/>
      <c r="D25" s="105" t="n"/>
      <c r="E25" s="105" t="n"/>
      <c r="F25" s="105" t="n"/>
      <c r="G25" s="105" t="n"/>
      <c r="H25" s="105" t="n"/>
      <c r="I25" s="105" t="n"/>
      <c r="J25" s="105" t="n"/>
      <c r="K25" s="105" t="n"/>
      <c r="L25" s="105" t="n"/>
      <c r="M25" s="105" t="n"/>
    </row>
    <row r="26" ht="24.75" customHeight="1" s="372">
      <c r="A26" s="114" t="inlineStr">
        <is>
          <t>CHOICE</t>
        </is>
      </c>
      <c r="B26" s="105" t="n"/>
      <c r="C26" s="105" t="n"/>
      <c r="D26" s="105" t="n"/>
      <c r="E26" s="105" t="n"/>
      <c r="F26" s="105" t="n"/>
      <c r="G26" s="105" t="n"/>
      <c r="H26" s="105" t="n"/>
      <c r="I26" s="105" t="n"/>
      <c r="J26" s="105" t="n"/>
      <c r="K26" s="105" t="n"/>
      <c r="L26" s="105" t="n"/>
      <c r="M26" s="105" t="n"/>
    </row>
    <row r="27" ht="24.75" customHeight="1" s="372">
      <c r="A27" s="114" t="inlineStr">
        <is>
          <t>CHOICE</t>
        </is>
      </c>
      <c r="B27" s="105" t="n"/>
      <c r="C27" s="105" t="n"/>
      <c r="D27" s="105" t="n"/>
      <c r="E27" s="105" t="n"/>
      <c r="F27" s="105" t="n"/>
      <c r="G27" s="105" t="n"/>
      <c r="H27" s="105" t="n"/>
      <c r="I27" s="105" t="n"/>
      <c r="J27" s="105" t="n"/>
      <c r="K27" s="105" t="n"/>
      <c r="L27" s="105" t="n"/>
      <c r="M27" s="105" t="n"/>
    </row>
    <row r="28" ht="15.75" customHeight="1" s="372">
      <c r="C28" s="115" t="n"/>
      <c r="D28" s="115" t="n"/>
    </row>
    <row r="29" ht="15.75" customHeight="1" s="372"/>
    <row r="30" ht="15.75" customHeight="1" s="372"/>
    <row r="31" ht="15.75" customHeight="1" s="372"/>
    <row r="32" ht="15.75" customHeight="1" s="372"/>
    <row r="33" ht="15.75" customHeight="1" s="372"/>
    <row r="34" ht="15.75" customHeight="1" s="372"/>
    <row r="35" ht="15.75" customHeight="1" s="372"/>
    <row r="36" ht="15.75" customHeight="1" s="372"/>
    <row r="37" ht="15.75" customHeight="1" s="372"/>
    <row r="38" ht="15.75" customHeight="1" s="372"/>
    <row r="39" ht="15.75" customHeight="1" s="372"/>
    <row r="40" ht="15.75" customHeight="1" s="372"/>
    <row r="41" ht="15.75" customHeight="1" s="372"/>
    <row r="42" ht="15.75" customHeight="1" s="372"/>
    <row r="43" ht="15.75" customHeight="1" s="372"/>
    <row r="44" ht="15.75" customHeight="1" s="372"/>
    <row r="45" ht="15.75" customHeight="1" s="372"/>
    <row r="46" ht="15.75" customHeight="1" s="372"/>
    <row r="47" ht="15.75" customHeight="1" s="372"/>
    <row r="48" ht="15.75" customHeight="1" s="372"/>
    <row r="49" ht="15.75" customHeight="1" s="372"/>
    <row r="50" ht="15.75" customHeight="1" s="372"/>
    <row r="51" ht="15.75" customHeight="1" s="372"/>
    <row r="52" ht="15.75" customHeight="1" s="372"/>
    <row r="53" ht="15.75" customHeight="1" s="372"/>
    <row r="54" ht="15.75" customHeight="1" s="372"/>
    <row r="55" ht="15.75" customHeight="1" s="372"/>
    <row r="56" ht="15.75" customHeight="1" s="372"/>
    <row r="57" ht="15.75" customHeight="1" s="372"/>
    <row r="58" ht="15.75" customHeight="1" s="372"/>
    <row r="59" ht="15.75" customHeight="1" s="372"/>
    <row r="60" ht="15.75" customHeight="1" s="372"/>
    <row r="61" ht="15.75" customHeight="1" s="372"/>
    <row r="62" ht="15.75" customHeight="1" s="372"/>
    <row r="63" ht="15.75" customHeight="1" s="372"/>
    <row r="64" ht="15.75" customHeight="1" s="372"/>
    <row r="65" ht="15.75" customHeight="1" s="372"/>
    <row r="66" ht="15.75" customHeight="1" s="372"/>
    <row r="67" ht="15.75" customHeight="1" s="372"/>
    <row r="68" ht="15.75" customHeight="1" s="372"/>
    <row r="69" ht="15.75" customHeight="1" s="372"/>
    <row r="70" ht="15.75" customHeight="1" s="372"/>
    <row r="71" ht="15.75" customHeight="1" s="372"/>
    <row r="72" ht="15.75" customHeight="1" s="372"/>
    <row r="73" ht="15.75" customHeight="1" s="372"/>
    <row r="74" ht="15.75" customHeight="1" s="372"/>
    <row r="75" ht="15.75" customHeight="1" s="372"/>
    <row r="76" ht="15.75" customHeight="1" s="372"/>
    <row r="77" ht="15.75" customHeight="1" s="372"/>
    <row r="78" ht="15.75" customHeight="1" s="372"/>
    <row r="79" ht="15.75" customHeight="1" s="372"/>
    <row r="80" ht="15.75" customHeight="1" s="372"/>
    <row r="81" ht="15.75" customHeight="1" s="372"/>
    <row r="82" ht="15.75" customHeight="1" s="372"/>
    <row r="83" ht="15.75" customHeight="1" s="372"/>
    <row r="84" ht="15.75" customHeight="1" s="372"/>
    <row r="85" ht="15.75" customHeight="1" s="372"/>
    <row r="86" ht="15.75" customHeight="1" s="372"/>
    <row r="87" ht="15.75" customHeight="1" s="372"/>
    <row r="88" ht="15.75" customHeight="1" s="372"/>
    <row r="89" ht="15.75" customHeight="1" s="372"/>
    <row r="90" ht="15.75" customHeight="1" s="372"/>
    <row r="91" ht="15.75" customHeight="1" s="372"/>
    <row r="92" ht="15.75" customHeight="1" s="372"/>
    <row r="93" ht="15.75" customHeight="1" s="372"/>
    <row r="94" ht="15.75" customHeight="1" s="372"/>
    <row r="95" ht="15.75" customHeight="1" s="372"/>
    <row r="96" ht="15.75" customHeight="1" s="372"/>
    <row r="97" ht="15.75" customHeight="1" s="372"/>
    <row r="98" ht="15.75" customHeight="1" s="372"/>
    <row r="99" ht="15.75" customHeight="1" s="372"/>
    <row r="100" ht="15.75" customHeight="1" s="372"/>
    <row r="101" ht="15.75" customHeight="1" s="372"/>
    <row r="102" ht="15.75" customHeight="1" s="372"/>
    <row r="103" ht="15.75" customHeight="1" s="372"/>
    <row r="104" ht="15.75" customHeight="1" s="372"/>
    <row r="105" ht="15.75" customHeight="1" s="372"/>
    <row r="106" ht="15.75" customHeight="1" s="372"/>
    <row r="107" ht="15.75" customHeight="1" s="372"/>
    <row r="108" ht="15.75" customHeight="1" s="372"/>
    <row r="109" ht="15.75" customHeight="1" s="372"/>
    <row r="110" ht="15.75" customHeight="1" s="372"/>
    <row r="111" ht="15.75" customHeight="1" s="372"/>
    <row r="112" ht="15.75" customHeight="1" s="372"/>
    <row r="113" ht="15.75" customHeight="1" s="372"/>
    <row r="114" ht="15.75" customHeight="1" s="372"/>
    <row r="115" ht="15.75" customHeight="1" s="372"/>
    <row r="116" ht="15.75" customHeight="1" s="372"/>
    <row r="117" ht="15.75" customHeight="1" s="372"/>
    <row r="118" ht="15.75" customHeight="1" s="372"/>
    <row r="119" ht="15.75" customHeight="1" s="372"/>
    <row r="120" ht="15.75" customHeight="1" s="372"/>
    <row r="121" ht="15.75" customHeight="1" s="372"/>
    <row r="122" ht="15.75" customHeight="1" s="372"/>
    <row r="123" ht="15.75" customHeight="1" s="372"/>
    <row r="124" ht="15.75" customHeight="1" s="372"/>
    <row r="125" ht="15.75" customHeight="1" s="372"/>
    <row r="126" ht="15.75" customHeight="1" s="372"/>
    <row r="127" ht="15.75" customHeight="1" s="372"/>
    <row r="128" ht="15.75" customHeight="1" s="372"/>
    <row r="129" ht="15.75" customHeight="1" s="372"/>
    <row r="130" ht="15.75" customHeight="1" s="372"/>
    <row r="131" ht="15.75" customHeight="1" s="372"/>
    <row r="132" ht="15.75" customHeight="1" s="372"/>
    <row r="133" ht="15.75" customHeight="1" s="372"/>
    <row r="134" ht="15.75" customHeight="1" s="372"/>
    <row r="135" ht="15.75" customHeight="1" s="372"/>
    <row r="136" ht="15.75" customHeight="1" s="372"/>
    <row r="137" ht="15.75" customHeight="1" s="372"/>
    <row r="138" ht="15.75" customHeight="1" s="372"/>
    <row r="139" ht="15.75" customHeight="1" s="372"/>
    <row r="140" ht="15.75" customHeight="1" s="372"/>
    <row r="141" ht="15.75" customHeight="1" s="372"/>
    <row r="142" ht="15.75" customHeight="1" s="372"/>
    <row r="143" ht="15.75" customHeight="1" s="372"/>
    <row r="144" ht="15.75" customHeight="1" s="372"/>
    <row r="145" ht="15.75" customHeight="1" s="372"/>
    <row r="146" ht="15.75" customHeight="1" s="372"/>
    <row r="147" ht="15.75" customHeight="1" s="372"/>
    <row r="148" ht="15.75" customHeight="1" s="372"/>
    <row r="149" ht="15.75" customHeight="1" s="372"/>
    <row r="150" ht="15.75" customHeight="1" s="372"/>
    <row r="151" ht="15.75" customHeight="1" s="372"/>
    <row r="152" ht="15.75" customHeight="1" s="372"/>
    <row r="153" ht="15.75" customHeight="1" s="372"/>
    <row r="154" ht="15.75" customHeight="1" s="372"/>
    <row r="155" ht="15.75" customHeight="1" s="372"/>
    <row r="156" ht="15.75" customHeight="1" s="372"/>
    <row r="157" ht="15.75" customHeight="1" s="372"/>
    <row r="158" ht="15.75" customHeight="1" s="372"/>
    <row r="159" ht="15.75" customHeight="1" s="372"/>
    <row r="160" ht="15.75" customHeight="1" s="372"/>
    <row r="161" ht="15.75" customHeight="1" s="372"/>
    <row r="162" ht="15.75" customHeight="1" s="372"/>
    <row r="163" ht="15.75" customHeight="1" s="372"/>
    <row r="164" ht="15.75" customHeight="1" s="372"/>
    <row r="165" ht="15.75" customHeight="1" s="372"/>
    <row r="166" ht="15.75" customHeight="1" s="372"/>
    <row r="167" ht="15.75" customHeight="1" s="372"/>
    <row r="168" ht="15.75" customHeight="1" s="372"/>
    <row r="169" ht="15.75" customHeight="1" s="372"/>
    <row r="170" ht="15.75" customHeight="1" s="372"/>
    <row r="171" ht="15.75" customHeight="1" s="372"/>
    <row r="172" ht="15.75" customHeight="1" s="372"/>
    <row r="173" ht="15.75" customHeight="1" s="372"/>
    <row r="174" ht="15.75" customHeight="1" s="372"/>
    <row r="175" ht="15.75" customHeight="1" s="372"/>
    <row r="176" ht="15.75" customHeight="1" s="372"/>
    <row r="177" ht="15.75" customHeight="1" s="372"/>
    <row r="178" ht="15.75" customHeight="1" s="372"/>
    <row r="179" ht="15.75" customHeight="1" s="372"/>
    <row r="180" ht="15.75" customHeight="1" s="372"/>
    <row r="181" ht="15.75" customHeight="1" s="372"/>
    <row r="182" ht="15.75" customHeight="1" s="372"/>
    <row r="183" ht="15.75" customHeight="1" s="372"/>
    <row r="184" ht="15.75" customHeight="1" s="372"/>
    <row r="185" ht="15.75" customHeight="1" s="372"/>
    <row r="186" ht="15.75" customHeight="1" s="372"/>
    <row r="187" ht="15.75" customHeight="1" s="372"/>
    <row r="188" ht="15.75" customHeight="1" s="372"/>
    <row r="189" ht="15.75" customHeight="1" s="372"/>
    <row r="190" ht="15.75" customHeight="1" s="372"/>
    <row r="191" ht="15.75" customHeight="1" s="372"/>
    <row r="192" ht="15.75" customHeight="1" s="372"/>
    <row r="193" ht="15.75" customHeight="1" s="372"/>
    <row r="194" ht="15.75" customHeight="1" s="372"/>
    <row r="195" ht="15.75" customHeight="1" s="372"/>
    <row r="196" ht="15.75" customHeight="1" s="372"/>
    <row r="197" ht="15.75" customHeight="1" s="372"/>
    <row r="198" ht="15.75" customHeight="1" s="372"/>
    <row r="199" ht="15.75" customHeight="1" s="372"/>
    <row r="200" ht="15.75" customHeight="1" s="372"/>
    <row r="201" ht="15.75" customHeight="1" s="372"/>
    <row r="202" ht="15.75" customHeight="1" s="372"/>
    <row r="203" ht="15.75" customHeight="1" s="372"/>
    <row r="204" ht="15.75" customHeight="1" s="372"/>
    <row r="205" ht="15.75" customHeight="1" s="372"/>
    <row r="206" ht="15.75" customHeight="1" s="372"/>
    <row r="207" ht="15.75" customHeight="1" s="372"/>
    <row r="208" ht="15.75" customHeight="1" s="372"/>
    <row r="209" ht="15.75" customHeight="1" s="372"/>
    <row r="210" ht="15.75" customHeight="1" s="372"/>
    <row r="211" ht="15.75" customHeight="1" s="372"/>
    <row r="212" ht="15.75" customHeight="1" s="372"/>
    <row r="213" ht="15.75" customHeight="1" s="372"/>
    <row r="214" ht="15.75" customHeight="1" s="372"/>
    <row r="215" ht="15.75" customHeight="1" s="372"/>
    <row r="216" ht="15.75" customHeight="1" s="372"/>
    <row r="217" ht="15.75" customHeight="1" s="372"/>
    <row r="218" ht="15.75" customHeight="1" s="372"/>
    <row r="219" ht="15.75" customHeight="1" s="372"/>
    <row r="220" ht="15.75" customHeight="1" s="372"/>
    <row r="221" ht="15.75" customHeight="1" s="372"/>
    <row r="222" ht="15.75" customHeight="1" s="372"/>
    <row r="223" ht="15.75" customHeight="1" s="372"/>
    <row r="224" ht="15.75" customHeight="1" s="372"/>
    <row r="225" ht="15.75" customHeight="1" s="372"/>
    <row r="226" ht="15.75" customHeight="1" s="372"/>
    <row r="227" ht="15.75" customHeight="1" s="372"/>
    <row r="228" ht="15.75" customHeight="1" s="372"/>
    <row r="229" ht="15.75" customHeight="1" s="372"/>
    <row r="230" ht="15.75" customHeight="1" s="372"/>
    <row r="231" ht="15.75" customHeight="1" s="372"/>
    <row r="232" ht="15.75" customHeight="1" s="372"/>
    <row r="233" ht="15.75" customHeight="1" s="372"/>
    <row r="234" ht="15.75" customHeight="1" s="372"/>
    <row r="235" ht="15.75" customHeight="1" s="372"/>
    <row r="236" ht="15.75" customHeight="1" s="372"/>
    <row r="237" ht="15.75" customHeight="1" s="372"/>
    <row r="238" ht="15.75" customHeight="1" s="372"/>
    <row r="239" ht="15.75" customHeight="1" s="372"/>
    <row r="240" ht="15.75" customHeight="1" s="372"/>
    <row r="241" ht="15.75" customHeight="1" s="372"/>
    <row r="242" ht="15.75" customHeight="1" s="372"/>
    <row r="243" ht="15.75" customHeight="1" s="372"/>
    <row r="244" ht="15.75" customHeight="1" s="372"/>
    <row r="245" ht="15.75" customHeight="1" s="372"/>
    <row r="246" ht="15.75" customHeight="1" s="372"/>
    <row r="247" ht="15.75" customHeight="1" s="372"/>
    <row r="248" ht="15.75" customHeight="1" s="372"/>
    <row r="249" ht="15.75" customHeight="1" s="372"/>
    <row r="250" ht="15.75" customHeight="1" s="372"/>
    <row r="251" ht="15.75" customHeight="1" s="372"/>
    <row r="252" ht="15.75" customHeight="1" s="372"/>
    <row r="253" ht="15.75" customHeight="1" s="372"/>
    <row r="254" ht="15.75" customHeight="1" s="372"/>
    <row r="255" ht="15.75" customHeight="1" s="372"/>
    <row r="256" ht="15.75" customHeight="1" s="372"/>
    <row r="257" ht="15.75" customHeight="1" s="372"/>
    <row r="258" ht="15.75" customHeight="1" s="372"/>
    <row r="259" ht="15.75" customHeight="1" s="372"/>
    <row r="260" ht="15.75" customHeight="1" s="372"/>
    <row r="261" ht="15.75" customHeight="1" s="372"/>
    <row r="262" ht="15.75" customHeight="1" s="372"/>
    <row r="263" ht="15.75" customHeight="1" s="372"/>
    <row r="264" ht="15.75" customHeight="1" s="372"/>
    <row r="265" ht="15.75" customHeight="1" s="372"/>
    <row r="266" ht="15.75" customHeight="1" s="372"/>
    <row r="267" ht="15.75" customHeight="1" s="372"/>
    <row r="268" ht="15.75" customHeight="1" s="372"/>
    <row r="269" ht="15.75" customHeight="1" s="372"/>
    <row r="270" ht="15.75" customHeight="1" s="372"/>
    <row r="271" ht="15.75" customHeight="1" s="372"/>
    <row r="272" ht="15.75" customHeight="1" s="372"/>
    <row r="273" ht="15.75" customHeight="1" s="372"/>
    <row r="274" ht="15.75" customHeight="1" s="372"/>
    <row r="275" ht="15.75" customHeight="1" s="372"/>
    <row r="276" ht="15.75" customHeight="1" s="372"/>
    <row r="277" ht="15.75" customHeight="1" s="372"/>
    <row r="278" ht="15.75" customHeight="1" s="372"/>
    <row r="279" ht="15.75" customHeight="1" s="372"/>
    <row r="280" ht="15.75" customHeight="1" s="372"/>
    <row r="281" ht="15.75" customHeight="1" s="372"/>
    <row r="282" ht="15.75" customHeight="1" s="372"/>
    <row r="283" ht="15.75" customHeight="1" s="372"/>
    <row r="284" ht="15.75" customHeight="1" s="372"/>
    <row r="285" ht="15.75" customHeight="1" s="372"/>
    <row r="286" ht="15.75" customHeight="1" s="372"/>
    <row r="287" ht="15.75" customHeight="1" s="372"/>
    <row r="288" ht="15.75" customHeight="1" s="372"/>
    <row r="289" ht="15.75" customHeight="1" s="372"/>
    <row r="290" ht="15.75" customHeight="1" s="372"/>
    <row r="291" ht="15.75" customHeight="1" s="372"/>
    <row r="292" ht="15.75" customHeight="1" s="372"/>
    <row r="293" ht="15.75" customHeight="1" s="372"/>
    <row r="294" ht="15.75" customHeight="1" s="372"/>
    <row r="295" ht="15.75" customHeight="1" s="372"/>
    <row r="296" ht="15.75" customHeight="1" s="372"/>
    <row r="297" ht="15.75" customHeight="1" s="372"/>
    <row r="298" ht="15.75" customHeight="1" s="372"/>
    <row r="299" ht="15.75" customHeight="1" s="372"/>
    <row r="300" ht="15.75" customHeight="1" s="372"/>
    <row r="301" ht="15.75" customHeight="1" s="372"/>
    <row r="302" ht="15.75" customHeight="1" s="372"/>
    <row r="303" ht="15.75" customHeight="1" s="372"/>
    <row r="304" ht="15.75" customHeight="1" s="372"/>
    <row r="305" ht="15.75" customHeight="1" s="372"/>
    <row r="306" ht="15.75" customHeight="1" s="372"/>
    <row r="307" ht="15.75" customHeight="1" s="372"/>
    <row r="308" ht="15.75" customHeight="1" s="372"/>
    <row r="309" ht="15.75" customHeight="1" s="372"/>
    <row r="310" ht="15.75" customHeight="1" s="372"/>
    <row r="311" ht="15.75" customHeight="1" s="372"/>
    <row r="312" ht="15.75" customHeight="1" s="372"/>
    <row r="313" ht="15.75" customHeight="1" s="372"/>
    <row r="314" ht="15.75" customHeight="1" s="372"/>
    <row r="315" ht="15.75" customHeight="1" s="372"/>
    <row r="316" ht="15.75" customHeight="1" s="372"/>
    <row r="317" ht="15.75" customHeight="1" s="372"/>
    <row r="318" ht="15.75" customHeight="1" s="372"/>
    <row r="319" ht="15.75" customHeight="1" s="372"/>
    <row r="320" ht="15.75" customHeight="1" s="372"/>
    <row r="321" ht="15.75" customHeight="1" s="372"/>
    <row r="322" ht="15.75" customHeight="1" s="372"/>
    <row r="323" ht="15.75" customHeight="1" s="372"/>
    <row r="324" ht="15.75" customHeight="1" s="372"/>
    <row r="325" ht="15.75" customHeight="1" s="372"/>
    <row r="326" ht="15.75" customHeight="1" s="372"/>
    <row r="327" ht="15.75" customHeight="1" s="372"/>
    <row r="328" ht="15.75" customHeight="1" s="372"/>
    <row r="329" ht="15.75" customHeight="1" s="372"/>
    <row r="330" ht="15.75" customHeight="1" s="372"/>
    <row r="331" ht="15.75" customHeight="1" s="372"/>
    <row r="332" ht="15.75" customHeight="1" s="372"/>
    <row r="333" ht="15.75" customHeight="1" s="372"/>
    <row r="334" ht="15.75" customHeight="1" s="372"/>
    <row r="335" ht="15.75" customHeight="1" s="372"/>
    <row r="336" ht="15.75" customHeight="1" s="372"/>
    <row r="337" ht="15.75" customHeight="1" s="372"/>
    <row r="338" ht="15.75" customHeight="1" s="372"/>
    <row r="339" ht="15.75" customHeight="1" s="372"/>
    <row r="340" ht="15.75" customHeight="1" s="372"/>
    <row r="341" ht="15.75" customHeight="1" s="372"/>
    <row r="342" ht="15.75" customHeight="1" s="372"/>
    <row r="343" ht="15.75" customHeight="1" s="372"/>
    <row r="344" ht="15.75" customHeight="1" s="372"/>
    <row r="345" ht="15.75" customHeight="1" s="372"/>
    <row r="346" ht="15.75" customHeight="1" s="372"/>
    <row r="347" ht="15.75" customHeight="1" s="372"/>
    <row r="348" ht="15.75" customHeight="1" s="372"/>
    <row r="349" ht="15.75" customHeight="1" s="372"/>
    <row r="350" ht="15.75" customHeight="1" s="372"/>
    <row r="351" ht="15.75" customHeight="1" s="372"/>
    <row r="352" ht="15.75" customHeight="1" s="372"/>
    <row r="353" ht="15.75" customHeight="1" s="372"/>
    <row r="354" ht="15.75" customHeight="1" s="372"/>
    <row r="355" ht="15.75" customHeight="1" s="372"/>
    <row r="356" ht="15.75" customHeight="1" s="372"/>
    <row r="357" ht="15.75" customHeight="1" s="372"/>
    <row r="358" ht="15.75" customHeight="1" s="372"/>
    <row r="359" ht="15.75" customHeight="1" s="372"/>
    <row r="360" ht="15.75" customHeight="1" s="372"/>
    <row r="361" ht="15.75" customHeight="1" s="372"/>
    <row r="362" ht="15.75" customHeight="1" s="372"/>
    <row r="363" ht="15.75" customHeight="1" s="372"/>
    <row r="364" ht="15.75" customHeight="1" s="372"/>
    <row r="365" ht="15.75" customHeight="1" s="372"/>
    <row r="366" ht="15.75" customHeight="1" s="372"/>
    <row r="367" ht="15.75" customHeight="1" s="372"/>
    <row r="368" ht="15.75" customHeight="1" s="372"/>
    <row r="369" ht="15.75" customHeight="1" s="372"/>
    <row r="370" ht="15.75" customHeight="1" s="372"/>
    <row r="371" ht="15.75" customHeight="1" s="372"/>
    <row r="372" ht="15.75" customHeight="1" s="372"/>
    <row r="373" ht="15.75" customHeight="1" s="372"/>
    <row r="374" ht="15.75" customHeight="1" s="372"/>
    <row r="375" ht="15.75" customHeight="1" s="372"/>
    <row r="376" ht="15.75" customHeight="1" s="372"/>
    <row r="377" ht="15.75" customHeight="1" s="372"/>
    <row r="378" ht="15.75" customHeight="1" s="372"/>
    <row r="379" ht="15.75" customHeight="1" s="372"/>
    <row r="380" ht="15.75" customHeight="1" s="372"/>
    <row r="381" ht="15.75" customHeight="1" s="372"/>
    <row r="382" ht="15.75" customHeight="1" s="372"/>
    <row r="383" ht="15.75" customHeight="1" s="372"/>
    <row r="384" ht="15.75" customHeight="1" s="372"/>
    <row r="385" ht="15.75" customHeight="1" s="372"/>
    <row r="386" ht="15.75" customHeight="1" s="372"/>
    <row r="387" ht="15.75" customHeight="1" s="372"/>
    <row r="388" ht="15.75" customHeight="1" s="372"/>
    <row r="389" ht="15.75" customHeight="1" s="372"/>
    <row r="390" ht="15.75" customHeight="1" s="372"/>
    <row r="391" ht="15.75" customHeight="1" s="372"/>
    <row r="392" ht="15.75" customHeight="1" s="372"/>
    <row r="393" ht="15.75" customHeight="1" s="372"/>
    <row r="394" ht="15.75" customHeight="1" s="372"/>
    <row r="395" ht="15.75" customHeight="1" s="372"/>
    <row r="396" ht="15.75" customHeight="1" s="372"/>
    <row r="397" ht="15.75" customHeight="1" s="372"/>
    <row r="398" ht="15.75" customHeight="1" s="372"/>
    <row r="399" ht="15.75" customHeight="1" s="372"/>
    <row r="400" ht="15.75" customHeight="1" s="372"/>
    <row r="401" ht="15.75" customHeight="1" s="372"/>
    <row r="402" ht="15.75" customHeight="1" s="372"/>
    <row r="403" ht="15.75" customHeight="1" s="372"/>
    <row r="404" ht="15.75" customHeight="1" s="372"/>
    <row r="405" ht="15.75" customHeight="1" s="372"/>
    <row r="406" ht="15.75" customHeight="1" s="372"/>
    <row r="407" ht="15.75" customHeight="1" s="372"/>
    <row r="408" ht="15.75" customHeight="1" s="372"/>
    <row r="409" ht="15.75" customHeight="1" s="372"/>
    <row r="410" ht="15.75" customHeight="1" s="372"/>
    <row r="411" ht="15.75" customHeight="1" s="372"/>
    <row r="412" ht="15.75" customHeight="1" s="372"/>
    <row r="413" ht="15.75" customHeight="1" s="372"/>
    <row r="414" ht="15.75" customHeight="1" s="372"/>
    <row r="415" ht="15.75" customHeight="1" s="372"/>
    <row r="416" ht="15.75" customHeight="1" s="372"/>
    <row r="417" ht="15.75" customHeight="1" s="372"/>
    <row r="418" ht="15.75" customHeight="1" s="372"/>
    <row r="419" ht="15.75" customHeight="1" s="372"/>
    <row r="420" ht="15.75" customHeight="1" s="372"/>
    <row r="421" ht="15.75" customHeight="1" s="372"/>
    <row r="422" ht="15.75" customHeight="1" s="372"/>
    <row r="423" ht="15.75" customHeight="1" s="372"/>
    <row r="424" ht="15.75" customHeight="1" s="372"/>
    <row r="425" ht="15.75" customHeight="1" s="372"/>
    <row r="426" ht="15.75" customHeight="1" s="372"/>
    <row r="427" ht="15.75" customHeight="1" s="372"/>
    <row r="428" ht="15.75" customHeight="1" s="372"/>
    <row r="429" ht="15.75" customHeight="1" s="372"/>
    <row r="430" ht="15.75" customHeight="1" s="372"/>
    <row r="431" ht="15.75" customHeight="1" s="372"/>
    <row r="432" ht="15.75" customHeight="1" s="372"/>
    <row r="433" ht="15.75" customHeight="1" s="372"/>
    <row r="434" ht="15.75" customHeight="1" s="372"/>
    <row r="435" ht="15.75" customHeight="1" s="372"/>
    <row r="436" ht="15.75" customHeight="1" s="372"/>
    <row r="437" ht="15.75" customHeight="1" s="372"/>
    <row r="438" ht="15.75" customHeight="1" s="372"/>
    <row r="439" ht="15.75" customHeight="1" s="372"/>
    <row r="440" ht="15.75" customHeight="1" s="372"/>
    <row r="441" ht="15.75" customHeight="1" s="372"/>
    <row r="442" ht="15.75" customHeight="1" s="372"/>
    <row r="443" ht="15.75" customHeight="1" s="372"/>
    <row r="444" ht="15.75" customHeight="1" s="372"/>
    <row r="445" ht="15.75" customHeight="1" s="372"/>
    <row r="446" ht="15.75" customHeight="1" s="372"/>
    <row r="447" ht="15.75" customHeight="1" s="372"/>
    <row r="448" ht="15.75" customHeight="1" s="372"/>
    <row r="449" ht="15.75" customHeight="1" s="372"/>
    <row r="450" ht="15.75" customHeight="1" s="372"/>
    <row r="451" ht="15.75" customHeight="1" s="372"/>
    <row r="452" ht="15.75" customHeight="1" s="372"/>
    <row r="453" ht="15.75" customHeight="1" s="372"/>
    <row r="454" ht="15.75" customHeight="1" s="372"/>
    <row r="455" ht="15.75" customHeight="1" s="372"/>
    <row r="456" ht="15.75" customHeight="1" s="372"/>
    <row r="457" ht="15.75" customHeight="1" s="372"/>
    <row r="458" ht="15.75" customHeight="1" s="372"/>
    <row r="459" ht="15.75" customHeight="1" s="372"/>
    <row r="460" ht="15.75" customHeight="1" s="372"/>
    <row r="461" ht="15.75" customHeight="1" s="372"/>
    <row r="462" ht="15.75" customHeight="1" s="372"/>
    <row r="463" ht="15.75" customHeight="1" s="372"/>
    <row r="464" ht="15.75" customHeight="1" s="372"/>
    <row r="465" ht="15.75" customHeight="1" s="372"/>
    <row r="466" ht="15.75" customHeight="1" s="372"/>
    <row r="467" ht="15.75" customHeight="1" s="372"/>
    <row r="468" ht="15.75" customHeight="1" s="372"/>
    <row r="469" ht="15.75" customHeight="1" s="372"/>
    <row r="470" ht="15.75" customHeight="1" s="372"/>
    <row r="471" ht="15.75" customHeight="1" s="372"/>
    <row r="472" ht="15.75" customHeight="1" s="372"/>
    <row r="473" ht="15.75" customHeight="1" s="372"/>
    <row r="474" ht="15.75" customHeight="1" s="372"/>
    <row r="475" ht="15.75" customHeight="1" s="372"/>
    <row r="476" ht="15.75" customHeight="1" s="372"/>
    <row r="477" ht="15.75" customHeight="1" s="372"/>
    <row r="478" ht="15.75" customHeight="1" s="372"/>
    <row r="479" ht="15.75" customHeight="1" s="372"/>
    <row r="480" ht="15.75" customHeight="1" s="372"/>
    <row r="481" ht="15.75" customHeight="1" s="372"/>
    <row r="482" ht="15.75" customHeight="1" s="372"/>
    <row r="483" ht="15.75" customHeight="1" s="372"/>
    <row r="484" ht="15.75" customHeight="1" s="372"/>
    <row r="485" ht="15.75" customHeight="1" s="372"/>
    <row r="486" ht="15.75" customHeight="1" s="372"/>
    <row r="487" ht="15.75" customHeight="1" s="372"/>
    <row r="488" ht="15.75" customHeight="1" s="372"/>
    <row r="489" ht="15.75" customHeight="1" s="372"/>
    <row r="490" ht="15.75" customHeight="1" s="372"/>
    <row r="491" ht="15.75" customHeight="1" s="372"/>
    <row r="492" ht="15.75" customHeight="1" s="372"/>
    <row r="493" ht="15.75" customHeight="1" s="372"/>
    <row r="494" ht="15.75" customHeight="1" s="372"/>
    <row r="495" ht="15.75" customHeight="1" s="372"/>
    <row r="496" ht="15.75" customHeight="1" s="372"/>
    <row r="497" ht="15.75" customHeight="1" s="372"/>
    <row r="498" ht="15.75" customHeight="1" s="372"/>
    <row r="499" ht="15.75" customHeight="1" s="372"/>
    <row r="500" ht="15.75" customHeight="1" s="372"/>
    <row r="501" ht="15.75" customHeight="1" s="372"/>
    <row r="502" ht="15.75" customHeight="1" s="372"/>
    <row r="503" ht="15.75" customHeight="1" s="372"/>
    <row r="504" ht="15.75" customHeight="1" s="372"/>
    <row r="505" ht="15.75" customHeight="1" s="372"/>
    <row r="506" ht="15.75" customHeight="1" s="372"/>
    <row r="507" ht="15.75" customHeight="1" s="372"/>
    <row r="508" ht="15.75" customHeight="1" s="372"/>
    <row r="509" ht="15.75" customHeight="1" s="372"/>
    <row r="510" ht="15.75" customHeight="1" s="372"/>
    <row r="511" ht="15.75" customHeight="1" s="372"/>
    <row r="512" ht="15.75" customHeight="1" s="372"/>
    <row r="513" ht="15.75" customHeight="1" s="372"/>
    <row r="514" ht="15.75" customHeight="1" s="372"/>
    <row r="515" ht="15.75" customHeight="1" s="372"/>
    <row r="516" ht="15.75" customHeight="1" s="372"/>
    <row r="517" ht="15.75" customHeight="1" s="372"/>
    <row r="518" ht="15.75" customHeight="1" s="372"/>
    <row r="519" ht="15.75" customHeight="1" s="372"/>
    <row r="520" ht="15.75" customHeight="1" s="372"/>
    <row r="521" ht="15.75" customHeight="1" s="372"/>
    <row r="522" ht="15.75" customHeight="1" s="372"/>
    <row r="523" ht="15.75" customHeight="1" s="372"/>
    <row r="524" ht="15.75" customHeight="1" s="372"/>
    <row r="525" ht="15.75" customHeight="1" s="372"/>
    <row r="526" ht="15.75" customHeight="1" s="372"/>
    <row r="527" ht="15.75" customHeight="1" s="372"/>
    <row r="528" ht="15.75" customHeight="1" s="372"/>
    <row r="529" ht="15.75" customHeight="1" s="372"/>
    <row r="530" ht="15.75" customHeight="1" s="372"/>
    <row r="531" ht="15.75" customHeight="1" s="372"/>
    <row r="532" ht="15.75" customHeight="1" s="372"/>
    <row r="533" ht="15.75" customHeight="1" s="372"/>
    <row r="534" ht="15.75" customHeight="1" s="372"/>
    <row r="535" ht="15.75" customHeight="1" s="372"/>
    <row r="536" ht="15.75" customHeight="1" s="372"/>
    <row r="537" ht="15.75" customHeight="1" s="372"/>
    <row r="538" ht="15.75" customHeight="1" s="372"/>
    <row r="539" ht="15.75" customHeight="1" s="372"/>
    <row r="540" ht="15.75" customHeight="1" s="372"/>
    <row r="541" ht="15.75" customHeight="1" s="372"/>
    <row r="542" ht="15.75" customHeight="1" s="372"/>
    <row r="543" ht="15.75" customHeight="1" s="372"/>
    <row r="544" ht="15.75" customHeight="1" s="372"/>
    <row r="545" ht="15.75" customHeight="1" s="372"/>
    <row r="546" ht="15.75" customHeight="1" s="372"/>
    <row r="547" ht="15.75" customHeight="1" s="372"/>
    <row r="548" ht="15.75" customHeight="1" s="372"/>
    <row r="549" ht="15.75" customHeight="1" s="372"/>
    <row r="550" ht="15.75" customHeight="1" s="372"/>
    <row r="551" ht="15.75" customHeight="1" s="372"/>
    <row r="552" ht="15.75" customHeight="1" s="372"/>
    <row r="553" ht="15.75" customHeight="1" s="372"/>
    <row r="554" ht="15.75" customHeight="1" s="372"/>
    <row r="555" ht="15.75" customHeight="1" s="372"/>
    <row r="556" ht="15.75" customHeight="1" s="372"/>
    <row r="557" ht="15.75" customHeight="1" s="372"/>
    <row r="558" ht="15.75" customHeight="1" s="372"/>
    <row r="559" ht="15.75" customHeight="1" s="372"/>
    <row r="560" ht="15.75" customHeight="1" s="372"/>
    <row r="561" ht="15.75" customHeight="1" s="372"/>
    <row r="562" ht="15.75" customHeight="1" s="372"/>
    <row r="563" ht="15.75" customHeight="1" s="372"/>
    <row r="564" ht="15.75" customHeight="1" s="372"/>
    <row r="565" ht="15.75" customHeight="1" s="372"/>
    <row r="566" ht="15.75" customHeight="1" s="372"/>
    <row r="567" ht="15.75" customHeight="1" s="372"/>
    <row r="568" ht="15.75" customHeight="1" s="372"/>
    <row r="569" ht="15.75" customHeight="1" s="372"/>
    <row r="570" ht="15.75" customHeight="1" s="372"/>
    <row r="571" ht="15.75" customHeight="1" s="372"/>
    <row r="572" ht="15.75" customHeight="1" s="372"/>
    <row r="573" ht="15.75" customHeight="1" s="372"/>
    <row r="574" ht="15.75" customHeight="1" s="372"/>
    <row r="575" ht="15.75" customHeight="1" s="372"/>
    <row r="576" ht="15.75" customHeight="1" s="372"/>
    <row r="577" ht="15.75" customHeight="1" s="372"/>
    <row r="578" ht="15.75" customHeight="1" s="372"/>
    <row r="579" ht="15.75" customHeight="1" s="372"/>
    <row r="580" ht="15.75" customHeight="1" s="372"/>
    <row r="581" ht="15.75" customHeight="1" s="372"/>
    <row r="582" ht="15.75" customHeight="1" s="372"/>
    <row r="583" ht="15.75" customHeight="1" s="372"/>
    <row r="584" ht="15.75" customHeight="1" s="372"/>
    <row r="585" ht="15.75" customHeight="1" s="372"/>
    <row r="586" ht="15.75" customHeight="1" s="372"/>
    <row r="587" ht="15.75" customHeight="1" s="372"/>
    <row r="588" ht="15.75" customHeight="1" s="372"/>
    <row r="589" ht="15.75" customHeight="1" s="372"/>
    <row r="590" ht="15.75" customHeight="1" s="372"/>
    <row r="591" ht="15.75" customHeight="1" s="372"/>
    <row r="592" ht="15.75" customHeight="1" s="372"/>
    <row r="593" ht="15.75" customHeight="1" s="372"/>
    <row r="594" ht="15.75" customHeight="1" s="372"/>
    <row r="595" ht="15.75" customHeight="1" s="372"/>
    <row r="596" ht="15.75" customHeight="1" s="372"/>
    <row r="597" ht="15.75" customHeight="1" s="372"/>
    <row r="598" ht="15.75" customHeight="1" s="372"/>
    <row r="599" ht="15.75" customHeight="1" s="372"/>
    <row r="600" ht="15.75" customHeight="1" s="372"/>
    <row r="601" ht="15.75" customHeight="1" s="372"/>
    <row r="602" ht="15.75" customHeight="1" s="372"/>
    <row r="603" ht="15.75" customHeight="1" s="372"/>
    <row r="604" ht="15.75" customHeight="1" s="372"/>
    <row r="605" ht="15.75" customHeight="1" s="372"/>
    <row r="606" ht="15.75" customHeight="1" s="372"/>
    <row r="607" ht="15.75" customHeight="1" s="372"/>
    <row r="608" ht="15.75" customHeight="1" s="372"/>
    <row r="609" ht="15.75" customHeight="1" s="372"/>
    <row r="610" ht="15.75" customHeight="1" s="372"/>
    <row r="611" ht="15.75" customHeight="1" s="372"/>
    <row r="612" ht="15.75" customHeight="1" s="372"/>
    <row r="613" ht="15.75" customHeight="1" s="372"/>
    <row r="614" ht="15.75" customHeight="1" s="372"/>
    <row r="615" ht="15.75" customHeight="1" s="372"/>
    <row r="616" ht="15.75" customHeight="1" s="372"/>
    <row r="617" ht="15.75" customHeight="1" s="372"/>
    <row r="618" ht="15.75" customHeight="1" s="372"/>
    <row r="619" ht="15.75" customHeight="1" s="372"/>
    <row r="620" ht="15.75" customHeight="1" s="372"/>
    <row r="621" ht="15.75" customHeight="1" s="372"/>
    <row r="622" ht="15.75" customHeight="1" s="372"/>
    <row r="623" ht="15.75" customHeight="1" s="372"/>
    <row r="624" ht="15.75" customHeight="1" s="372"/>
    <row r="625" ht="15.75" customHeight="1" s="372"/>
    <row r="626" ht="15.75" customHeight="1" s="372"/>
    <row r="627" ht="15.75" customHeight="1" s="372"/>
    <row r="628" ht="15.75" customHeight="1" s="372"/>
    <row r="629" ht="15.75" customHeight="1" s="372"/>
    <row r="630" ht="15.75" customHeight="1" s="372"/>
    <row r="631" ht="15.75" customHeight="1" s="372"/>
    <row r="632" ht="15.75" customHeight="1" s="372"/>
    <row r="633" ht="15.75" customHeight="1" s="372"/>
    <row r="634" ht="15.75" customHeight="1" s="372"/>
    <row r="635" ht="15.75" customHeight="1" s="372"/>
    <row r="636" ht="15.75" customHeight="1" s="372"/>
    <row r="637" ht="15.75" customHeight="1" s="372"/>
    <row r="638" ht="15.75" customHeight="1" s="372"/>
    <row r="639" ht="15.75" customHeight="1" s="372"/>
    <row r="640" ht="15.75" customHeight="1" s="372"/>
    <row r="641" ht="15.75" customHeight="1" s="372"/>
    <row r="642" ht="15.75" customHeight="1" s="372"/>
    <row r="643" ht="15.75" customHeight="1" s="372"/>
    <row r="644" ht="15.75" customHeight="1" s="372"/>
    <row r="645" ht="15.75" customHeight="1" s="372"/>
    <row r="646" ht="15.75" customHeight="1" s="372"/>
    <row r="647" ht="15.75" customHeight="1" s="372"/>
    <row r="648" ht="15.75" customHeight="1" s="372"/>
    <row r="649" ht="15.75" customHeight="1" s="372"/>
    <row r="650" ht="15.75" customHeight="1" s="372"/>
    <row r="651" ht="15.75" customHeight="1" s="372"/>
    <row r="652" ht="15.75" customHeight="1" s="372"/>
    <row r="653" ht="15.75" customHeight="1" s="372"/>
    <row r="654" ht="15.75" customHeight="1" s="372"/>
    <row r="655" ht="15.75" customHeight="1" s="372"/>
    <row r="656" ht="15.75" customHeight="1" s="372"/>
    <row r="657" ht="15.75" customHeight="1" s="372"/>
    <row r="658" ht="15.75" customHeight="1" s="372"/>
    <row r="659" ht="15.75" customHeight="1" s="372"/>
    <row r="660" ht="15.75" customHeight="1" s="372"/>
    <row r="661" ht="15.75" customHeight="1" s="372"/>
    <row r="662" ht="15.75" customHeight="1" s="372"/>
    <row r="663" ht="15.75" customHeight="1" s="372"/>
    <row r="664" ht="15.75" customHeight="1" s="372"/>
    <row r="665" ht="15.75" customHeight="1" s="372"/>
    <row r="666" ht="15.75" customHeight="1" s="372"/>
    <row r="667" ht="15.75" customHeight="1" s="372"/>
    <row r="668" ht="15.75" customHeight="1" s="372"/>
    <row r="669" ht="15.75" customHeight="1" s="372"/>
    <row r="670" ht="15.75" customHeight="1" s="372"/>
    <row r="671" ht="15.75" customHeight="1" s="372"/>
    <row r="672" ht="15.75" customHeight="1" s="372"/>
    <row r="673" ht="15.75" customHeight="1" s="372"/>
    <row r="674" ht="15.75" customHeight="1" s="372"/>
    <row r="675" ht="15.75" customHeight="1" s="372"/>
    <row r="676" ht="15.75" customHeight="1" s="372"/>
    <row r="677" ht="15.75" customHeight="1" s="372"/>
    <row r="678" ht="15.75" customHeight="1" s="372"/>
    <row r="679" ht="15.75" customHeight="1" s="372"/>
    <row r="680" ht="15.75" customHeight="1" s="372"/>
    <row r="681" ht="15.75" customHeight="1" s="372"/>
    <row r="682" ht="15.75" customHeight="1" s="372"/>
    <row r="683" ht="15.75" customHeight="1" s="372"/>
    <row r="684" ht="15.75" customHeight="1" s="372"/>
    <row r="685" ht="15.75" customHeight="1" s="372"/>
    <row r="686" ht="15.75" customHeight="1" s="372"/>
    <row r="687" ht="15.75" customHeight="1" s="372"/>
    <row r="688" ht="15.75" customHeight="1" s="372"/>
    <row r="689" ht="15.75" customHeight="1" s="372"/>
    <row r="690" ht="15.75" customHeight="1" s="372"/>
    <row r="691" ht="15.75" customHeight="1" s="372"/>
    <row r="692" ht="15.75" customHeight="1" s="372"/>
    <row r="693" ht="15.75" customHeight="1" s="372"/>
    <row r="694" ht="15.75" customHeight="1" s="372"/>
    <row r="695" ht="15.75" customHeight="1" s="372"/>
    <row r="696" ht="15.75" customHeight="1" s="372"/>
    <row r="697" ht="15.75" customHeight="1" s="372"/>
    <row r="698" ht="15.75" customHeight="1" s="372"/>
    <row r="699" ht="15.75" customHeight="1" s="372"/>
    <row r="700" ht="15.75" customHeight="1" s="372"/>
    <row r="701" ht="15.75" customHeight="1" s="372"/>
    <row r="702" ht="15.75" customHeight="1" s="372"/>
    <row r="703" ht="15.75" customHeight="1" s="372"/>
    <row r="704" ht="15.75" customHeight="1" s="372"/>
    <row r="705" ht="15.75" customHeight="1" s="372"/>
    <row r="706" ht="15.75" customHeight="1" s="372"/>
    <row r="707" ht="15.75" customHeight="1" s="372"/>
    <row r="708" ht="15.75" customHeight="1" s="372"/>
    <row r="709" ht="15.75" customHeight="1" s="372"/>
    <row r="710" ht="15.75" customHeight="1" s="372"/>
    <row r="711" ht="15.75" customHeight="1" s="372"/>
    <row r="712" ht="15.75" customHeight="1" s="372"/>
    <row r="713" ht="15.75" customHeight="1" s="372"/>
    <row r="714" ht="15.75" customHeight="1" s="372"/>
    <row r="715" ht="15.75" customHeight="1" s="372"/>
    <row r="716" ht="15.75" customHeight="1" s="372"/>
    <row r="717" ht="15.75" customHeight="1" s="372"/>
    <row r="718" ht="15.75" customHeight="1" s="372"/>
    <row r="719" ht="15.75" customHeight="1" s="372"/>
    <row r="720" ht="15.75" customHeight="1" s="372"/>
    <row r="721" ht="15.75" customHeight="1" s="372"/>
    <row r="722" ht="15.75" customHeight="1" s="372"/>
    <row r="723" ht="15.75" customHeight="1" s="372"/>
    <row r="724" ht="15.75" customHeight="1" s="372"/>
    <row r="725" ht="15.75" customHeight="1" s="372"/>
    <row r="726" ht="15.75" customHeight="1" s="372"/>
    <row r="727" ht="15.75" customHeight="1" s="372"/>
    <row r="728" ht="15.75" customHeight="1" s="372"/>
    <row r="729" ht="15.75" customHeight="1" s="372"/>
    <row r="730" ht="15.75" customHeight="1" s="372"/>
    <row r="731" ht="15.75" customHeight="1" s="372"/>
    <row r="732" ht="15.75" customHeight="1" s="372"/>
    <row r="733" ht="15.75" customHeight="1" s="372"/>
    <row r="734" ht="15.75" customHeight="1" s="372"/>
    <row r="735" ht="15.75" customHeight="1" s="372"/>
    <row r="736" ht="15.75" customHeight="1" s="372"/>
    <row r="737" ht="15.75" customHeight="1" s="372"/>
    <row r="738" ht="15.75" customHeight="1" s="372"/>
    <row r="739" ht="15.75" customHeight="1" s="372"/>
    <row r="740" ht="15.75" customHeight="1" s="372"/>
    <row r="741" ht="15.75" customHeight="1" s="372"/>
    <row r="742" ht="15.75" customHeight="1" s="372"/>
    <row r="743" ht="15.75" customHeight="1" s="372"/>
    <row r="744" ht="15.75" customHeight="1" s="372"/>
    <row r="745" ht="15.75" customHeight="1" s="372"/>
    <row r="746" ht="15.75" customHeight="1" s="372"/>
    <row r="747" ht="15.75" customHeight="1" s="372"/>
    <row r="748" ht="15.75" customHeight="1" s="372"/>
    <row r="749" ht="15.75" customHeight="1" s="372"/>
    <row r="750" ht="15.75" customHeight="1" s="372"/>
    <row r="751" ht="15.75" customHeight="1" s="372"/>
    <row r="752" ht="15.75" customHeight="1" s="372"/>
    <row r="753" ht="15.75" customHeight="1" s="372"/>
    <row r="754" ht="15.75" customHeight="1" s="372"/>
    <row r="755" ht="15.75" customHeight="1" s="372"/>
    <row r="756" ht="15.75" customHeight="1" s="372"/>
    <row r="757" ht="15.75" customHeight="1" s="372"/>
    <row r="758" ht="15.75" customHeight="1" s="372"/>
    <row r="759" ht="15.75" customHeight="1" s="372"/>
    <row r="760" ht="15.75" customHeight="1" s="372"/>
    <row r="761" ht="15.75" customHeight="1" s="372"/>
    <row r="762" ht="15.75" customHeight="1" s="372"/>
    <row r="763" ht="15.75" customHeight="1" s="372"/>
    <row r="764" ht="15.75" customHeight="1" s="372"/>
    <row r="765" ht="15.75" customHeight="1" s="372"/>
    <row r="766" ht="15.75" customHeight="1" s="372"/>
    <row r="767" ht="15.75" customHeight="1" s="372"/>
    <row r="768" ht="15.75" customHeight="1" s="372"/>
    <row r="769" ht="15.75" customHeight="1" s="372"/>
    <row r="770" ht="15.75" customHeight="1" s="372"/>
    <row r="771" ht="15.75" customHeight="1" s="372"/>
    <row r="772" ht="15.75" customHeight="1" s="372"/>
    <row r="773" ht="15.75" customHeight="1" s="372"/>
    <row r="774" ht="15.75" customHeight="1" s="372"/>
    <row r="775" ht="15.75" customHeight="1" s="372"/>
    <row r="776" ht="15.75" customHeight="1" s="372"/>
    <row r="777" ht="15.75" customHeight="1" s="372"/>
    <row r="778" ht="15.75" customHeight="1" s="372"/>
    <row r="779" ht="15.75" customHeight="1" s="372"/>
    <row r="780" ht="15.75" customHeight="1" s="372"/>
    <row r="781" ht="15.75" customHeight="1" s="372"/>
    <row r="782" ht="15.75" customHeight="1" s="372"/>
    <row r="783" ht="15.75" customHeight="1" s="372"/>
    <row r="784" ht="15.75" customHeight="1" s="372"/>
    <row r="785" ht="15.75" customHeight="1" s="372"/>
    <row r="786" ht="15.75" customHeight="1" s="372"/>
    <row r="787" ht="15.75" customHeight="1" s="372"/>
    <row r="788" ht="15.75" customHeight="1" s="372"/>
    <row r="789" ht="15.75" customHeight="1" s="372"/>
    <row r="790" ht="15.75" customHeight="1" s="372"/>
    <row r="791" ht="15.75" customHeight="1" s="372"/>
    <row r="792" ht="15.75" customHeight="1" s="372"/>
    <row r="793" ht="15.75" customHeight="1" s="372"/>
    <row r="794" ht="15.75" customHeight="1" s="372"/>
    <row r="795" ht="15.75" customHeight="1" s="372"/>
    <row r="796" ht="15.75" customHeight="1" s="372"/>
    <row r="797" ht="15.75" customHeight="1" s="372"/>
    <row r="798" ht="15.75" customHeight="1" s="372"/>
    <row r="799" ht="15.75" customHeight="1" s="372"/>
    <row r="800" ht="15.75" customHeight="1" s="372"/>
    <row r="801" ht="15.75" customHeight="1" s="372"/>
    <row r="802" ht="15.75" customHeight="1" s="372"/>
    <row r="803" ht="15.75" customHeight="1" s="372"/>
    <row r="804" ht="15.75" customHeight="1" s="372"/>
    <row r="805" ht="15.75" customHeight="1" s="372"/>
    <row r="806" ht="15.75" customHeight="1" s="372"/>
    <row r="807" ht="15.75" customHeight="1" s="372"/>
    <row r="808" ht="15.75" customHeight="1" s="372"/>
    <row r="809" ht="15.75" customHeight="1" s="372"/>
    <row r="810" ht="15.75" customHeight="1" s="372"/>
    <row r="811" ht="15.75" customHeight="1" s="372"/>
    <row r="812" ht="15.75" customHeight="1" s="372"/>
    <row r="813" ht="15.75" customHeight="1" s="372"/>
    <row r="814" ht="15.75" customHeight="1" s="372"/>
    <row r="815" ht="15.75" customHeight="1" s="372"/>
    <row r="816" ht="15.75" customHeight="1" s="372"/>
    <row r="817" ht="15.75" customHeight="1" s="372"/>
    <row r="818" ht="15.75" customHeight="1" s="372"/>
    <row r="819" ht="15.75" customHeight="1" s="372"/>
    <row r="820" ht="15.75" customHeight="1" s="372"/>
    <row r="821" ht="15.75" customHeight="1" s="372"/>
    <row r="822" ht="15.75" customHeight="1" s="372"/>
    <row r="823" ht="15.75" customHeight="1" s="372"/>
    <row r="824" ht="15.75" customHeight="1" s="372"/>
    <row r="825" ht="15.75" customHeight="1" s="372"/>
    <row r="826" ht="15.75" customHeight="1" s="372"/>
    <row r="827" ht="15.75" customHeight="1" s="372"/>
    <row r="828" ht="15.75" customHeight="1" s="372"/>
    <row r="829" ht="15.75" customHeight="1" s="372"/>
    <row r="830" ht="15.75" customHeight="1" s="372"/>
    <row r="831" ht="15.75" customHeight="1" s="372"/>
    <row r="832" ht="15.75" customHeight="1" s="372"/>
    <row r="833" ht="15.75" customHeight="1" s="372"/>
    <row r="834" ht="15.75" customHeight="1" s="372"/>
    <row r="835" ht="15.75" customHeight="1" s="372"/>
    <row r="836" ht="15.75" customHeight="1" s="372"/>
    <row r="837" ht="15.75" customHeight="1" s="372"/>
    <row r="838" ht="15.75" customHeight="1" s="372"/>
    <row r="839" ht="15.75" customHeight="1" s="372"/>
    <row r="840" ht="15.75" customHeight="1" s="372"/>
    <row r="841" ht="15.75" customHeight="1" s="372"/>
    <row r="842" ht="15.75" customHeight="1" s="372"/>
    <row r="843" ht="15.75" customHeight="1" s="372"/>
    <row r="844" ht="15.75" customHeight="1" s="372"/>
    <row r="845" ht="15.75" customHeight="1" s="372"/>
    <row r="846" ht="15.75" customHeight="1" s="372"/>
    <row r="847" ht="15.75" customHeight="1" s="372"/>
    <row r="848" ht="15.75" customHeight="1" s="372"/>
    <row r="849" ht="15.75" customHeight="1" s="372"/>
    <row r="850" ht="15.75" customHeight="1" s="372"/>
    <row r="851" ht="15.75" customHeight="1" s="372"/>
    <row r="852" ht="15.75" customHeight="1" s="372"/>
    <row r="853" ht="15.75" customHeight="1" s="372"/>
    <row r="854" ht="15.75" customHeight="1" s="372"/>
    <row r="855" ht="15.75" customHeight="1" s="372"/>
    <row r="856" ht="15.75" customHeight="1" s="372"/>
    <row r="857" ht="15.75" customHeight="1" s="372"/>
    <row r="858" ht="15.75" customHeight="1" s="372"/>
    <row r="859" ht="15.75" customHeight="1" s="372"/>
    <row r="860" ht="15.75" customHeight="1" s="372"/>
    <row r="861" ht="15.75" customHeight="1" s="372"/>
    <row r="862" ht="15.75" customHeight="1" s="372"/>
    <row r="863" ht="15.75" customHeight="1" s="372"/>
    <row r="864" ht="15.75" customHeight="1" s="372"/>
    <row r="865" ht="15.75" customHeight="1" s="372"/>
    <row r="866" ht="15.75" customHeight="1" s="372"/>
    <row r="867" ht="15.75" customHeight="1" s="372"/>
    <row r="868" ht="15.75" customHeight="1" s="372"/>
    <row r="869" ht="15.75" customHeight="1" s="372"/>
    <row r="870" ht="15.75" customHeight="1" s="372"/>
    <row r="871" ht="15.75" customHeight="1" s="372"/>
    <row r="872" ht="15.75" customHeight="1" s="372"/>
    <row r="873" ht="15.75" customHeight="1" s="372"/>
    <row r="874" ht="15.75" customHeight="1" s="372"/>
    <row r="875" ht="15.75" customHeight="1" s="372"/>
    <row r="876" ht="15.75" customHeight="1" s="372"/>
    <row r="877" ht="15.75" customHeight="1" s="372"/>
    <row r="878" ht="15.75" customHeight="1" s="372"/>
    <row r="879" ht="15.75" customHeight="1" s="372"/>
    <row r="880" ht="15.75" customHeight="1" s="372"/>
    <row r="881" ht="15.75" customHeight="1" s="372"/>
    <row r="882" ht="15.75" customHeight="1" s="372"/>
    <row r="883" ht="15.75" customHeight="1" s="372"/>
    <row r="884" ht="15.75" customHeight="1" s="372"/>
    <row r="885" ht="15.75" customHeight="1" s="372"/>
    <row r="886" ht="15.75" customHeight="1" s="372"/>
    <row r="887" ht="15.75" customHeight="1" s="372"/>
    <row r="888" ht="15.75" customHeight="1" s="372"/>
    <row r="889" ht="15.75" customHeight="1" s="372"/>
    <row r="890" ht="15.75" customHeight="1" s="372"/>
    <row r="891" ht="15.75" customHeight="1" s="372"/>
    <row r="892" ht="15.75" customHeight="1" s="372"/>
    <row r="893" ht="15.75" customHeight="1" s="372"/>
    <row r="894" ht="15.75" customHeight="1" s="372"/>
    <row r="895" ht="15.75" customHeight="1" s="372"/>
    <row r="896" ht="15.75" customHeight="1" s="372"/>
    <row r="897" ht="15.75" customHeight="1" s="372"/>
    <row r="898" ht="15.75" customHeight="1" s="372"/>
    <row r="899" ht="15.75" customHeight="1" s="372"/>
    <row r="900" ht="15.75" customHeight="1" s="372"/>
    <row r="901" ht="15.75" customHeight="1" s="372"/>
    <row r="902" ht="15.75" customHeight="1" s="372"/>
    <row r="903" ht="15.75" customHeight="1" s="372"/>
    <row r="904" ht="15.75" customHeight="1" s="372"/>
    <row r="905" ht="15.75" customHeight="1" s="372"/>
    <row r="906" ht="15.75" customHeight="1" s="372"/>
    <row r="907" ht="15.75" customHeight="1" s="372"/>
    <row r="908" ht="15.75" customHeight="1" s="372"/>
    <row r="909" ht="15.75" customHeight="1" s="372"/>
    <row r="910" ht="15.75" customHeight="1" s="372"/>
    <row r="911" ht="15.75" customHeight="1" s="372"/>
    <row r="912" ht="15.75" customHeight="1" s="372"/>
    <row r="913" ht="15.75" customHeight="1" s="372"/>
    <row r="914" ht="15.75" customHeight="1" s="372"/>
    <row r="915" ht="15.75" customHeight="1" s="372"/>
    <row r="916" ht="15.75" customHeight="1" s="372"/>
    <row r="917" ht="15.75" customHeight="1" s="372"/>
    <row r="918" ht="15.75" customHeight="1" s="372"/>
    <row r="919" ht="15.75" customHeight="1" s="372"/>
    <row r="920" ht="15.75" customHeight="1" s="372"/>
    <row r="921" ht="15.75" customHeight="1" s="372"/>
    <row r="922" ht="15.75" customHeight="1" s="372"/>
    <row r="923" ht="15.75" customHeight="1" s="372"/>
    <row r="924" ht="15.75" customHeight="1" s="372"/>
    <row r="925" ht="15.75" customHeight="1" s="372"/>
    <row r="926" ht="15.75" customHeight="1" s="372"/>
    <row r="927" ht="15.75" customHeight="1" s="372"/>
    <row r="928" ht="15.75" customHeight="1" s="372"/>
    <row r="929" ht="15.75" customHeight="1" s="372"/>
    <row r="930" ht="15.75" customHeight="1" s="372"/>
    <row r="931" ht="15.75" customHeight="1" s="372"/>
    <row r="932" ht="15.75" customHeight="1" s="372"/>
    <row r="933" ht="15.75" customHeight="1" s="372"/>
    <row r="934" ht="15.75" customHeight="1" s="372"/>
    <row r="935" ht="15.75" customHeight="1" s="372"/>
    <row r="936" ht="15.75" customHeight="1" s="372"/>
    <row r="937" ht="15.75" customHeight="1" s="372"/>
    <row r="938" ht="15.75" customHeight="1" s="372"/>
    <row r="939" ht="15.75" customHeight="1" s="372"/>
    <row r="940" ht="15.75" customHeight="1" s="372"/>
    <row r="941" ht="15.75" customHeight="1" s="372"/>
    <row r="942" ht="15.75" customHeight="1" s="372"/>
    <row r="943" ht="15.75" customHeight="1" s="372"/>
    <row r="944" ht="15.75" customHeight="1" s="372"/>
    <row r="945" ht="15.75" customHeight="1" s="372"/>
    <row r="946" ht="15.75" customHeight="1" s="372"/>
    <row r="947" ht="15.75" customHeight="1" s="372"/>
    <row r="948" ht="15.75" customHeight="1" s="372"/>
    <row r="949" ht="15.75" customHeight="1" s="372"/>
    <row r="950" ht="15.75" customHeight="1" s="372"/>
    <row r="951" ht="15.75" customHeight="1" s="372"/>
    <row r="952" ht="15.75" customHeight="1" s="372"/>
    <row r="953" ht="15.75" customHeight="1" s="372"/>
    <row r="954" ht="15.75" customHeight="1" s="372"/>
    <row r="955" ht="15.75" customHeight="1" s="372"/>
    <row r="956" ht="15.75" customHeight="1" s="372"/>
    <row r="957" ht="15.75" customHeight="1" s="372"/>
    <row r="958" ht="15.75" customHeight="1" s="372"/>
    <row r="959" ht="15.75" customHeight="1" s="372"/>
    <row r="960" ht="15.75" customHeight="1" s="372"/>
    <row r="961" ht="15.75" customHeight="1" s="372"/>
    <row r="962" ht="15.75" customHeight="1" s="372"/>
    <row r="963" ht="15.75" customHeight="1" s="372"/>
    <row r="964" ht="15.75" customHeight="1" s="372"/>
    <row r="965" ht="15.75" customHeight="1" s="372"/>
    <row r="966" ht="15.75" customHeight="1" s="372"/>
    <row r="967" ht="15.75" customHeight="1" s="372"/>
    <row r="968" ht="15.75" customHeight="1" s="372"/>
    <row r="969" ht="15.75" customHeight="1" s="372"/>
    <row r="970" ht="15.75" customHeight="1" s="372"/>
    <row r="971" ht="15.75" customHeight="1" s="372"/>
    <row r="972" ht="15.75" customHeight="1" s="372"/>
    <row r="973" ht="15.75" customHeight="1" s="372"/>
    <row r="974" ht="15.75" customHeight="1" s="372"/>
    <row r="975" ht="15.75" customHeight="1" s="372"/>
    <row r="976" ht="15.75" customHeight="1" s="372"/>
    <row r="977" ht="15.75" customHeight="1" s="372"/>
    <row r="978" ht="15.75" customHeight="1" s="372"/>
    <row r="979" ht="15.75" customHeight="1" s="372"/>
    <row r="980" ht="15.75" customHeight="1" s="372"/>
    <row r="981" ht="15.75" customHeight="1" s="372"/>
    <row r="982" ht="15.75" customHeight="1" s="372"/>
    <row r="983" ht="15.75" customHeight="1" s="372"/>
    <row r="984" ht="15.75" customHeight="1" s="372"/>
    <row r="985" ht="15.75" customHeight="1" s="372"/>
    <row r="986" ht="15.75" customHeight="1" s="372"/>
    <row r="987" ht="15.75" customHeight="1" s="372"/>
    <row r="988" ht="15.75" customHeight="1" s="372"/>
    <row r="989" ht="15.75" customHeight="1" s="372"/>
    <row r="990" ht="15.75" customHeight="1" s="372"/>
    <row r="991" ht="15.75" customHeight="1" s="372"/>
    <row r="992" ht="15.75" customHeight="1" s="372"/>
    <row r="993" ht="15.75" customHeight="1" s="372"/>
    <row r="994" ht="15.75" customHeight="1" s="372"/>
    <row r="995" ht="15.75" customHeight="1" s="372"/>
    <row r="996" ht="15.75" customHeight="1" s="372"/>
    <row r="997" ht="15.75" customHeight="1" s="372"/>
    <row r="998" ht="15.75" customHeight="1" s="372"/>
    <row r="999" ht="15.75" customHeight="1" s="372"/>
    <row r="1000" ht="15.75" customHeight="1" s="372"/>
  </sheetData>
  <mergeCells count="7">
    <mergeCell ref="A9:D9"/>
    <mergeCell ref="H2:I2"/>
    <mergeCell ref="A1:M1"/>
    <mergeCell ref="E2:F2"/>
    <mergeCell ref="A2:D2"/>
    <mergeCell ref="A3:F3"/>
    <mergeCell ref="E9:F9"/>
  </mergeCells>
  <dataValidations count="3">
    <dataValidation sqref="D6:D8 D10:D28" showDropDown="0" showInputMessage="0" showErrorMessage="0" allowBlank="1" type="list">
      <formula1>"Observer,Participant,Leader"</formula1>
    </dataValidation>
    <dataValidation sqref="C6:C8 C10:C28" showDropDown="0" showInputMessage="0" showErrorMessage="0" allowBlank="1" type="list">
      <formula1>"Elementary,Middle,High,Central Office,Agency,Other"</formula1>
    </dataValidation>
    <dataValidation sqref="O6 O7 O8 O10 O11 O12 O13 O14 O15 O16 O17 O18 O19 O20 O21 O22 O23 O24 O25 O26 O27" showDropDown="0" showInputMessage="1" showErrorMessage="0" allowBlank="1" promptTitle="Completed" prompt="Choose Yes once you have finished this experience." type="list">
      <formula1>"Yes"</formula1>
    </dataValidation>
  </dataValidations>
  <pageMargins left="0.75" right="0.75" top="1" bottom="1" header="0" footer="0"/>
  <pageSetup orientation="portrait" paperSize="9"/>
</worksheet>
</file>

<file path=xl/worksheets/sheet5.xml><?xml version="1.0" encoding="utf-8"?>
<worksheet xmlns="http://schemas.openxmlformats.org/spreadsheetml/2006/main">
  <sheetPr>
    <tabColor rgb="FF0000FF"/>
    <outlinePr summaryBelow="1" summaryRight="1"/>
    <pageSetUpPr/>
  </sheetPr>
  <dimension ref="A1:Z29"/>
  <sheetViews>
    <sheetView workbookViewId="0">
      <pane ySplit="5" topLeftCell="A6" activePane="bottomLeft" state="frozen"/>
      <selection pane="bottomLeft" activeCell="B7" sqref="B7"/>
    </sheetView>
  </sheetViews>
  <sheetFormatPr baseColWidth="8" defaultColWidth="14.43" defaultRowHeight="15" customHeight="1"/>
  <cols>
    <col width="12" customWidth="1" style="372" min="1" max="2"/>
    <col width="14" customWidth="1" style="372" min="3" max="3"/>
    <col width="10" customWidth="1" style="372" min="4" max="4"/>
    <col width="55" customWidth="1" style="372" min="5" max="5"/>
    <col width="8" customWidth="1" style="372" min="6" max="6"/>
    <col width="5" customWidth="1" style="372" min="7" max="12"/>
    <col width="28" customWidth="1" style="372" min="13" max="13"/>
    <col width="29.71" customWidth="1" style="372" min="14" max="14"/>
    <col width="12" customWidth="1" style="372" min="15" max="26"/>
  </cols>
  <sheetData>
    <row r="1" ht="39.75" customHeight="1" s="372">
      <c r="A1" s="157" t="inlineStr">
        <is>
          <t>INTERNSHIP LOG  |  7807 – Leadership I  |  Semester 2</t>
        </is>
      </c>
    </row>
    <row r="2" ht="36" customHeight="1" s="372">
      <c r="A2" s="19" t="inlineStr">
        <is>
          <t>Name: Pat Example      Placement(s): Invented Elementary</t>
        </is>
      </c>
      <c r="B2" s="373" t="n"/>
      <c r="C2" s="373" t="n"/>
      <c r="D2" s="373" t="n"/>
      <c r="E2" s="21" t="inlineStr">
        <is>
          <t>Total Hours Logged</t>
        </is>
      </c>
      <c r="F2" s="373" t="n"/>
      <c r="G2" s="22">
        <f>SUM(F6:F200)</f>
        <v/>
      </c>
      <c r="H2" s="23" t="inlineStr">
        <is>
          <t>Remaining</t>
        </is>
      </c>
      <c r="I2" s="373" t="n"/>
      <c r="J2" s="24">
        <f>(32-G2)</f>
        <v/>
      </c>
    </row>
    <row r="3" ht="19.5" customHeight="1" s="372">
      <c r="A3" s="25" t="inlineStr">
        <is>
          <t>Hours by Competency (auto-calculated from your X marks below):</t>
        </is>
      </c>
      <c r="G3" s="26">
        <f>SUMIF($G$6:$G$200,"X",$F$6:$F$200)</f>
        <v/>
      </c>
      <c r="H3" s="27">
        <f>SUMIF($H$6:$H$200,"X",$F$6:$F$200)</f>
        <v/>
      </c>
      <c r="I3" s="28">
        <f>SUMIF($I$6:$I$200,"X",$F$6:$F$200)</f>
        <v/>
      </c>
      <c r="J3" s="29">
        <f>SUMIF($J$6:$J$200,"X",$F$6:$F$200)</f>
        <v/>
      </c>
      <c r="K3" s="30">
        <f>SUMIF($K$6:$K$200,"X",$F$6:$F$200)</f>
        <v/>
      </c>
      <c r="L3" s="31">
        <f>SUMIF($L$6:$L$200,"X",$F$6:$F$200)</f>
        <v/>
      </c>
      <c r="M3" s="32" t="inlineStr">
        <is>
          <t>← Competency hour totals</t>
        </is>
      </c>
    </row>
    <row r="4" ht="6" customHeight="1" s="372"/>
    <row r="5" ht="31.5" customHeight="1" s="372">
      <c r="A5" s="33" t="inlineStr">
        <is>
          <t>Type</t>
        </is>
      </c>
      <c r="B5" s="33" t="inlineStr">
        <is>
          <t>Date</t>
        </is>
      </c>
      <c r="C5" s="33" t="inlineStr">
        <is>
          <t>Location</t>
        </is>
      </c>
      <c r="D5" s="33" t="inlineStr">
        <is>
          <t>Role</t>
        </is>
      </c>
      <c r="E5" s="33" t="inlineStr">
        <is>
          <t>Experience Description</t>
        </is>
      </c>
      <c r="F5" s="33" t="inlineStr">
        <is>
          <t>Hrs</t>
        </is>
      </c>
      <c r="G5" s="34" t="inlineStr">
        <is>
          <t>①</t>
        </is>
      </c>
      <c r="H5" s="35" t="inlineStr">
        <is>
          <t>②</t>
        </is>
      </c>
      <c r="I5" s="36" t="inlineStr">
        <is>
          <t>③</t>
        </is>
      </c>
      <c r="J5" s="37" t="inlineStr">
        <is>
          <t>④</t>
        </is>
      </c>
      <c r="K5" s="38" t="inlineStr">
        <is>
          <t>⑤</t>
        </is>
      </c>
      <c r="L5" s="39" t="inlineStr">
        <is>
          <t>⑥</t>
        </is>
      </c>
      <c r="M5" s="33" t="inlineStr">
        <is>
          <t>Evidence / Notes</t>
        </is>
      </c>
      <c r="N5" s="40" t="inlineStr">
        <is>
          <t>Site name</t>
        </is>
      </c>
      <c r="O5" s="40" t="inlineStr">
        <is>
          <t>Completed</t>
        </is>
      </c>
    </row>
    <row r="6" ht="49.5" customHeight="1" s="372">
      <c r="A6" s="41" t="inlineStr">
        <is>
          <t>EMBEDDED</t>
        </is>
      </c>
      <c r="B6" s="158" t="n"/>
      <c r="C6" s="43" t="inlineStr">
        <is>
          <t>Main Site</t>
        </is>
      </c>
      <c r="D6" s="44" t="n"/>
      <c r="E6" s="45" t="inlineStr">
        <is>
          <t>Embedded Experience: Conduct a modified 90-day inquiry cycle: Create a 90-day inquiry cycle targeting a problem of practice in your school. Analyze data, identify root causes, and develop an action plan.</t>
        </is>
      </c>
      <c r="F6" s="46" t="n">
        <v>25</v>
      </c>
      <c r="G6" s="47" t="n"/>
      <c r="H6" s="161" t="inlineStr">
        <is>
          <t>X</t>
        </is>
      </c>
      <c r="I6" s="49" t="n"/>
      <c r="J6" s="160" t="n"/>
      <c r="K6" s="51" t="n"/>
      <c r="L6" s="52" t="n"/>
      <c r="M6" s="53" t="inlineStr">
        <is>
          <t>Submit: Class Assignment</t>
        </is>
      </c>
      <c r="N6" s="54" t="n"/>
      <c r="O6" s="54" t="n"/>
      <c r="P6" s="54" t="n"/>
      <c r="Q6" s="54" t="n"/>
      <c r="R6" s="54" t="n"/>
      <c r="S6" s="54" t="n"/>
      <c r="T6" s="54" t="n"/>
      <c r="U6" s="54" t="n"/>
      <c r="V6" s="54" t="n"/>
      <c r="W6" s="54" t="n"/>
      <c r="X6" s="54" t="n"/>
      <c r="Y6" s="54" t="n"/>
      <c r="Z6" s="54" t="n"/>
    </row>
    <row r="7" ht="45" customHeight="1" s="372">
      <c r="A7" s="55" t="inlineStr">
        <is>
          <t>ALIGNED</t>
        </is>
      </c>
      <c r="B7" s="56" t="n"/>
      <c r="C7" s="57" t="n"/>
      <c r="D7" s="57" t="n"/>
      <c r="E7" s="75" t="inlineStr">
        <is>
          <t>Aligned Experience: Reflect on a Decision with your mentor: Interns must learn to reflect on their decisions and have conversations with trusted colleagues about the decision itself and the process used in making the decision.</t>
        </is>
      </c>
      <c r="F7" s="59" t="n">
        <v>5</v>
      </c>
      <c r="G7" s="47" t="n"/>
      <c r="H7" s="48" t="n"/>
      <c r="I7" s="49" t="n"/>
      <c r="J7" s="160" t="n"/>
      <c r="K7" s="162" t="inlineStr">
        <is>
          <t>X</t>
        </is>
      </c>
      <c r="L7" s="52" t="n"/>
      <c r="M7" s="60" t="inlineStr">
        <is>
          <t>Submit: Journal – Competency 5</t>
        </is>
      </c>
      <c r="N7" s="54" t="n"/>
      <c r="O7" s="54" t="n"/>
      <c r="P7" s="54" t="n"/>
      <c r="Q7" s="54" t="n"/>
      <c r="R7" s="54" t="n"/>
      <c r="S7" s="54" t="n"/>
      <c r="T7" s="54" t="n"/>
      <c r="U7" s="54" t="n"/>
      <c r="V7" s="54" t="n"/>
      <c r="W7" s="54" t="n"/>
      <c r="X7" s="54" t="n"/>
      <c r="Y7" s="54" t="n"/>
      <c r="Z7" s="54" t="n"/>
    </row>
    <row r="8" ht="27.75" customHeight="1" s="372">
      <c r="A8" s="374" t="inlineStr">
        <is>
          <t>⭐  CHOICE HOURS  —  2 hours needed this semester</t>
        </is>
      </c>
      <c r="B8" s="375" t="n"/>
      <c r="C8" s="375" t="n"/>
      <c r="D8" s="376" t="n"/>
      <c r="E8" s="377">
        <f>IF(SUMIF(A9:A58,"CHOICE",F9:F58)&gt;=2,"✅ Choice Hours Met!","⚠ Still need: "&amp;(2-SUMIF(A9:A58,"CHOICE",F9:F58))&amp;" more hours")</f>
        <v/>
      </c>
      <c r="F8" s="376" t="n"/>
      <c r="G8" s="65" t="inlineStr">
        <is>
          <t>1. I</t>
        </is>
      </c>
      <c r="H8" s="66" t="inlineStr">
        <is>
          <t>2. O</t>
        </is>
      </c>
      <c r="I8" s="67" t="inlineStr">
        <is>
          <t>3. O</t>
        </is>
      </c>
      <c r="J8" s="68" t="inlineStr">
        <is>
          <t>4. S</t>
        </is>
      </c>
      <c r="K8" s="69" t="inlineStr">
        <is>
          <t>5. P</t>
        </is>
      </c>
      <c r="L8" s="70" t="inlineStr">
        <is>
          <t>6. A</t>
        </is>
      </c>
      <c r="M8" s="71" t="inlineStr">
        <is>
          <t>No evidence required for choice hours</t>
        </is>
      </c>
      <c r="N8" s="54" t="n"/>
      <c r="O8" s="54" t="n"/>
      <c r="P8" s="54" t="n"/>
      <c r="Q8" s="54" t="n"/>
      <c r="R8" s="54" t="n"/>
      <c r="S8" s="54" t="n"/>
      <c r="T8" s="54" t="n"/>
      <c r="U8" s="54" t="n"/>
      <c r="V8" s="54" t="n"/>
      <c r="W8" s="54" t="n"/>
      <c r="X8" s="54" t="n"/>
      <c r="Y8" s="54" t="n"/>
      <c r="Z8" s="54" t="n"/>
    </row>
    <row r="9" ht="34.5" customHeight="1" s="372">
      <c r="A9" s="72" t="inlineStr">
        <is>
          <t>CHOICE</t>
        </is>
      </c>
      <c r="B9" s="87" t="n"/>
      <c r="C9" s="87" t="n"/>
      <c r="D9" s="87" t="n"/>
      <c r="E9" s="152" t="n"/>
      <c r="F9" s="153" t="n"/>
      <c r="G9" s="84" t="n"/>
      <c r="H9" s="154" t="n"/>
      <c r="I9" s="85" t="n"/>
      <c r="J9" s="80" t="n"/>
      <c r="K9" s="81" t="n"/>
      <c r="L9" s="82" t="n"/>
      <c r="M9" s="87" t="n"/>
      <c r="N9" s="54" t="n"/>
      <c r="O9" s="54" t="n"/>
      <c r="P9" s="54" t="n"/>
      <c r="Q9" s="54" t="n"/>
      <c r="R9" s="54" t="n"/>
      <c r="S9" s="54" t="n"/>
      <c r="T9" s="54" t="n"/>
      <c r="U9" s="54" t="n"/>
      <c r="V9" s="54" t="n"/>
      <c r="W9" s="54" t="n"/>
      <c r="X9" s="54" t="n"/>
      <c r="Y9" s="54" t="n"/>
      <c r="Z9" s="54" t="n"/>
    </row>
    <row r="10" ht="34.5" customHeight="1" s="372">
      <c r="A10" s="72" t="inlineStr">
        <is>
          <t>CHOICE</t>
        </is>
      </c>
      <c r="B10" s="87" t="n"/>
      <c r="C10" s="87" t="n"/>
      <c r="D10" s="87" t="n"/>
      <c r="E10" s="152" t="n"/>
      <c r="F10" s="153" t="n"/>
      <c r="G10" s="84" t="n"/>
      <c r="H10" s="154" t="n"/>
      <c r="I10" s="85" t="n"/>
      <c r="J10" s="80" t="n"/>
      <c r="K10" s="81" t="n"/>
      <c r="L10" s="82" t="n"/>
      <c r="M10" s="87" t="n"/>
      <c r="N10" s="54" t="n"/>
      <c r="O10" s="54" t="n"/>
      <c r="P10" s="54" t="n"/>
      <c r="Q10" s="54" t="n"/>
      <c r="R10" s="54" t="n"/>
      <c r="S10" s="54" t="n"/>
      <c r="T10" s="54" t="n"/>
      <c r="U10" s="54" t="n"/>
      <c r="V10" s="54" t="n"/>
      <c r="W10" s="54" t="n"/>
      <c r="X10" s="54" t="n"/>
      <c r="Y10" s="54" t="n"/>
      <c r="Z10" s="54" t="n"/>
    </row>
    <row r="11" ht="34.5" customHeight="1" s="372">
      <c r="A11" s="72" t="inlineStr">
        <is>
          <t>CHOICE</t>
        </is>
      </c>
      <c r="B11" s="87" t="n"/>
      <c r="C11" s="87" t="n"/>
      <c r="D11" s="87" t="n"/>
      <c r="E11" s="152" t="n"/>
      <c r="F11" s="153" t="n"/>
      <c r="G11" s="84" t="n"/>
      <c r="H11" s="154" t="n"/>
      <c r="I11" s="85" t="n"/>
      <c r="J11" s="80" t="n"/>
      <c r="K11" s="81" t="n"/>
      <c r="L11" s="82" t="n"/>
      <c r="M11" s="87" t="n"/>
      <c r="N11" s="54" t="n"/>
      <c r="O11" s="54" t="n"/>
      <c r="P11" s="54" t="n"/>
      <c r="Q11" s="54" t="n"/>
      <c r="R11" s="54" t="n"/>
      <c r="S11" s="54" t="n"/>
      <c r="T11" s="54" t="n"/>
      <c r="U11" s="54" t="n"/>
      <c r="V11" s="54" t="n"/>
      <c r="W11" s="54" t="n"/>
      <c r="X11" s="54" t="n"/>
      <c r="Y11" s="54" t="n"/>
      <c r="Z11" s="54" t="n"/>
    </row>
    <row r="12" ht="34.5" customHeight="1" s="372">
      <c r="A12" s="72" t="inlineStr">
        <is>
          <t>CHOICE</t>
        </is>
      </c>
      <c r="B12" s="87" t="n"/>
      <c r="C12" s="87" t="n"/>
      <c r="D12" s="87" t="n"/>
      <c r="E12" s="152" t="n"/>
      <c r="F12" s="153" t="n"/>
      <c r="G12" s="84" t="n"/>
      <c r="H12" s="154" t="n"/>
      <c r="I12" s="85" t="n"/>
      <c r="J12" s="80" t="n"/>
      <c r="K12" s="81" t="n"/>
      <c r="L12" s="82" t="n"/>
      <c r="M12" s="87" t="n"/>
      <c r="N12" s="54" t="n"/>
      <c r="O12" s="54" t="n"/>
      <c r="P12" s="54" t="n"/>
      <c r="Q12" s="54" t="n"/>
      <c r="R12" s="54" t="n"/>
      <c r="S12" s="54" t="n"/>
      <c r="T12" s="54" t="n"/>
      <c r="U12" s="54" t="n"/>
      <c r="V12" s="54" t="n"/>
      <c r="W12" s="54" t="n"/>
      <c r="X12" s="54" t="n"/>
      <c r="Y12" s="54" t="n"/>
      <c r="Z12" s="54" t="n"/>
    </row>
    <row r="13" ht="34.5" customHeight="1" s="372">
      <c r="A13" s="72" t="inlineStr">
        <is>
          <t>CHOICE</t>
        </is>
      </c>
      <c r="B13" s="87" t="n"/>
      <c r="C13" s="87" t="n"/>
      <c r="D13" s="87" t="n"/>
      <c r="E13" s="152" t="n"/>
      <c r="F13" s="153" t="n"/>
      <c r="G13" s="84" t="n"/>
      <c r="H13" s="154" t="n"/>
      <c r="I13" s="85" t="n"/>
      <c r="J13" s="80" t="n"/>
      <c r="K13" s="81" t="n"/>
      <c r="L13" s="82" t="n"/>
      <c r="M13" s="87" t="n"/>
      <c r="N13" s="54" t="n"/>
      <c r="O13" s="54" t="n"/>
      <c r="P13" s="54" t="n"/>
      <c r="Q13" s="54" t="n"/>
      <c r="R13" s="54" t="n"/>
      <c r="S13" s="54" t="n"/>
      <c r="T13" s="54" t="n"/>
      <c r="U13" s="54" t="n"/>
      <c r="V13" s="54" t="n"/>
      <c r="W13" s="54" t="n"/>
      <c r="X13" s="54" t="n"/>
      <c r="Y13" s="54" t="n"/>
      <c r="Z13" s="54" t="n"/>
    </row>
    <row r="14" ht="34.5" customHeight="1" s="372">
      <c r="A14" s="72" t="inlineStr">
        <is>
          <t>CHOICE</t>
        </is>
      </c>
      <c r="B14" s="87" t="n"/>
      <c r="C14" s="87" t="n"/>
      <c r="D14" s="87" t="n"/>
      <c r="E14" s="152" t="n"/>
      <c r="F14" s="153" t="n"/>
      <c r="G14" s="84" t="n"/>
      <c r="H14" s="154" t="n"/>
      <c r="I14" s="85" t="n"/>
      <c r="J14" s="80" t="n"/>
      <c r="K14" s="81" t="n"/>
      <c r="L14" s="82" t="n"/>
      <c r="M14" s="87" t="n"/>
      <c r="N14" s="54" t="n"/>
      <c r="O14" s="54" t="n"/>
      <c r="P14" s="54" t="n"/>
      <c r="Q14" s="54" t="n"/>
      <c r="R14" s="54" t="n"/>
      <c r="S14" s="54" t="n"/>
      <c r="T14" s="54" t="n"/>
      <c r="U14" s="54" t="n"/>
      <c r="V14" s="54" t="n"/>
      <c r="W14" s="54" t="n"/>
      <c r="X14" s="54" t="n"/>
      <c r="Y14" s="54" t="n"/>
      <c r="Z14" s="54" t="n"/>
    </row>
    <row r="15" ht="34.5" customHeight="1" s="372">
      <c r="A15" s="94" t="inlineStr">
        <is>
          <t>CHOICE</t>
        </is>
      </c>
      <c r="B15" s="95" t="n"/>
      <c r="C15" s="95" t="n"/>
      <c r="D15" s="95" t="n"/>
      <c r="E15" s="96" t="n"/>
      <c r="F15" s="97" t="n"/>
      <c r="G15" s="98" t="n"/>
      <c r="H15" s="99" t="n"/>
      <c r="I15" s="100" t="n"/>
      <c r="J15" s="101" t="n"/>
      <c r="K15" s="102" t="n"/>
      <c r="L15" s="103" t="n"/>
      <c r="M15" s="95" t="n"/>
      <c r="N15" s="54" t="n"/>
      <c r="O15" s="54" t="n"/>
    </row>
    <row r="16" ht="34.5" customHeight="1" s="372">
      <c r="A16" s="104" t="inlineStr">
        <is>
          <t>CHOICE</t>
        </is>
      </c>
      <c r="B16" s="105" t="n"/>
      <c r="C16" s="105" t="n"/>
      <c r="D16" s="105" t="n"/>
      <c r="E16" s="106" t="n"/>
      <c r="F16" s="107" t="n"/>
      <c r="G16" s="108" t="n"/>
      <c r="H16" s="109" t="n"/>
      <c r="I16" s="110" t="n"/>
      <c r="J16" s="111" t="n"/>
      <c r="K16" s="112" t="n"/>
      <c r="L16" s="113" t="n"/>
      <c r="M16" s="105" t="n"/>
    </row>
    <row r="17" ht="34.5" customHeight="1" s="372">
      <c r="A17" s="104" t="inlineStr">
        <is>
          <t>CHOICE</t>
        </is>
      </c>
      <c r="B17" s="105" t="n"/>
      <c r="C17" s="105" t="n"/>
      <c r="D17" s="105" t="n"/>
      <c r="E17" s="106" t="n"/>
      <c r="F17" s="107" t="n"/>
      <c r="G17" s="108" t="n"/>
      <c r="H17" s="109" t="n"/>
      <c r="I17" s="110" t="n"/>
      <c r="J17" s="111" t="n"/>
      <c r="K17" s="112" t="n"/>
      <c r="L17" s="113" t="n"/>
      <c r="M17" s="105" t="n"/>
    </row>
    <row r="18" ht="34.5" customHeight="1" s="372">
      <c r="A18" s="104" t="inlineStr">
        <is>
          <t>CHOICE</t>
        </is>
      </c>
      <c r="B18" s="105" t="n"/>
      <c r="C18" s="105" t="n"/>
      <c r="D18" s="105" t="n"/>
      <c r="E18" s="106" t="n"/>
      <c r="F18" s="107" t="n"/>
      <c r="G18" s="108" t="n"/>
      <c r="H18" s="109" t="n"/>
      <c r="I18" s="110" t="n"/>
      <c r="J18" s="111" t="n"/>
      <c r="K18" s="112" t="n"/>
      <c r="L18" s="113" t="n"/>
      <c r="M18" s="105" t="n"/>
    </row>
    <row r="19" ht="24.75" customHeight="1" s="372">
      <c r="A19" s="114" t="inlineStr">
        <is>
          <t>CHOICE</t>
        </is>
      </c>
      <c r="B19" s="105" t="n"/>
      <c r="C19" s="105" t="n"/>
      <c r="D19" s="105" t="n"/>
      <c r="E19" s="105" t="n"/>
      <c r="F19" s="105" t="n"/>
      <c r="G19" s="105" t="n"/>
      <c r="H19" s="105" t="n"/>
      <c r="I19" s="105" t="n"/>
      <c r="J19" s="105" t="n"/>
      <c r="K19" s="105" t="n"/>
      <c r="L19" s="105" t="n"/>
      <c r="M19" s="105" t="n"/>
    </row>
    <row r="20" ht="24.75" customHeight="1" s="372">
      <c r="A20" s="114" t="inlineStr">
        <is>
          <t>CHOICE</t>
        </is>
      </c>
      <c r="B20" s="105" t="n"/>
      <c r="C20" s="105" t="n"/>
      <c r="D20" s="105" t="n"/>
      <c r="E20" s="105" t="n"/>
      <c r="F20" s="105" t="n"/>
      <c r="G20" s="105" t="n"/>
      <c r="H20" s="105" t="n"/>
      <c r="I20" s="105" t="n"/>
      <c r="J20" s="105" t="n"/>
      <c r="K20" s="105" t="n"/>
      <c r="L20" s="105" t="n"/>
      <c r="M20" s="105" t="n"/>
    </row>
    <row r="21" ht="24.75" customHeight="1" s="372">
      <c r="A21" s="114" t="inlineStr">
        <is>
          <t>CHOICE</t>
        </is>
      </c>
      <c r="B21" s="105" t="n"/>
      <c r="C21" s="105" t="n"/>
      <c r="D21" s="105" t="n"/>
      <c r="E21" s="105" t="n"/>
      <c r="F21" s="105" t="n"/>
      <c r="G21" s="105" t="n"/>
      <c r="H21" s="105" t="n"/>
      <c r="I21" s="105" t="n"/>
      <c r="J21" s="105" t="n"/>
      <c r="K21" s="105" t="n"/>
      <c r="L21" s="105" t="n"/>
      <c r="M21" s="105" t="n"/>
    </row>
    <row r="22" ht="24.75" customHeight="1" s="372">
      <c r="A22" s="114" t="inlineStr">
        <is>
          <t>CHOICE</t>
        </is>
      </c>
      <c r="B22" s="105" t="n"/>
      <c r="C22" s="105" t="n"/>
      <c r="D22" s="105" t="n"/>
      <c r="E22" s="105" t="n"/>
      <c r="F22" s="105" t="n"/>
      <c r="G22" s="105" t="n"/>
      <c r="H22" s="105" t="n"/>
      <c r="I22" s="105" t="n"/>
      <c r="J22" s="105" t="n"/>
      <c r="K22" s="105" t="n"/>
      <c r="L22" s="105" t="n"/>
      <c r="M22" s="105" t="n"/>
    </row>
    <row r="23" ht="24.75" customHeight="1" s="372">
      <c r="A23" s="114" t="inlineStr">
        <is>
          <t>CHOICE</t>
        </is>
      </c>
      <c r="B23" s="105" t="n"/>
      <c r="C23" s="105" t="n"/>
      <c r="D23" s="105" t="n"/>
      <c r="E23" s="105" t="n"/>
      <c r="F23" s="105" t="n"/>
      <c r="G23" s="105" t="n"/>
      <c r="H23" s="105" t="n"/>
      <c r="I23" s="105" t="n"/>
      <c r="J23" s="105" t="n"/>
      <c r="K23" s="105" t="n"/>
      <c r="L23" s="105" t="n"/>
      <c r="M23" s="105" t="n"/>
    </row>
    <row r="24" ht="24.75" customHeight="1" s="372">
      <c r="A24" s="114" t="inlineStr">
        <is>
          <t>CHOICE</t>
        </is>
      </c>
      <c r="B24" s="105" t="n"/>
      <c r="C24" s="105" t="n"/>
      <c r="D24" s="105" t="n"/>
      <c r="E24" s="105" t="n"/>
      <c r="F24" s="105" t="n"/>
      <c r="G24" s="105" t="n"/>
      <c r="H24" s="105" t="n"/>
      <c r="I24" s="105" t="n"/>
      <c r="J24" s="105" t="n"/>
      <c r="K24" s="105" t="n"/>
      <c r="L24" s="105" t="n"/>
      <c r="M24" s="105" t="n"/>
    </row>
    <row r="25" ht="24.75" customHeight="1" s="372">
      <c r="A25" s="114" t="inlineStr">
        <is>
          <t>CHOICE</t>
        </is>
      </c>
      <c r="B25" s="105" t="n"/>
      <c r="C25" s="105" t="n"/>
      <c r="D25" s="105" t="n"/>
      <c r="E25" s="105" t="n"/>
      <c r="F25" s="105" t="n"/>
      <c r="G25" s="105" t="n"/>
      <c r="H25" s="105" t="n"/>
      <c r="I25" s="105" t="n"/>
      <c r="J25" s="105" t="n"/>
      <c r="K25" s="105" t="n"/>
      <c r="L25" s="105" t="n"/>
      <c r="M25" s="105" t="n"/>
    </row>
    <row r="26" ht="24.75" customHeight="1" s="372">
      <c r="A26" s="114" t="inlineStr">
        <is>
          <t>CHOICE</t>
        </is>
      </c>
      <c r="B26" s="105" t="n"/>
      <c r="C26" s="105" t="n"/>
      <c r="D26" s="105" t="n"/>
      <c r="E26" s="105" t="n"/>
      <c r="F26" s="105" t="n"/>
      <c r="G26" s="105" t="n"/>
      <c r="H26" s="105" t="n"/>
      <c r="I26" s="105" t="n"/>
      <c r="J26" s="105" t="n"/>
      <c r="K26" s="105" t="n"/>
      <c r="L26" s="105" t="n"/>
      <c r="M26" s="105" t="n"/>
    </row>
    <row r="27" ht="24.75" customHeight="1" s="372">
      <c r="A27" s="114" t="inlineStr">
        <is>
          <t>CHOICE</t>
        </is>
      </c>
      <c r="B27" s="105" t="n"/>
      <c r="C27" s="105" t="n"/>
      <c r="D27" s="105" t="n"/>
      <c r="E27" s="105" t="n"/>
      <c r="F27" s="105" t="n"/>
      <c r="G27" s="105" t="n"/>
      <c r="H27" s="105" t="n"/>
      <c r="I27" s="105" t="n"/>
      <c r="J27" s="105" t="n"/>
      <c r="K27" s="105" t="n"/>
      <c r="L27" s="105" t="n"/>
      <c r="M27" s="105" t="n"/>
    </row>
    <row r="28" ht="24.75" customHeight="1" s="372">
      <c r="A28" s="114" t="inlineStr">
        <is>
          <t>CHOICE</t>
        </is>
      </c>
      <c r="B28" s="105" t="n"/>
      <c r="C28" s="105" t="n"/>
      <c r="D28" s="105" t="n"/>
      <c r="E28" s="105" t="n"/>
      <c r="F28" s="105" t="n"/>
      <c r="G28" s="105" t="n"/>
      <c r="H28" s="105" t="n"/>
      <c r="I28" s="105" t="n"/>
      <c r="J28" s="105" t="n"/>
      <c r="K28" s="105" t="n"/>
      <c r="L28" s="105" t="n"/>
      <c r="M28" s="105" t="n"/>
    </row>
    <row r="29" ht="15.75" customHeight="1" s="372">
      <c r="C29" s="115" t="n"/>
      <c r="D29" s="115" t="n"/>
    </row>
    <row r="30" ht="15.75" customHeight="1" s="372"/>
    <row r="31" ht="15.75" customHeight="1" s="372"/>
    <row r="32" ht="15.75" customHeight="1" s="372"/>
    <row r="33" ht="15.75" customHeight="1" s="372"/>
    <row r="34" ht="15.75" customHeight="1" s="372"/>
    <row r="35" ht="15.75" customHeight="1" s="372"/>
    <row r="36" ht="15.75" customHeight="1" s="372"/>
    <row r="37" ht="15.75" customHeight="1" s="372"/>
    <row r="38" ht="15.75" customHeight="1" s="372"/>
    <row r="39" ht="15.75" customHeight="1" s="372"/>
    <row r="40" ht="15.75" customHeight="1" s="372"/>
    <row r="41" ht="15.75" customHeight="1" s="372"/>
    <row r="42" ht="15.75" customHeight="1" s="372"/>
    <row r="43" ht="15.75" customHeight="1" s="372"/>
    <row r="44" ht="15.75" customHeight="1" s="372"/>
    <row r="45" ht="15.75" customHeight="1" s="372"/>
    <row r="46" ht="15.75" customHeight="1" s="372"/>
    <row r="47" ht="15.75" customHeight="1" s="372"/>
    <row r="48" ht="15.75" customHeight="1" s="372"/>
    <row r="49" ht="15.75" customHeight="1" s="372"/>
    <row r="50" ht="15.75" customHeight="1" s="372"/>
    <row r="51" ht="15.75" customHeight="1" s="372"/>
    <row r="52" ht="15.75" customHeight="1" s="372"/>
    <row r="53" ht="15.75" customHeight="1" s="372"/>
    <row r="54" ht="15.75" customHeight="1" s="372"/>
    <row r="55" ht="15.75" customHeight="1" s="372"/>
    <row r="56" ht="15.75" customHeight="1" s="372"/>
    <row r="57" ht="15.75" customHeight="1" s="372"/>
    <row r="58" ht="15.75" customHeight="1" s="372"/>
    <row r="59" ht="15.75" customHeight="1" s="372"/>
    <row r="60" ht="15.75" customHeight="1" s="372"/>
    <row r="61" ht="15.75" customHeight="1" s="372"/>
    <row r="62" ht="15.75" customHeight="1" s="372"/>
    <row r="63" ht="15.75" customHeight="1" s="372"/>
    <row r="64" ht="15.75" customHeight="1" s="372"/>
    <row r="65" ht="15.75" customHeight="1" s="372"/>
    <row r="66" ht="15.75" customHeight="1" s="372"/>
    <row r="67" ht="15.75" customHeight="1" s="372"/>
    <row r="68" ht="15.75" customHeight="1" s="372"/>
    <row r="69" ht="15.75" customHeight="1" s="372"/>
    <row r="70" ht="15.75" customHeight="1" s="372"/>
    <row r="71" ht="15.75" customHeight="1" s="372"/>
    <row r="72" ht="15.75" customHeight="1" s="372"/>
    <row r="73" ht="15.75" customHeight="1" s="372"/>
    <row r="74" ht="15.75" customHeight="1" s="372"/>
    <row r="75" ht="15.75" customHeight="1" s="372"/>
    <row r="76" ht="15.75" customHeight="1" s="372"/>
    <row r="77" ht="15.75" customHeight="1" s="372"/>
    <row r="78" ht="15.75" customHeight="1" s="372"/>
    <row r="79" ht="15.75" customHeight="1" s="372"/>
    <row r="80" ht="15.75" customHeight="1" s="372"/>
    <row r="81" ht="15.75" customHeight="1" s="372"/>
    <row r="82" ht="15.75" customHeight="1" s="372"/>
    <row r="83" ht="15.75" customHeight="1" s="372"/>
    <row r="84" ht="15.75" customHeight="1" s="372"/>
    <row r="85" ht="15.75" customHeight="1" s="372"/>
    <row r="86" ht="15.75" customHeight="1" s="372"/>
    <row r="87" ht="15.75" customHeight="1" s="372"/>
    <row r="88" ht="15.75" customHeight="1" s="372"/>
    <row r="89" ht="15.75" customHeight="1" s="372"/>
    <row r="90" ht="15.75" customHeight="1" s="372"/>
    <row r="91" ht="15.75" customHeight="1" s="372"/>
    <row r="92" ht="15.75" customHeight="1" s="372"/>
    <row r="93" ht="15.75" customHeight="1" s="372"/>
    <row r="94" ht="15.75" customHeight="1" s="372"/>
    <row r="95" ht="15.75" customHeight="1" s="372"/>
    <row r="96" ht="15.75" customHeight="1" s="372"/>
    <row r="97" ht="15.75" customHeight="1" s="372"/>
    <row r="98" ht="15.75" customHeight="1" s="372"/>
    <row r="99" ht="15.75" customHeight="1" s="372"/>
    <row r="100" ht="15.75" customHeight="1" s="372"/>
    <row r="101" ht="15.75" customHeight="1" s="372"/>
    <row r="102" ht="15.75" customHeight="1" s="372"/>
    <row r="103" ht="15.75" customHeight="1" s="372"/>
    <row r="104" ht="15.75" customHeight="1" s="372"/>
    <row r="105" ht="15.75" customHeight="1" s="372"/>
    <row r="106" ht="15.75" customHeight="1" s="372"/>
    <row r="107" ht="15.75" customHeight="1" s="372"/>
    <row r="108" ht="15.75" customHeight="1" s="372"/>
    <row r="109" ht="15.75" customHeight="1" s="372"/>
    <row r="110" ht="15.75" customHeight="1" s="372"/>
    <row r="111" ht="15.75" customHeight="1" s="372"/>
    <row r="112" ht="15.75" customHeight="1" s="372"/>
    <row r="113" ht="15.75" customHeight="1" s="372"/>
    <row r="114" ht="15.75" customHeight="1" s="372"/>
    <row r="115" ht="15.75" customHeight="1" s="372"/>
    <row r="116" ht="15.75" customHeight="1" s="372"/>
    <row r="117" ht="15.75" customHeight="1" s="372"/>
    <row r="118" ht="15.75" customHeight="1" s="372"/>
    <row r="119" ht="15.75" customHeight="1" s="372"/>
    <row r="120" ht="15.75" customHeight="1" s="372"/>
    <row r="121" ht="15.75" customHeight="1" s="372"/>
    <row r="122" ht="15.75" customHeight="1" s="372"/>
    <row r="123" ht="15.75" customHeight="1" s="372"/>
    <row r="124" ht="15.75" customHeight="1" s="372"/>
    <row r="125" ht="15.75" customHeight="1" s="372"/>
    <row r="126" ht="15.75" customHeight="1" s="372"/>
    <row r="127" ht="15.75" customHeight="1" s="372"/>
    <row r="128" ht="15.75" customHeight="1" s="372"/>
    <row r="129" ht="15.75" customHeight="1" s="372"/>
    <row r="130" ht="15.75" customHeight="1" s="372"/>
    <row r="131" ht="15.75" customHeight="1" s="372"/>
    <row r="132" ht="15.75" customHeight="1" s="372"/>
    <row r="133" ht="15.75" customHeight="1" s="372"/>
    <row r="134" ht="15.75" customHeight="1" s="372"/>
    <row r="135" ht="15.75" customHeight="1" s="372"/>
    <row r="136" ht="15.75" customHeight="1" s="372"/>
    <row r="137" ht="15.75" customHeight="1" s="372"/>
    <row r="138" ht="15.75" customHeight="1" s="372"/>
    <row r="139" ht="15.75" customHeight="1" s="372"/>
    <row r="140" ht="15.75" customHeight="1" s="372"/>
    <row r="141" ht="15.75" customHeight="1" s="372"/>
    <row r="142" ht="15.75" customHeight="1" s="372"/>
    <row r="143" ht="15.75" customHeight="1" s="372"/>
    <row r="144" ht="15.75" customHeight="1" s="372"/>
    <row r="145" ht="15.75" customHeight="1" s="372"/>
    <row r="146" ht="15.75" customHeight="1" s="372"/>
    <row r="147" ht="15.75" customHeight="1" s="372"/>
    <row r="148" ht="15.75" customHeight="1" s="372"/>
    <row r="149" ht="15.75" customHeight="1" s="372"/>
    <row r="150" ht="15.75" customHeight="1" s="372"/>
    <row r="151" ht="15.75" customHeight="1" s="372"/>
    <row r="152" ht="15.75" customHeight="1" s="372"/>
    <row r="153" ht="15.75" customHeight="1" s="372"/>
    <row r="154" ht="15.75" customHeight="1" s="372"/>
    <row r="155" ht="15.75" customHeight="1" s="372"/>
    <row r="156" ht="15.75" customHeight="1" s="372"/>
    <row r="157" ht="15.75" customHeight="1" s="372"/>
    <row r="158" ht="15.75" customHeight="1" s="372"/>
    <row r="159" ht="15.75" customHeight="1" s="372"/>
    <row r="160" ht="15.75" customHeight="1" s="372"/>
    <row r="161" ht="15.75" customHeight="1" s="372"/>
    <row r="162" ht="15.75" customHeight="1" s="372"/>
    <row r="163" ht="15.75" customHeight="1" s="372"/>
    <row r="164" ht="15.75" customHeight="1" s="372"/>
    <row r="165" ht="15.75" customHeight="1" s="372"/>
    <row r="166" ht="15.75" customHeight="1" s="372"/>
    <row r="167" ht="15.75" customHeight="1" s="372"/>
    <row r="168" ht="15.75" customHeight="1" s="372"/>
    <row r="169" ht="15.75" customHeight="1" s="372"/>
    <row r="170" ht="15.75" customHeight="1" s="372"/>
    <row r="171" ht="15.75" customHeight="1" s="372"/>
    <row r="172" ht="15.75" customHeight="1" s="372"/>
    <row r="173" ht="15.75" customHeight="1" s="372"/>
    <row r="174" ht="15.75" customHeight="1" s="372"/>
    <row r="175" ht="15.75" customHeight="1" s="372"/>
    <row r="176" ht="15.75" customHeight="1" s="372"/>
    <row r="177" ht="15.75" customHeight="1" s="372"/>
    <row r="178" ht="15.75" customHeight="1" s="372"/>
    <row r="179" ht="15.75" customHeight="1" s="372"/>
    <row r="180" ht="15.75" customHeight="1" s="372"/>
    <row r="181" ht="15.75" customHeight="1" s="372"/>
    <row r="182" ht="15.75" customHeight="1" s="372"/>
    <row r="183" ht="15.75" customHeight="1" s="372"/>
    <row r="184" ht="15.75" customHeight="1" s="372"/>
    <row r="185" ht="15.75" customHeight="1" s="372"/>
    <row r="186" ht="15.75" customHeight="1" s="372"/>
    <row r="187" ht="15.75" customHeight="1" s="372"/>
    <row r="188" ht="15.75" customHeight="1" s="372"/>
    <row r="189" ht="15.75" customHeight="1" s="372"/>
    <row r="190" ht="15.75" customHeight="1" s="372"/>
    <row r="191" ht="15.75" customHeight="1" s="372"/>
    <row r="192" ht="15.75" customHeight="1" s="372"/>
    <row r="193" ht="15.75" customHeight="1" s="372"/>
    <row r="194" ht="15.75" customHeight="1" s="372"/>
    <row r="195" ht="15.75" customHeight="1" s="372"/>
    <row r="196" ht="15.75" customHeight="1" s="372"/>
    <row r="197" ht="15.75" customHeight="1" s="372"/>
    <row r="198" ht="15.75" customHeight="1" s="372"/>
    <row r="199" ht="15.75" customHeight="1" s="372"/>
    <row r="200" ht="15.75" customHeight="1" s="372"/>
    <row r="201" ht="15.75" customHeight="1" s="372"/>
    <row r="202" ht="15.75" customHeight="1" s="372"/>
    <row r="203" ht="15.75" customHeight="1" s="372"/>
    <row r="204" ht="15.75" customHeight="1" s="372"/>
    <row r="205" ht="15.75" customHeight="1" s="372"/>
    <row r="206" ht="15.75" customHeight="1" s="372"/>
    <row r="207" ht="15.75" customHeight="1" s="372"/>
    <row r="208" ht="15.75" customHeight="1" s="372"/>
    <row r="209" ht="15.75" customHeight="1" s="372"/>
    <row r="210" ht="15.75" customHeight="1" s="372"/>
    <row r="211" ht="15.75" customHeight="1" s="372"/>
    <row r="212" ht="15.75" customHeight="1" s="372"/>
    <row r="213" ht="15.75" customHeight="1" s="372"/>
    <row r="214" ht="15.75" customHeight="1" s="372"/>
    <row r="215" ht="15.75" customHeight="1" s="372"/>
    <row r="216" ht="15.75" customHeight="1" s="372"/>
    <row r="217" ht="15.75" customHeight="1" s="372"/>
    <row r="218" ht="15.75" customHeight="1" s="372"/>
    <row r="219" ht="15.75" customHeight="1" s="372"/>
    <row r="220" ht="15.75" customHeight="1" s="372"/>
    <row r="221" ht="15.75" customHeight="1" s="372"/>
    <row r="222" ht="15.75" customHeight="1" s="372"/>
    <row r="223" ht="15.75" customHeight="1" s="372"/>
    <row r="224" ht="15.75" customHeight="1" s="372"/>
    <row r="225" ht="15.75" customHeight="1" s="372"/>
    <row r="226" ht="15.75" customHeight="1" s="372"/>
    <row r="227" ht="15.75" customHeight="1" s="372"/>
    <row r="228" ht="15.75" customHeight="1" s="372"/>
    <row r="229" ht="15.75" customHeight="1" s="372"/>
    <row r="230" ht="15.75" customHeight="1" s="372"/>
    <row r="231" ht="15.75" customHeight="1" s="372"/>
    <row r="232" ht="15.75" customHeight="1" s="372"/>
    <row r="233" ht="15.75" customHeight="1" s="372"/>
    <row r="234" ht="15.75" customHeight="1" s="372"/>
    <row r="235" ht="15.75" customHeight="1" s="372"/>
    <row r="236" ht="15.75" customHeight="1" s="372"/>
    <row r="237" ht="15.75" customHeight="1" s="372"/>
    <row r="238" ht="15.75" customHeight="1" s="372"/>
    <row r="239" ht="15.75" customHeight="1" s="372"/>
    <row r="240" ht="15.75" customHeight="1" s="372"/>
    <row r="241" ht="15.75" customHeight="1" s="372"/>
    <row r="242" ht="15.75" customHeight="1" s="372"/>
    <row r="243" ht="15.75" customHeight="1" s="372"/>
    <row r="244" ht="15.75" customHeight="1" s="372"/>
    <row r="245" ht="15.75" customHeight="1" s="372"/>
    <row r="246" ht="15.75" customHeight="1" s="372"/>
    <row r="247" ht="15.75" customHeight="1" s="372"/>
    <row r="248" ht="15.75" customHeight="1" s="372"/>
    <row r="249" ht="15.75" customHeight="1" s="372"/>
    <row r="250" ht="15.75" customHeight="1" s="372"/>
    <row r="251" ht="15.75" customHeight="1" s="372"/>
    <row r="252" ht="15.75" customHeight="1" s="372"/>
    <row r="253" ht="15.75" customHeight="1" s="372"/>
    <row r="254" ht="15.75" customHeight="1" s="372"/>
    <row r="255" ht="15.75" customHeight="1" s="372"/>
    <row r="256" ht="15.75" customHeight="1" s="372"/>
    <row r="257" ht="15.75" customHeight="1" s="372"/>
    <row r="258" ht="15.75" customHeight="1" s="372"/>
    <row r="259" ht="15.75" customHeight="1" s="372"/>
    <row r="260" ht="15.75" customHeight="1" s="372"/>
    <row r="261" ht="15.75" customHeight="1" s="372"/>
    <row r="262" ht="15.75" customHeight="1" s="372"/>
    <row r="263" ht="15.75" customHeight="1" s="372"/>
    <row r="264" ht="15.75" customHeight="1" s="372"/>
    <row r="265" ht="15.75" customHeight="1" s="372"/>
    <row r="266" ht="15.75" customHeight="1" s="372"/>
    <row r="267" ht="15.75" customHeight="1" s="372"/>
    <row r="268" ht="15.75" customHeight="1" s="372"/>
    <row r="269" ht="15.75" customHeight="1" s="372"/>
    <row r="270" ht="15.75" customHeight="1" s="372"/>
    <row r="271" ht="15.75" customHeight="1" s="372"/>
    <row r="272" ht="15.75" customHeight="1" s="372"/>
    <row r="273" ht="15.75" customHeight="1" s="372"/>
    <row r="274" ht="15.75" customHeight="1" s="372"/>
    <row r="275" ht="15.75" customHeight="1" s="372"/>
    <row r="276" ht="15.75" customHeight="1" s="372"/>
    <row r="277" ht="15.75" customHeight="1" s="372"/>
    <row r="278" ht="15.75" customHeight="1" s="372"/>
    <row r="279" ht="15.75" customHeight="1" s="372"/>
    <row r="280" ht="15.75" customHeight="1" s="372"/>
    <row r="281" ht="15.75" customHeight="1" s="372"/>
    <row r="282" ht="15.75" customHeight="1" s="372"/>
    <row r="283" ht="15.75" customHeight="1" s="372"/>
    <row r="284" ht="15.75" customHeight="1" s="372"/>
    <row r="285" ht="15.75" customHeight="1" s="372"/>
    <row r="286" ht="15.75" customHeight="1" s="372"/>
    <row r="287" ht="15.75" customHeight="1" s="372"/>
    <row r="288" ht="15.75" customHeight="1" s="372"/>
    <row r="289" ht="15.75" customHeight="1" s="372"/>
    <row r="290" ht="15.75" customHeight="1" s="372"/>
    <row r="291" ht="15.75" customHeight="1" s="372"/>
    <row r="292" ht="15.75" customHeight="1" s="372"/>
    <row r="293" ht="15.75" customHeight="1" s="372"/>
    <row r="294" ht="15.75" customHeight="1" s="372"/>
    <row r="295" ht="15.75" customHeight="1" s="372"/>
    <row r="296" ht="15.75" customHeight="1" s="372"/>
    <row r="297" ht="15.75" customHeight="1" s="372"/>
    <row r="298" ht="15.75" customHeight="1" s="372"/>
    <row r="299" ht="15.75" customHeight="1" s="372"/>
    <row r="300" ht="15.75" customHeight="1" s="372"/>
    <row r="301" ht="15.75" customHeight="1" s="372"/>
    <row r="302" ht="15.75" customHeight="1" s="372"/>
    <row r="303" ht="15.75" customHeight="1" s="372"/>
    <row r="304" ht="15.75" customHeight="1" s="372"/>
    <row r="305" ht="15.75" customHeight="1" s="372"/>
    <row r="306" ht="15.75" customHeight="1" s="372"/>
    <row r="307" ht="15.75" customHeight="1" s="372"/>
    <row r="308" ht="15.75" customHeight="1" s="372"/>
    <row r="309" ht="15.75" customHeight="1" s="372"/>
    <row r="310" ht="15.75" customHeight="1" s="372"/>
    <row r="311" ht="15.75" customHeight="1" s="372"/>
    <row r="312" ht="15.75" customHeight="1" s="372"/>
    <row r="313" ht="15.75" customHeight="1" s="372"/>
    <row r="314" ht="15.75" customHeight="1" s="372"/>
    <row r="315" ht="15.75" customHeight="1" s="372"/>
    <row r="316" ht="15.75" customHeight="1" s="372"/>
    <row r="317" ht="15.75" customHeight="1" s="372"/>
    <row r="318" ht="15.75" customHeight="1" s="372"/>
    <row r="319" ht="15.75" customHeight="1" s="372"/>
    <row r="320" ht="15.75" customHeight="1" s="372"/>
    <row r="321" ht="15.75" customHeight="1" s="372"/>
    <row r="322" ht="15.75" customHeight="1" s="372"/>
    <row r="323" ht="15.75" customHeight="1" s="372"/>
    <row r="324" ht="15.75" customHeight="1" s="372"/>
    <row r="325" ht="15.75" customHeight="1" s="372"/>
    <row r="326" ht="15.75" customHeight="1" s="372"/>
    <row r="327" ht="15.75" customHeight="1" s="372"/>
    <row r="328" ht="15.75" customHeight="1" s="372"/>
    <row r="329" ht="15.75" customHeight="1" s="372"/>
    <row r="330" ht="15.75" customHeight="1" s="372"/>
    <row r="331" ht="15.75" customHeight="1" s="372"/>
    <row r="332" ht="15.75" customHeight="1" s="372"/>
    <row r="333" ht="15.75" customHeight="1" s="372"/>
    <row r="334" ht="15.75" customHeight="1" s="372"/>
    <row r="335" ht="15.75" customHeight="1" s="372"/>
    <row r="336" ht="15.75" customHeight="1" s="372"/>
    <row r="337" ht="15.75" customHeight="1" s="372"/>
    <row r="338" ht="15.75" customHeight="1" s="372"/>
    <row r="339" ht="15.75" customHeight="1" s="372"/>
    <row r="340" ht="15.75" customHeight="1" s="372"/>
    <row r="341" ht="15.75" customHeight="1" s="372"/>
    <row r="342" ht="15.75" customHeight="1" s="372"/>
    <row r="343" ht="15.75" customHeight="1" s="372"/>
    <row r="344" ht="15.75" customHeight="1" s="372"/>
    <row r="345" ht="15.75" customHeight="1" s="372"/>
    <row r="346" ht="15.75" customHeight="1" s="372"/>
    <row r="347" ht="15.75" customHeight="1" s="372"/>
    <row r="348" ht="15.75" customHeight="1" s="372"/>
    <row r="349" ht="15.75" customHeight="1" s="372"/>
    <row r="350" ht="15.75" customHeight="1" s="372"/>
    <row r="351" ht="15.75" customHeight="1" s="372"/>
    <row r="352" ht="15.75" customHeight="1" s="372"/>
    <row r="353" ht="15.75" customHeight="1" s="372"/>
    <row r="354" ht="15.75" customHeight="1" s="372"/>
    <row r="355" ht="15.75" customHeight="1" s="372"/>
    <row r="356" ht="15.75" customHeight="1" s="372"/>
    <row r="357" ht="15.75" customHeight="1" s="372"/>
    <row r="358" ht="15.75" customHeight="1" s="372"/>
    <row r="359" ht="15.75" customHeight="1" s="372"/>
    <row r="360" ht="15.75" customHeight="1" s="372"/>
    <row r="361" ht="15.75" customHeight="1" s="372"/>
    <row r="362" ht="15.75" customHeight="1" s="372"/>
    <row r="363" ht="15.75" customHeight="1" s="372"/>
    <row r="364" ht="15.75" customHeight="1" s="372"/>
    <row r="365" ht="15.75" customHeight="1" s="372"/>
    <row r="366" ht="15.75" customHeight="1" s="372"/>
    <row r="367" ht="15.75" customHeight="1" s="372"/>
    <row r="368" ht="15.75" customHeight="1" s="372"/>
    <row r="369" ht="15.75" customHeight="1" s="372"/>
    <row r="370" ht="15.75" customHeight="1" s="372"/>
    <row r="371" ht="15.75" customHeight="1" s="372"/>
    <row r="372" ht="15.75" customHeight="1" s="372"/>
    <row r="373" ht="15.75" customHeight="1" s="372"/>
    <row r="374" ht="15.75" customHeight="1" s="372"/>
    <row r="375" ht="15.75" customHeight="1" s="372"/>
    <row r="376" ht="15.75" customHeight="1" s="372"/>
    <row r="377" ht="15.75" customHeight="1" s="372"/>
    <row r="378" ht="15.75" customHeight="1" s="372"/>
    <row r="379" ht="15.75" customHeight="1" s="372"/>
    <row r="380" ht="15.75" customHeight="1" s="372"/>
    <row r="381" ht="15.75" customHeight="1" s="372"/>
    <row r="382" ht="15.75" customHeight="1" s="372"/>
    <row r="383" ht="15.75" customHeight="1" s="372"/>
    <row r="384" ht="15.75" customHeight="1" s="372"/>
    <row r="385" ht="15.75" customHeight="1" s="372"/>
    <row r="386" ht="15.75" customHeight="1" s="372"/>
    <row r="387" ht="15.75" customHeight="1" s="372"/>
    <row r="388" ht="15.75" customHeight="1" s="372"/>
    <row r="389" ht="15.75" customHeight="1" s="372"/>
    <row r="390" ht="15.75" customHeight="1" s="372"/>
    <row r="391" ht="15.75" customHeight="1" s="372"/>
    <row r="392" ht="15.75" customHeight="1" s="372"/>
    <row r="393" ht="15.75" customHeight="1" s="372"/>
    <row r="394" ht="15.75" customHeight="1" s="372"/>
    <row r="395" ht="15.75" customHeight="1" s="372"/>
    <row r="396" ht="15.75" customHeight="1" s="372"/>
    <row r="397" ht="15.75" customHeight="1" s="372"/>
    <row r="398" ht="15.75" customHeight="1" s="372"/>
    <row r="399" ht="15.75" customHeight="1" s="372"/>
    <row r="400" ht="15.75" customHeight="1" s="372"/>
    <row r="401" ht="15.75" customHeight="1" s="372"/>
    <row r="402" ht="15.75" customHeight="1" s="372"/>
    <row r="403" ht="15.75" customHeight="1" s="372"/>
    <row r="404" ht="15.75" customHeight="1" s="372"/>
    <row r="405" ht="15.75" customHeight="1" s="372"/>
    <row r="406" ht="15.75" customHeight="1" s="372"/>
    <row r="407" ht="15.75" customHeight="1" s="372"/>
    <row r="408" ht="15.75" customHeight="1" s="372"/>
    <row r="409" ht="15.75" customHeight="1" s="372"/>
    <row r="410" ht="15.75" customHeight="1" s="372"/>
    <row r="411" ht="15.75" customHeight="1" s="372"/>
    <row r="412" ht="15.75" customHeight="1" s="372"/>
    <row r="413" ht="15.75" customHeight="1" s="372"/>
    <row r="414" ht="15.75" customHeight="1" s="372"/>
    <row r="415" ht="15.75" customHeight="1" s="372"/>
    <row r="416" ht="15.75" customHeight="1" s="372"/>
    <row r="417" ht="15.75" customHeight="1" s="372"/>
    <row r="418" ht="15.75" customHeight="1" s="372"/>
    <row r="419" ht="15.75" customHeight="1" s="372"/>
    <row r="420" ht="15.75" customHeight="1" s="372"/>
    <row r="421" ht="15.75" customHeight="1" s="372"/>
    <row r="422" ht="15.75" customHeight="1" s="372"/>
    <row r="423" ht="15.75" customHeight="1" s="372"/>
    <row r="424" ht="15.75" customHeight="1" s="372"/>
    <row r="425" ht="15.75" customHeight="1" s="372"/>
    <row r="426" ht="15.75" customHeight="1" s="372"/>
    <row r="427" ht="15.75" customHeight="1" s="372"/>
    <row r="428" ht="15.75" customHeight="1" s="372"/>
    <row r="429" ht="15.75" customHeight="1" s="372"/>
    <row r="430" ht="15.75" customHeight="1" s="372"/>
    <row r="431" ht="15.75" customHeight="1" s="372"/>
    <row r="432" ht="15.75" customHeight="1" s="372"/>
    <row r="433" ht="15.75" customHeight="1" s="372"/>
    <row r="434" ht="15.75" customHeight="1" s="372"/>
    <row r="435" ht="15.75" customHeight="1" s="372"/>
    <row r="436" ht="15.75" customHeight="1" s="372"/>
    <row r="437" ht="15.75" customHeight="1" s="372"/>
    <row r="438" ht="15.75" customHeight="1" s="372"/>
    <row r="439" ht="15.75" customHeight="1" s="372"/>
    <row r="440" ht="15.75" customHeight="1" s="372"/>
    <row r="441" ht="15.75" customHeight="1" s="372"/>
    <row r="442" ht="15.75" customHeight="1" s="372"/>
    <row r="443" ht="15.75" customHeight="1" s="372"/>
    <row r="444" ht="15.75" customHeight="1" s="372"/>
    <row r="445" ht="15.75" customHeight="1" s="372"/>
    <row r="446" ht="15.75" customHeight="1" s="372"/>
    <row r="447" ht="15.75" customHeight="1" s="372"/>
    <row r="448" ht="15.75" customHeight="1" s="372"/>
    <row r="449" ht="15.75" customHeight="1" s="372"/>
    <row r="450" ht="15.75" customHeight="1" s="372"/>
    <row r="451" ht="15.75" customHeight="1" s="372"/>
    <row r="452" ht="15.75" customHeight="1" s="372"/>
    <row r="453" ht="15.75" customHeight="1" s="372"/>
    <row r="454" ht="15.75" customHeight="1" s="372"/>
    <row r="455" ht="15.75" customHeight="1" s="372"/>
    <row r="456" ht="15.75" customHeight="1" s="372"/>
    <row r="457" ht="15.75" customHeight="1" s="372"/>
    <row r="458" ht="15.75" customHeight="1" s="372"/>
    <row r="459" ht="15.75" customHeight="1" s="372"/>
    <row r="460" ht="15.75" customHeight="1" s="372"/>
    <row r="461" ht="15.75" customHeight="1" s="372"/>
    <row r="462" ht="15.75" customHeight="1" s="372"/>
    <row r="463" ht="15.75" customHeight="1" s="372"/>
    <row r="464" ht="15.75" customHeight="1" s="372"/>
    <row r="465" ht="15.75" customHeight="1" s="372"/>
    <row r="466" ht="15.75" customHeight="1" s="372"/>
    <row r="467" ht="15.75" customHeight="1" s="372"/>
    <row r="468" ht="15.75" customHeight="1" s="372"/>
    <row r="469" ht="15.75" customHeight="1" s="372"/>
    <row r="470" ht="15.75" customHeight="1" s="372"/>
    <row r="471" ht="15.75" customHeight="1" s="372"/>
    <row r="472" ht="15.75" customHeight="1" s="372"/>
    <row r="473" ht="15.75" customHeight="1" s="372"/>
    <row r="474" ht="15.75" customHeight="1" s="372"/>
    <row r="475" ht="15.75" customHeight="1" s="372"/>
    <row r="476" ht="15.75" customHeight="1" s="372"/>
    <row r="477" ht="15.75" customHeight="1" s="372"/>
    <row r="478" ht="15.75" customHeight="1" s="372"/>
    <row r="479" ht="15.75" customHeight="1" s="372"/>
    <row r="480" ht="15.75" customHeight="1" s="372"/>
    <row r="481" ht="15.75" customHeight="1" s="372"/>
    <row r="482" ht="15.75" customHeight="1" s="372"/>
    <row r="483" ht="15.75" customHeight="1" s="372"/>
    <row r="484" ht="15.75" customHeight="1" s="372"/>
    <row r="485" ht="15.75" customHeight="1" s="372"/>
    <row r="486" ht="15.75" customHeight="1" s="372"/>
    <row r="487" ht="15.75" customHeight="1" s="372"/>
    <row r="488" ht="15.75" customHeight="1" s="372"/>
    <row r="489" ht="15.75" customHeight="1" s="372"/>
    <row r="490" ht="15.75" customHeight="1" s="372"/>
    <row r="491" ht="15.75" customHeight="1" s="372"/>
    <row r="492" ht="15.75" customHeight="1" s="372"/>
    <row r="493" ht="15.75" customHeight="1" s="372"/>
    <row r="494" ht="15.75" customHeight="1" s="372"/>
    <row r="495" ht="15.75" customHeight="1" s="372"/>
    <row r="496" ht="15.75" customHeight="1" s="372"/>
    <row r="497" ht="15.75" customHeight="1" s="372"/>
    <row r="498" ht="15.75" customHeight="1" s="372"/>
    <row r="499" ht="15.75" customHeight="1" s="372"/>
    <row r="500" ht="15.75" customHeight="1" s="372"/>
    <row r="501" ht="15.75" customHeight="1" s="372"/>
    <row r="502" ht="15.75" customHeight="1" s="372"/>
    <row r="503" ht="15.75" customHeight="1" s="372"/>
    <row r="504" ht="15.75" customHeight="1" s="372"/>
    <row r="505" ht="15.75" customHeight="1" s="372"/>
    <row r="506" ht="15.75" customHeight="1" s="372"/>
    <row r="507" ht="15.75" customHeight="1" s="372"/>
    <row r="508" ht="15.75" customHeight="1" s="372"/>
    <row r="509" ht="15.75" customHeight="1" s="372"/>
    <row r="510" ht="15.75" customHeight="1" s="372"/>
    <row r="511" ht="15.75" customHeight="1" s="372"/>
    <row r="512" ht="15.75" customHeight="1" s="372"/>
    <row r="513" ht="15.75" customHeight="1" s="372"/>
    <row r="514" ht="15.75" customHeight="1" s="372"/>
    <row r="515" ht="15.75" customHeight="1" s="372"/>
    <row r="516" ht="15.75" customHeight="1" s="372"/>
    <row r="517" ht="15.75" customHeight="1" s="372"/>
    <row r="518" ht="15.75" customHeight="1" s="372"/>
    <row r="519" ht="15.75" customHeight="1" s="372"/>
    <row r="520" ht="15.75" customHeight="1" s="372"/>
    <row r="521" ht="15.75" customHeight="1" s="372"/>
    <row r="522" ht="15.75" customHeight="1" s="372"/>
    <row r="523" ht="15.75" customHeight="1" s="372"/>
    <row r="524" ht="15.75" customHeight="1" s="372"/>
    <row r="525" ht="15.75" customHeight="1" s="372"/>
    <row r="526" ht="15.75" customHeight="1" s="372"/>
    <row r="527" ht="15.75" customHeight="1" s="372"/>
    <row r="528" ht="15.75" customHeight="1" s="372"/>
    <row r="529" ht="15.75" customHeight="1" s="372"/>
    <row r="530" ht="15.75" customHeight="1" s="372"/>
    <row r="531" ht="15.75" customHeight="1" s="372"/>
    <row r="532" ht="15.75" customHeight="1" s="372"/>
    <row r="533" ht="15.75" customHeight="1" s="372"/>
    <row r="534" ht="15.75" customHeight="1" s="372"/>
    <row r="535" ht="15.75" customHeight="1" s="372"/>
    <row r="536" ht="15.75" customHeight="1" s="372"/>
    <row r="537" ht="15.75" customHeight="1" s="372"/>
    <row r="538" ht="15.75" customHeight="1" s="372"/>
    <row r="539" ht="15.75" customHeight="1" s="372"/>
    <row r="540" ht="15.75" customHeight="1" s="372"/>
    <row r="541" ht="15.75" customHeight="1" s="372"/>
    <row r="542" ht="15.75" customHeight="1" s="372"/>
    <row r="543" ht="15.75" customHeight="1" s="372"/>
    <row r="544" ht="15.75" customHeight="1" s="372"/>
    <row r="545" ht="15.75" customHeight="1" s="372"/>
    <row r="546" ht="15.75" customHeight="1" s="372"/>
    <row r="547" ht="15.75" customHeight="1" s="372"/>
    <row r="548" ht="15.75" customHeight="1" s="372"/>
    <row r="549" ht="15.75" customHeight="1" s="372"/>
    <row r="550" ht="15.75" customHeight="1" s="372"/>
    <row r="551" ht="15.75" customHeight="1" s="372"/>
    <row r="552" ht="15.75" customHeight="1" s="372"/>
    <row r="553" ht="15.75" customHeight="1" s="372"/>
    <row r="554" ht="15.75" customHeight="1" s="372"/>
    <row r="555" ht="15.75" customHeight="1" s="372"/>
    <row r="556" ht="15.75" customHeight="1" s="372"/>
    <row r="557" ht="15.75" customHeight="1" s="372"/>
    <row r="558" ht="15.75" customHeight="1" s="372"/>
    <row r="559" ht="15.75" customHeight="1" s="372"/>
    <row r="560" ht="15.75" customHeight="1" s="372"/>
    <row r="561" ht="15.75" customHeight="1" s="372"/>
    <row r="562" ht="15.75" customHeight="1" s="372"/>
    <row r="563" ht="15.75" customHeight="1" s="372"/>
    <row r="564" ht="15.75" customHeight="1" s="372"/>
    <row r="565" ht="15.75" customHeight="1" s="372"/>
    <row r="566" ht="15.75" customHeight="1" s="372"/>
    <row r="567" ht="15.75" customHeight="1" s="372"/>
    <row r="568" ht="15.75" customHeight="1" s="372"/>
    <row r="569" ht="15.75" customHeight="1" s="372"/>
    <row r="570" ht="15.75" customHeight="1" s="372"/>
    <row r="571" ht="15.75" customHeight="1" s="372"/>
    <row r="572" ht="15.75" customHeight="1" s="372"/>
    <row r="573" ht="15.75" customHeight="1" s="372"/>
    <row r="574" ht="15.75" customHeight="1" s="372"/>
    <row r="575" ht="15.75" customHeight="1" s="372"/>
    <row r="576" ht="15.75" customHeight="1" s="372"/>
    <row r="577" ht="15.75" customHeight="1" s="372"/>
    <row r="578" ht="15.75" customHeight="1" s="372"/>
    <row r="579" ht="15.75" customHeight="1" s="372"/>
    <row r="580" ht="15.75" customHeight="1" s="372"/>
    <row r="581" ht="15.75" customHeight="1" s="372"/>
    <row r="582" ht="15.75" customHeight="1" s="372"/>
    <row r="583" ht="15.75" customHeight="1" s="372"/>
    <row r="584" ht="15.75" customHeight="1" s="372"/>
    <row r="585" ht="15.75" customHeight="1" s="372"/>
    <row r="586" ht="15.75" customHeight="1" s="372"/>
    <row r="587" ht="15.75" customHeight="1" s="372"/>
    <row r="588" ht="15.75" customHeight="1" s="372"/>
    <row r="589" ht="15.75" customHeight="1" s="372"/>
    <row r="590" ht="15.75" customHeight="1" s="372"/>
    <row r="591" ht="15.75" customHeight="1" s="372"/>
    <row r="592" ht="15.75" customHeight="1" s="372"/>
    <row r="593" ht="15.75" customHeight="1" s="372"/>
    <row r="594" ht="15.75" customHeight="1" s="372"/>
    <row r="595" ht="15.75" customHeight="1" s="372"/>
    <row r="596" ht="15.75" customHeight="1" s="372"/>
    <row r="597" ht="15.75" customHeight="1" s="372"/>
    <row r="598" ht="15.75" customHeight="1" s="372"/>
    <row r="599" ht="15.75" customHeight="1" s="372"/>
    <row r="600" ht="15.75" customHeight="1" s="372"/>
    <row r="601" ht="15.75" customHeight="1" s="372"/>
    <row r="602" ht="15.75" customHeight="1" s="372"/>
    <row r="603" ht="15.75" customHeight="1" s="372"/>
    <row r="604" ht="15.75" customHeight="1" s="372"/>
    <row r="605" ht="15.75" customHeight="1" s="372"/>
    <row r="606" ht="15.75" customHeight="1" s="372"/>
    <row r="607" ht="15.75" customHeight="1" s="372"/>
    <row r="608" ht="15.75" customHeight="1" s="372"/>
    <row r="609" ht="15.75" customHeight="1" s="372"/>
    <row r="610" ht="15.75" customHeight="1" s="372"/>
    <row r="611" ht="15.75" customHeight="1" s="372"/>
    <row r="612" ht="15.75" customHeight="1" s="372"/>
    <row r="613" ht="15.75" customHeight="1" s="372"/>
    <row r="614" ht="15.75" customHeight="1" s="372"/>
    <row r="615" ht="15.75" customHeight="1" s="372"/>
    <row r="616" ht="15.75" customHeight="1" s="372"/>
    <row r="617" ht="15.75" customHeight="1" s="372"/>
    <row r="618" ht="15.75" customHeight="1" s="372"/>
    <row r="619" ht="15.75" customHeight="1" s="372"/>
    <row r="620" ht="15.75" customHeight="1" s="372"/>
    <row r="621" ht="15.75" customHeight="1" s="372"/>
    <row r="622" ht="15.75" customHeight="1" s="372"/>
    <row r="623" ht="15.75" customHeight="1" s="372"/>
    <row r="624" ht="15.75" customHeight="1" s="372"/>
    <row r="625" ht="15.75" customHeight="1" s="372"/>
    <row r="626" ht="15.75" customHeight="1" s="372"/>
    <row r="627" ht="15.75" customHeight="1" s="372"/>
    <row r="628" ht="15.75" customHeight="1" s="372"/>
    <row r="629" ht="15.75" customHeight="1" s="372"/>
    <row r="630" ht="15.75" customHeight="1" s="372"/>
    <row r="631" ht="15.75" customHeight="1" s="372"/>
    <row r="632" ht="15.75" customHeight="1" s="372"/>
    <row r="633" ht="15.75" customHeight="1" s="372"/>
    <row r="634" ht="15.75" customHeight="1" s="372"/>
    <row r="635" ht="15.75" customHeight="1" s="372"/>
    <row r="636" ht="15.75" customHeight="1" s="372"/>
    <row r="637" ht="15.75" customHeight="1" s="372"/>
    <row r="638" ht="15.75" customHeight="1" s="372"/>
    <row r="639" ht="15.75" customHeight="1" s="372"/>
    <row r="640" ht="15.75" customHeight="1" s="372"/>
    <row r="641" ht="15.75" customHeight="1" s="372"/>
    <row r="642" ht="15.75" customHeight="1" s="372"/>
    <row r="643" ht="15.75" customHeight="1" s="372"/>
    <row r="644" ht="15.75" customHeight="1" s="372"/>
    <row r="645" ht="15.75" customHeight="1" s="372"/>
    <row r="646" ht="15.75" customHeight="1" s="372"/>
    <row r="647" ht="15.75" customHeight="1" s="372"/>
    <row r="648" ht="15.75" customHeight="1" s="372"/>
    <row r="649" ht="15.75" customHeight="1" s="372"/>
    <row r="650" ht="15.75" customHeight="1" s="372"/>
    <row r="651" ht="15.75" customHeight="1" s="372"/>
    <row r="652" ht="15.75" customHeight="1" s="372"/>
    <row r="653" ht="15.75" customHeight="1" s="372"/>
    <row r="654" ht="15.75" customHeight="1" s="372"/>
    <row r="655" ht="15.75" customHeight="1" s="372"/>
    <row r="656" ht="15.75" customHeight="1" s="372"/>
    <row r="657" ht="15.75" customHeight="1" s="372"/>
    <row r="658" ht="15.75" customHeight="1" s="372"/>
    <row r="659" ht="15.75" customHeight="1" s="372"/>
    <row r="660" ht="15.75" customHeight="1" s="372"/>
    <row r="661" ht="15.75" customHeight="1" s="372"/>
    <row r="662" ht="15.75" customHeight="1" s="372"/>
    <row r="663" ht="15.75" customHeight="1" s="372"/>
    <row r="664" ht="15.75" customHeight="1" s="372"/>
    <row r="665" ht="15.75" customHeight="1" s="372"/>
    <row r="666" ht="15.75" customHeight="1" s="372"/>
    <row r="667" ht="15.75" customHeight="1" s="372"/>
    <row r="668" ht="15.75" customHeight="1" s="372"/>
    <row r="669" ht="15.75" customHeight="1" s="372"/>
    <row r="670" ht="15.75" customHeight="1" s="372"/>
    <row r="671" ht="15.75" customHeight="1" s="372"/>
    <row r="672" ht="15.75" customHeight="1" s="372"/>
    <row r="673" ht="15.75" customHeight="1" s="372"/>
    <row r="674" ht="15.75" customHeight="1" s="372"/>
    <row r="675" ht="15.75" customHeight="1" s="372"/>
    <row r="676" ht="15.75" customHeight="1" s="372"/>
    <row r="677" ht="15.75" customHeight="1" s="372"/>
    <row r="678" ht="15.75" customHeight="1" s="372"/>
    <row r="679" ht="15.75" customHeight="1" s="372"/>
    <row r="680" ht="15.75" customHeight="1" s="372"/>
    <row r="681" ht="15.75" customHeight="1" s="372"/>
    <row r="682" ht="15.75" customHeight="1" s="372"/>
    <row r="683" ht="15.75" customHeight="1" s="372"/>
    <row r="684" ht="15.75" customHeight="1" s="372"/>
    <row r="685" ht="15.75" customHeight="1" s="372"/>
    <row r="686" ht="15.75" customHeight="1" s="372"/>
    <row r="687" ht="15.75" customHeight="1" s="372"/>
    <row r="688" ht="15.75" customHeight="1" s="372"/>
    <row r="689" ht="15.75" customHeight="1" s="372"/>
    <row r="690" ht="15.75" customHeight="1" s="372"/>
    <row r="691" ht="15.75" customHeight="1" s="372"/>
    <row r="692" ht="15.75" customHeight="1" s="372"/>
    <row r="693" ht="15.75" customHeight="1" s="372"/>
    <row r="694" ht="15.75" customHeight="1" s="372"/>
    <row r="695" ht="15.75" customHeight="1" s="372"/>
    <row r="696" ht="15.75" customHeight="1" s="372"/>
    <row r="697" ht="15.75" customHeight="1" s="372"/>
    <row r="698" ht="15.75" customHeight="1" s="372"/>
    <row r="699" ht="15.75" customHeight="1" s="372"/>
    <row r="700" ht="15.75" customHeight="1" s="372"/>
    <row r="701" ht="15.75" customHeight="1" s="372"/>
    <row r="702" ht="15.75" customHeight="1" s="372"/>
    <row r="703" ht="15.75" customHeight="1" s="372"/>
    <row r="704" ht="15.75" customHeight="1" s="372"/>
    <row r="705" ht="15.75" customHeight="1" s="372"/>
    <row r="706" ht="15.75" customHeight="1" s="372"/>
    <row r="707" ht="15.75" customHeight="1" s="372"/>
    <row r="708" ht="15.75" customHeight="1" s="372"/>
    <row r="709" ht="15.75" customHeight="1" s="372"/>
    <row r="710" ht="15.75" customHeight="1" s="372"/>
    <row r="711" ht="15.75" customHeight="1" s="372"/>
    <row r="712" ht="15.75" customHeight="1" s="372"/>
    <row r="713" ht="15.75" customHeight="1" s="372"/>
    <row r="714" ht="15.75" customHeight="1" s="372"/>
    <row r="715" ht="15.75" customHeight="1" s="372"/>
    <row r="716" ht="15.75" customHeight="1" s="372"/>
    <row r="717" ht="15.75" customHeight="1" s="372"/>
    <row r="718" ht="15.75" customHeight="1" s="372"/>
    <row r="719" ht="15.75" customHeight="1" s="372"/>
    <row r="720" ht="15.75" customHeight="1" s="372"/>
    <row r="721" ht="15.75" customHeight="1" s="372"/>
    <row r="722" ht="15.75" customHeight="1" s="372"/>
    <row r="723" ht="15.75" customHeight="1" s="372"/>
    <row r="724" ht="15.75" customHeight="1" s="372"/>
    <row r="725" ht="15.75" customHeight="1" s="372"/>
    <row r="726" ht="15.75" customHeight="1" s="372"/>
    <row r="727" ht="15.75" customHeight="1" s="372"/>
    <row r="728" ht="15.75" customHeight="1" s="372"/>
    <row r="729" ht="15.75" customHeight="1" s="372"/>
    <row r="730" ht="15.75" customHeight="1" s="372"/>
    <row r="731" ht="15.75" customHeight="1" s="372"/>
    <row r="732" ht="15.75" customHeight="1" s="372"/>
    <row r="733" ht="15.75" customHeight="1" s="372"/>
    <row r="734" ht="15.75" customHeight="1" s="372"/>
    <row r="735" ht="15.75" customHeight="1" s="372"/>
    <row r="736" ht="15.75" customHeight="1" s="372"/>
    <row r="737" ht="15.75" customHeight="1" s="372"/>
    <row r="738" ht="15.75" customHeight="1" s="372"/>
    <row r="739" ht="15.75" customHeight="1" s="372"/>
    <row r="740" ht="15.75" customHeight="1" s="372"/>
    <row r="741" ht="15.75" customHeight="1" s="372"/>
    <row r="742" ht="15.75" customHeight="1" s="372"/>
    <row r="743" ht="15.75" customHeight="1" s="372"/>
    <row r="744" ht="15.75" customHeight="1" s="372"/>
    <row r="745" ht="15.75" customHeight="1" s="372"/>
    <row r="746" ht="15.75" customHeight="1" s="372"/>
    <row r="747" ht="15.75" customHeight="1" s="372"/>
    <row r="748" ht="15.75" customHeight="1" s="372"/>
    <row r="749" ht="15.75" customHeight="1" s="372"/>
    <row r="750" ht="15.75" customHeight="1" s="372"/>
    <row r="751" ht="15.75" customHeight="1" s="372"/>
    <row r="752" ht="15.75" customHeight="1" s="372"/>
    <row r="753" ht="15.75" customHeight="1" s="372"/>
    <row r="754" ht="15.75" customHeight="1" s="372"/>
    <row r="755" ht="15.75" customHeight="1" s="372"/>
    <row r="756" ht="15.75" customHeight="1" s="372"/>
    <row r="757" ht="15.75" customHeight="1" s="372"/>
    <row r="758" ht="15.75" customHeight="1" s="372"/>
    <row r="759" ht="15.75" customHeight="1" s="372"/>
    <row r="760" ht="15.75" customHeight="1" s="372"/>
    <row r="761" ht="15.75" customHeight="1" s="372"/>
    <row r="762" ht="15.75" customHeight="1" s="372"/>
    <row r="763" ht="15.75" customHeight="1" s="372"/>
    <row r="764" ht="15.75" customHeight="1" s="372"/>
    <row r="765" ht="15.75" customHeight="1" s="372"/>
    <row r="766" ht="15.75" customHeight="1" s="372"/>
    <row r="767" ht="15.75" customHeight="1" s="372"/>
    <row r="768" ht="15.75" customHeight="1" s="372"/>
    <row r="769" ht="15.75" customHeight="1" s="372"/>
    <row r="770" ht="15.75" customHeight="1" s="372"/>
    <row r="771" ht="15.75" customHeight="1" s="372"/>
    <row r="772" ht="15.75" customHeight="1" s="372"/>
    <row r="773" ht="15.75" customHeight="1" s="372"/>
    <row r="774" ht="15.75" customHeight="1" s="372"/>
    <row r="775" ht="15.75" customHeight="1" s="372"/>
    <row r="776" ht="15.75" customHeight="1" s="372"/>
    <row r="777" ht="15.75" customHeight="1" s="372"/>
    <row r="778" ht="15.75" customHeight="1" s="372"/>
    <row r="779" ht="15.75" customHeight="1" s="372"/>
    <row r="780" ht="15.75" customHeight="1" s="372"/>
    <row r="781" ht="15.75" customHeight="1" s="372"/>
    <row r="782" ht="15.75" customHeight="1" s="372"/>
    <row r="783" ht="15.75" customHeight="1" s="372"/>
    <row r="784" ht="15.75" customHeight="1" s="372"/>
    <row r="785" ht="15.75" customHeight="1" s="372"/>
    <row r="786" ht="15.75" customHeight="1" s="372"/>
    <row r="787" ht="15.75" customHeight="1" s="372"/>
    <row r="788" ht="15.75" customHeight="1" s="372"/>
    <row r="789" ht="15.75" customHeight="1" s="372"/>
    <row r="790" ht="15.75" customHeight="1" s="372"/>
    <row r="791" ht="15.75" customHeight="1" s="372"/>
    <row r="792" ht="15.75" customHeight="1" s="372"/>
    <row r="793" ht="15.75" customHeight="1" s="372"/>
    <row r="794" ht="15.75" customHeight="1" s="372"/>
    <row r="795" ht="15.75" customHeight="1" s="372"/>
    <row r="796" ht="15.75" customHeight="1" s="372"/>
    <row r="797" ht="15.75" customHeight="1" s="372"/>
    <row r="798" ht="15.75" customHeight="1" s="372"/>
    <row r="799" ht="15.75" customHeight="1" s="372"/>
    <row r="800" ht="15.75" customHeight="1" s="372"/>
    <row r="801" ht="15.75" customHeight="1" s="372"/>
    <row r="802" ht="15.75" customHeight="1" s="372"/>
    <row r="803" ht="15.75" customHeight="1" s="372"/>
    <row r="804" ht="15.75" customHeight="1" s="372"/>
    <row r="805" ht="15.75" customHeight="1" s="372"/>
    <row r="806" ht="15.75" customHeight="1" s="372"/>
    <row r="807" ht="15.75" customHeight="1" s="372"/>
    <row r="808" ht="15.75" customHeight="1" s="372"/>
    <row r="809" ht="15.75" customHeight="1" s="372"/>
    <row r="810" ht="15.75" customHeight="1" s="372"/>
    <row r="811" ht="15.75" customHeight="1" s="372"/>
    <row r="812" ht="15.75" customHeight="1" s="372"/>
    <row r="813" ht="15.75" customHeight="1" s="372"/>
    <row r="814" ht="15.75" customHeight="1" s="372"/>
    <row r="815" ht="15.75" customHeight="1" s="372"/>
    <row r="816" ht="15.75" customHeight="1" s="372"/>
    <row r="817" ht="15.75" customHeight="1" s="372"/>
    <row r="818" ht="15.75" customHeight="1" s="372"/>
    <row r="819" ht="15.75" customHeight="1" s="372"/>
    <row r="820" ht="15.75" customHeight="1" s="372"/>
    <row r="821" ht="15.75" customHeight="1" s="372"/>
    <row r="822" ht="15.75" customHeight="1" s="372"/>
    <row r="823" ht="15.75" customHeight="1" s="372"/>
    <row r="824" ht="15.75" customHeight="1" s="372"/>
    <row r="825" ht="15.75" customHeight="1" s="372"/>
    <row r="826" ht="15.75" customHeight="1" s="372"/>
    <row r="827" ht="15.75" customHeight="1" s="372"/>
    <row r="828" ht="15.75" customHeight="1" s="372"/>
    <row r="829" ht="15.75" customHeight="1" s="372"/>
    <row r="830" ht="15.75" customHeight="1" s="372"/>
    <row r="831" ht="15.75" customHeight="1" s="372"/>
    <row r="832" ht="15.75" customHeight="1" s="372"/>
    <row r="833" ht="15.75" customHeight="1" s="372"/>
    <row r="834" ht="15.75" customHeight="1" s="372"/>
    <row r="835" ht="15.75" customHeight="1" s="372"/>
    <row r="836" ht="15.75" customHeight="1" s="372"/>
    <row r="837" ht="15.75" customHeight="1" s="372"/>
    <row r="838" ht="15.75" customHeight="1" s="372"/>
    <row r="839" ht="15.75" customHeight="1" s="372"/>
    <row r="840" ht="15.75" customHeight="1" s="372"/>
    <row r="841" ht="15.75" customHeight="1" s="372"/>
    <row r="842" ht="15.75" customHeight="1" s="372"/>
    <row r="843" ht="15.75" customHeight="1" s="372"/>
    <row r="844" ht="15.75" customHeight="1" s="372"/>
    <row r="845" ht="15.75" customHeight="1" s="372"/>
    <row r="846" ht="15.75" customHeight="1" s="372"/>
    <row r="847" ht="15.75" customHeight="1" s="372"/>
    <row r="848" ht="15.75" customHeight="1" s="372"/>
    <row r="849" ht="15.75" customHeight="1" s="372"/>
    <row r="850" ht="15.75" customHeight="1" s="372"/>
    <row r="851" ht="15.75" customHeight="1" s="372"/>
    <row r="852" ht="15.75" customHeight="1" s="372"/>
    <row r="853" ht="15.75" customHeight="1" s="372"/>
    <row r="854" ht="15.75" customHeight="1" s="372"/>
    <row r="855" ht="15.75" customHeight="1" s="372"/>
    <row r="856" ht="15.75" customHeight="1" s="372"/>
    <row r="857" ht="15.75" customHeight="1" s="372"/>
    <row r="858" ht="15.75" customHeight="1" s="372"/>
    <row r="859" ht="15.75" customHeight="1" s="372"/>
    <row r="860" ht="15.75" customHeight="1" s="372"/>
    <row r="861" ht="15.75" customHeight="1" s="372"/>
    <row r="862" ht="15.75" customHeight="1" s="372"/>
    <row r="863" ht="15.75" customHeight="1" s="372"/>
    <row r="864" ht="15.75" customHeight="1" s="372"/>
    <row r="865" ht="15.75" customHeight="1" s="372"/>
    <row r="866" ht="15.75" customHeight="1" s="372"/>
    <row r="867" ht="15.75" customHeight="1" s="372"/>
    <row r="868" ht="15.75" customHeight="1" s="372"/>
    <row r="869" ht="15.75" customHeight="1" s="372"/>
    <row r="870" ht="15.75" customHeight="1" s="372"/>
    <row r="871" ht="15.75" customHeight="1" s="372"/>
    <row r="872" ht="15.75" customHeight="1" s="372"/>
    <row r="873" ht="15.75" customHeight="1" s="372"/>
    <row r="874" ht="15.75" customHeight="1" s="372"/>
    <row r="875" ht="15.75" customHeight="1" s="372"/>
    <row r="876" ht="15.75" customHeight="1" s="372"/>
    <row r="877" ht="15.75" customHeight="1" s="372"/>
    <row r="878" ht="15.75" customHeight="1" s="372"/>
    <row r="879" ht="15.75" customHeight="1" s="372"/>
    <row r="880" ht="15.75" customHeight="1" s="372"/>
    <row r="881" ht="15.75" customHeight="1" s="372"/>
    <row r="882" ht="15.75" customHeight="1" s="372"/>
    <row r="883" ht="15.75" customHeight="1" s="372"/>
    <row r="884" ht="15.75" customHeight="1" s="372"/>
    <row r="885" ht="15.75" customHeight="1" s="372"/>
    <row r="886" ht="15.75" customHeight="1" s="372"/>
    <row r="887" ht="15.75" customHeight="1" s="372"/>
    <row r="888" ht="15.75" customHeight="1" s="372"/>
    <row r="889" ht="15.75" customHeight="1" s="372"/>
    <row r="890" ht="15.75" customHeight="1" s="372"/>
    <row r="891" ht="15.75" customHeight="1" s="372"/>
    <row r="892" ht="15.75" customHeight="1" s="372"/>
    <row r="893" ht="15.75" customHeight="1" s="372"/>
    <row r="894" ht="15.75" customHeight="1" s="372"/>
    <row r="895" ht="15.75" customHeight="1" s="372"/>
    <row r="896" ht="15.75" customHeight="1" s="372"/>
    <row r="897" ht="15.75" customHeight="1" s="372"/>
    <row r="898" ht="15.75" customHeight="1" s="372"/>
    <row r="899" ht="15.75" customHeight="1" s="372"/>
    <row r="900" ht="15.75" customHeight="1" s="372"/>
    <row r="901" ht="15.75" customHeight="1" s="372"/>
    <row r="902" ht="15.75" customHeight="1" s="372"/>
    <row r="903" ht="15.75" customHeight="1" s="372"/>
    <row r="904" ht="15.75" customHeight="1" s="372"/>
    <row r="905" ht="15.75" customHeight="1" s="372"/>
    <row r="906" ht="15.75" customHeight="1" s="372"/>
    <row r="907" ht="15.75" customHeight="1" s="372"/>
    <row r="908" ht="15.75" customHeight="1" s="372"/>
    <row r="909" ht="15.75" customHeight="1" s="372"/>
    <row r="910" ht="15.75" customHeight="1" s="372"/>
    <row r="911" ht="15.75" customHeight="1" s="372"/>
    <row r="912" ht="15.75" customHeight="1" s="372"/>
    <row r="913" ht="15.75" customHeight="1" s="372"/>
    <row r="914" ht="15.75" customHeight="1" s="372"/>
    <row r="915" ht="15.75" customHeight="1" s="372"/>
    <row r="916" ht="15.75" customHeight="1" s="372"/>
    <row r="917" ht="15.75" customHeight="1" s="372"/>
    <row r="918" ht="15.75" customHeight="1" s="372"/>
    <row r="919" ht="15.75" customHeight="1" s="372"/>
    <row r="920" ht="15.75" customHeight="1" s="372"/>
    <row r="921" ht="15.75" customHeight="1" s="372"/>
    <row r="922" ht="15.75" customHeight="1" s="372"/>
    <row r="923" ht="15.75" customHeight="1" s="372"/>
    <row r="924" ht="15.75" customHeight="1" s="372"/>
    <row r="925" ht="15.75" customHeight="1" s="372"/>
    <row r="926" ht="15.75" customHeight="1" s="372"/>
    <row r="927" ht="15.75" customHeight="1" s="372"/>
    <row r="928" ht="15.75" customHeight="1" s="372"/>
    <row r="929" ht="15.75" customHeight="1" s="372"/>
    <row r="930" ht="15.75" customHeight="1" s="372"/>
    <row r="931" ht="15.75" customHeight="1" s="372"/>
    <row r="932" ht="15.75" customHeight="1" s="372"/>
    <row r="933" ht="15.75" customHeight="1" s="372"/>
    <row r="934" ht="15.75" customHeight="1" s="372"/>
    <row r="935" ht="15.75" customHeight="1" s="372"/>
    <row r="936" ht="15.75" customHeight="1" s="372"/>
    <row r="937" ht="15.75" customHeight="1" s="372"/>
    <row r="938" ht="15.75" customHeight="1" s="372"/>
    <row r="939" ht="15.75" customHeight="1" s="372"/>
    <row r="940" ht="15.75" customHeight="1" s="372"/>
    <row r="941" ht="15.75" customHeight="1" s="372"/>
    <row r="942" ht="15.75" customHeight="1" s="372"/>
    <row r="943" ht="15.75" customHeight="1" s="372"/>
    <row r="944" ht="15.75" customHeight="1" s="372"/>
    <row r="945" ht="15.75" customHeight="1" s="372"/>
    <row r="946" ht="15.75" customHeight="1" s="372"/>
    <row r="947" ht="15.75" customHeight="1" s="372"/>
    <row r="948" ht="15.75" customHeight="1" s="372"/>
    <row r="949" ht="15.75" customHeight="1" s="372"/>
    <row r="950" ht="15.75" customHeight="1" s="372"/>
    <row r="951" ht="15.75" customHeight="1" s="372"/>
    <row r="952" ht="15.75" customHeight="1" s="372"/>
    <row r="953" ht="15.75" customHeight="1" s="372"/>
    <row r="954" ht="15.75" customHeight="1" s="372"/>
    <row r="955" ht="15.75" customHeight="1" s="372"/>
    <row r="956" ht="15.75" customHeight="1" s="372"/>
    <row r="957" ht="15.75" customHeight="1" s="372"/>
    <row r="958" ht="15.75" customHeight="1" s="372"/>
    <row r="959" ht="15.75" customHeight="1" s="372"/>
    <row r="960" ht="15.75" customHeight="1" s="372"/>
    <row r="961" ht="15.75" customHeight="1" s="372"/>
    <row r="962" ht="15.75" customHeight="1" s="372"/>
    <row r="963" ht="15.75" customHeight="1" s="372"/>
    <row r="964" ht="15.75" customHeight="1" s="372"/>
    <row r="965" ht="15.75" customHeight="1" s="372"/>
    <row r="966" ht="15.75" customHeight="1" s="372"/>
    <row r="967" ht="15.75" customHeight="1" s="372"/>
    <row r="968" ht="15.75" customHeight="1" s="372"/>
    <row r="969" ht="15.75" customHeight="1" s="372"/>
    <row r="970" ht="15.75" customHeight="1" s="372"/>
    <row r="971" ht="15.75" customHeight="1" s="372"/>
    <row r="972" ht="15.75" customHeight="1" s="372"/>
    <row r="973" ht="15.75" customHeight="1" s="372"/>
    <row r="974" ht="15.75" customHeight="1" s="372"/>
    <row r="975" ht="15.75" customHeight="1" s="372"/>
    <row r="976" ht="15.75" customHeight="1" s="372"/>
    <row r="977" ht="15.75" customHeight="1" s="372"/>
    <row r="978" ht="15.75" customHeight="1" s="372"/>
    <row r="979" ht="15.75" customHeight="1" s="372"/>
    <row r="980" ht="15.75" customHeight="1" s="372"/>
    <row r="981" ht="15.75" customHeight="1" s="372"/>
    <row r="982" ht="15.75" customHeight="1" s="372"/>
    <row r="983" ht="15.75" customHeight="1" s="372"/>
    <row r="984" ht="15.75" customHeight="1" s="372"/>
    <row r="985" ht="15.75" customHeight="1" s="372"/>
    <row r="986" ht="15.75" customHeight="1" s="372"/>
    <row r="987" ht="15.75" customHeight="1" s="372"/>
    <row r="988" ht="15.75" customHeight="1" s="372"/>
    <row r="989" ht="15.75" customHeight="1" s="372"/>
    <row r="990" ht="15.75" customHeight="1" s="372"/>
    <row r="991" ht="15.75" customHeight="1" s="372"/>
    <row r="992" ht="15.75" customHeight="1" s="372"/>
    <row r="993" ht="15.75" customHeight="1" s="372"/>
    <row r="994" ht="15.75" customHeight="1" s="372"/>
    <row r="995" ht="15.75" customHeight="1" s="372"/>
    <row r="996" ht="15.75" customHeight="1" s="372"/>
    <row r="997" ht="15.75" customHeight="1" s="372"/>
    <row r="998" ht="15.75" customHeight="1" s="372"/>
    <row r="999" ht="15.75" customHeight="1" s="372"/>
    <row r="1000" ht="15.75" customHeight="1" s="372"/>
  </sheetData>
  <mergeCells count="7">
    <mergeCell ref="A8:D8"/>
    <mergeCell ref="H2:I2"/>
    <mergeCell ref="A1:M1"/>
    <mergeCell ref="E2:F2"/>
    <mergeCell ref="A2:D2"/>
    <mergeCell ref="A3:F3"/>
    <mergeCell ref="E8:F8"/>
  </mergeCells>
  <dataValidations count="3">
    <dataValidation sqref="D6:D7 D9:D29" showDropDown="0" showInputMessage="0" showErrorMessage="0" allowBlank="1" type="list">
      <formula1>"Observer,Participant,Leader"</formula1>
    </dataValidation>
    <dataValidation sqref="C6:C7 C9:C29" showDropDown="0" showInputMessage="0" showErrorMessage="0" allowBlank="1" type="list">
      <formula1>"Elementary,Middle,High,Central Office,Agency,Other"</formula1>
    </dataValidation>
    <dataValidation sqref="O6 O7 O9 O10 O11 O12 O13 O14 O15 O16 O17 O18 O19 O20 O21 O22 O23 O24 O25 O26 O27 O28" showDropDown="0" showInputMessage="1" showErrorMessage="0" allowBlank="1" promptTitle="Completed" prompt="Choose Yes once you have finished this experience." type="list">
      <formula1>"Yes"</formula1>
    </dataValidation>
  </dataValidations>
  <pageMargins left="0.75" right="0.75" top="1" bottom="1" header="0" footer="0"/>
  <pageSetup orientation="portrait" paperSize="9"/>
  <legacyDrawing xmlns:r="http://schemas.openxmlformats.org/officeDocument/2006/relationships" r:id="anysvml"/>
</worksheet>
</file>

<file path=xl/worksheets/sheet6.xml><?xml version="1.0" encoding="utf-8"?>
<worksheet xmlns="http://schemas.openxmlformats.org/spreadsheetml/2006/main">
  <sheetPr>
    <tabColor rgb="FF9900FF"/>
    <outlinePr summaryBelow="1" summaryRight="1"/>
    <pageSetUpPr/>
  </sheetPr>
  <dimension ref="A1:Z32"/>
  <sheetViews>
    <sheetView workbookViewId="0">
      <pane ySplit="5" topLeftCell="A6" activePane="bottomLeft" state="frozen"/>
      <selection pane="bottomLeft" activeCell="B7" sqref="B7"/>
    </sheetView>
  </sheetViews>
  <sheetFormatPr baseColWidth="8" defaultColWidth="14.43" defaultRowHeight="15" customHeight="1"/>
  <cols>
    <col width="12" customWidth="1" style="372" min="1" max="2"/>
    <col width="14" customWidth="1" style="372" min="3" max="3"/>
    <col width="10" customWidth="1" style="372" min="4" max="4"/>
    <col width="55" customWidth="1" style="372" min="5" max="5"/>
    <col width="8" customWidth="1" style="372" min="6" max="6"/>
    <col width="5" customWidth="1" style="372" min="7" max="12"/>
    <col width="28" customWidth="1" style="372" min="13" max="13"/>
    <col width="29.71" customWidth="1" style="372" min="14" max="14"/>
    <col width="12" customWidth="1" style="372" min="15" max="26"/>
  </cols>
  <sheetData>
    <row r="1" ht="39.75" customHeight="1" s="372">
      <c r="A1" s="157" t="inlineStr">
        <is>
          <t>INTERNSHIP LOG  |  7810 – School Law &amp; Policy  |  Semester 3</t>
        </is>
      </c>
    </row>
    <row r="2" ht="36" customHeight="1" s="372">
      <c r="A2" s="19" t="inlineStr">
        <is>
          <t>Name: Pat Example      Placement(s): Invented Elementary</t>
        </is>
      </c>
      <c r="B2" s="373" t="n"/>
      <c r="C2" s="373" t="n"/>
      <c r="D2" s="373" t="n"/>
      <c r="E2" s="21" t="inlineStr">
        <is>
          <t>Total Hours Logged</t>
        </is>
      </c>
      <c r="F2" s="373" t="n"/>
      <c r="G2" s="22">
        <f>SUM(F6:F200)</f>
        <v/>
      </c>
      <c r="H2" s="23" t="inlineStr">
        <is>
          <t>Remaining</t>
        </is>
      </c>
      <c r="I2" s="373" t="n"/>
      <c r="J2" s="24">
        <f>(32-G2)</f>
        <v/>
      </c>
    </row>
    <row r="3" ht="19.5" customHeight="1" s="372">
      <c r="A3" s="25" t="inlineStr">
        <is>
          <t>Hours by Competency (auto-calculated from your X marks below):</t>
        </is>
      </c>
      <c r="G3" s="26">
        <f>SUMIF($G$6:$G$200,"X",$F$6:$F$200)</f>
        <v/>
      </c>
      <c r="H3" s="27">
        <f>SUMIF($H$6:$H$200,"X",$F$6:$F$200)</f>
        <v/>
      </c>
      <c r="I3" s="28">
        <f>SUMIF($I$6:$I$200,"X",$F$6:$F$200)</f>
        <v/>
      </c>
      <c r="J3" s="29">
        <f>SUMIF($J$6:$J$200,"X",$F$6:$F$200)</f>
        <v/>
      </c>
      <c r="K3" s="30">
        <f>SUMIF($K$6:$K$200,"X",$F$6:$F$200)</f>
        <v/>
      </c>
      <c r="L3" s="31">
        <f>SUMIF($L$6:$L$200,"X",$F$6:$F$200)</f>
        <v/>
      </c>
      <c r="M3" s="32" t="inlineStr">
        <is>
          <t>← Competency hour totals</t>
        </is>
      </c>
    </row>
    <row r="4" ht="6" customHeight="1" s="372"/>
    <row r="5" ht="31.5" customHeight="1" s="372">
      <c r="A5" s="33" t="inlineStr">
        <is>
          <t>Type</t>
        </is>
      </c>
      <c r="B5" s="33" t="inlineStr">
        <is>
          <t>Date</t>
        </is>
      </c>
      <c r="C5" s="33" t="inlineStr">
        <is>
          <t>Location</t>
        </is>
      </c>
      <c r="D5" s="33" t="inlineStr">
        <is>
          <t>Role</t>
        </is>
      </c>
      <c r="E5" s="33" t="inlineStr">
        <is>
          <t>Experience Description</t>
        </is>
      </c>
      <c r="F5" s="33" t="inlineStr">
        <is>
          <t>Hrs</t>
        </is>
      </c>
      <c r="G5" s="34" t="inlineStr">
        <is>
          <t>①</t>
        </is>
      </c>
      <c r="H5" s="35" t="inlineStr">
        <is>
          <t>②</t>
        </is>
      </c>
      <c r="I5" s="36" t="inlineStr">
        <is>
          <t>③</t>
        </is>
      </c>
      <c r="J5" s="37" t="inlineStr">
        <is>
          <t>④</t>
        </is>
      </c>
      <c r="K5" s="38" t="inlineStr">
        <is>
          <t>⑤</t>
        </is>
      </c>
      <c r="L5" s="39" t="inlineStr">
        <is>
          <t>⑥</t>
        </is>
      </c>
      <c r="M5" s="33" t="inlineStr">
        <is>
          <t>Evidence / Notes</t>
        </is>
      </c>
      <c r="N5" s="40" t="inlineStr">
        <is>
          <t>Site name</t>
        </is>
      </c>
      <c r="O5" s="40" t="inlineStr">
        <is>
          <t>Completed</t>
        </is>
      </c>
    </row>
    <row r="6" ht="49.5" customHeight="1" s="372">
      <c r="A6" s="41" t="inlineStr">
        <is>
          <t>EMBEDDED</t>
        </is>
      </c>
      <c r="B6" s="158" t="n"/>
      <c r="C6" s="43" t="inlineStr">
        <is>
          <t>Main Site</t>
        </is>
      </c>
      <c r="D6" s="44" t="n"/>
      <c r="E6" s="45" t="inlineStr">
        <is>
          <t>Embedded Experience: Contemporary Issues: Planning and Debate: Select a contemporary educational law or policy issue. Research both sides, develop a position paper, and participate in a structured debate.</t>
        </is>
      </c>
      <c r="F6" s="46" t="n">
        <v>10</v>
      </c>
      <c r="G6" s="47" t="n"/>
      <c r="H6" s="48" t="n"/>
      <c r="I6" s="49" t="n"/>
      <c r="J6" s="160" t="n"/>
      <c r="K6" s="51" t="n"/>
      <c r="L6" s="163" t="inlineStr">
        <is>
          <t>X</t>
        </is>
      </c>
      <c r="M6" s="53" t="inlineStr">
        <is>
          <t>Submit: Assignment</t>
        </is>
      </c>
      <c r="N6" s="54" t="n"/>
      <c r="O6" s="54" t="n"/>
      <c r="P6" s="54" t="n"/>
      <c r="Q6" s="54" t="n"/>
      <c r="R6" s="54" t="n"/>
      <c r="S6" s="54" t="n"/>
      <c r="T6" s="54" t="n"/>
      <c r="U6" s="54" t="n"/>
      <c r="V6" s="54" t="n"/>
      <c r="W6" s="54" t="n"/>
      <c r="X6" s="54" t="n"/>
      <c r="Y6" s="54" t="n"/>
      <c r="Z6" s="54" t="n"/>
    </row>
    <row r="7" ht="45" customHeight="1" s="372">
      <c r="A7" s="55" t="inlineStr">
        <is>
          <t>ALIGNED</t>
        </is>
      </c>
      <c r="B7" s="56" t="n"/>
      <c r="C7" s="57" t="n"/>
      <c r="D7" s="57" t="n"/>
      <c r="E7" s="75" t="inlineStr">
        <is>
          <t>Aligned Experience: Attend a School Board Meeting to Observe Policy Development: Observe how school board members discuss and vote on policy issues.</t>
        </is>
      </c>
      <c r="F7" s="59" t="n">
        <v>5</v>
      </c>
      <c r="G7" s="47" t="n"/>
      <c r="H7" s="48" t="n"/>
      <c r="I7" s="49" t="n"/>
      <c r="J7" s="160" t="n"/>
      <c r="K7" s="51" t="n"/>
      <c r="L7" s="163" t="inlineStr">
        <is>
          <t>X</t>
        </is>
      </c>
      <c r="M7" s="60" t="inlineStr">
        <is>
          <t>Submit: Competency Journal 6</t>
        </is>
      </c>
      <c r="N7" s="54" t="n"/>
      <c r="O7" s="54" t="n"/>
      <c r="P7" s="54" t="n"/>
      <c r="Q7" s="54" t="n"/>
      <c r="R7" s="54" t="n"/>
      <c r="S7" s="54" t="n"/>
      <c r="T7" s="54" t="n"/>
      <c r="U7" s="54" t="n"/>
      <c r="V7" s="54" t="n"/>
      <c r="W7" s="54" t="n"/>
      <c r="X7" s="54" t="n"/>
      <c r="Y7" s="54" t="n"/>
      <c r="Z7" s="54" t="n"/>
    </row>
    <row r="8" ht="45" customHeight="1" s="372">
      <c r="A8" s="55" t="inlineStr">
        <is>
          <t>ALIGNED</t>
        </is>
      </c>
      <c r="B8" s="56" t="n"/>
      <c r="C8" s="57" t="n"/>
      <c r="D8" s="57" t="n"/>
      <c r="E8" s="75" t="inlineStr">
        <is>
          <t>Aligned Experience: Shadow an Administrator During a Disciplinary Hearing: Observe the processes and legal considerations involved in a student disciplinary hearing.</t>
        </is>
      </c>
      <c r="F8" s="59" t="n">
        <v>5</v>
      </c>
      <c r="G8" s="47" t="n"/>
      <c r="H8" s="48" t="n"/>
      <c r="I8" s="49" t="n"/>
      <c r="J8" s="160" t="n"/>
      <c r="K8" s="162" t="inlineStr">
        <is>
          <t>X</t>
        </is>
      </c>
      <c r="L8" s="52" t="n"/>
      <c r="M8" s="60" t="inlineStr">
        <is>
          <t>Submit: Observation Notes</t>
        </is>
      </c>
      <c r="N8" s="54" t="n"/>
      <c r="O8" s="54" t="n"/>
      <c r="P8" s="54" t="n"/>
      <c r="Q8" s="54" t="n"/>
      <c r="R8" s="54" t="n"/>
      <c r="S8" s="54" t="n"/>
      <c r="T8" s="54" t="n"/>
      <c r="U8" s="54" t="n"/>
      <c r="V8" s="54" t="n"/>
      <c r="W8" s="54" t="n"/>
      <c r="X8" s="54" t="n"/>
      <c r="Y8" s="54" t="n"/>
      <c r="Z8" s="54" t="n"/>
    </row>
    <row r="9" ht="27.75" customHeight="1" s="372">
      <c r="A9" s="374" t="inlineStr">
        <is>
          <t>⭐  CHOICE HOURS  —  12 hours needed this semester</t>
        </is>
      </c>
      <c r="B9" s="375" t="n"/>
      <c r="C9" s="375" t="n"/>
      <c r="D9" s="376" t="n"/>
      <c r="E9" s="377">
        <f>IF(SUMIF(A10:A59,"CHOICE",F10:F59)&gt;=12,"✅ Choice Hours Met!","⚠ Still need: "&amp;(12-SUMIF(A10:A59,"CHOICE",F10:F59))&amp;" more hours")</f>
        <v/>
      </c>
      <c r="F9" s="376" t="n"/>
      <c r="G9" s="65" t="inlineStr">
        <is>
          <t>1. I</t>
        </is>
      </c>
      <c r="H9" s="66" t="inlineStr">
        <is>
          <t>2. O</t>
        </is>
      </c>
      <c r="I9" s="67" t="inlineStr">
        <is>
          <t>3. O</t>
        </is>
      </c>
      <c r="J9" s="68" t="inlineStr">
        <is>
          <t>4. S</t>
        </is>
      </c>
      <c r="K9" s="69" t="inlineStr">
        <is>
          <t>5. P</t>
        </is>
      </c>
      <c r="L9" s="70" t="inlineStr">
        <is>
          <t>6. A</t>
        </is>
      </c>
      <c r="M9" s="71" t="inlineStr">
        <is>
          <t>No evidence required for choice hours</t>
        </is>
      </c>
      <c r="N9" s="54" t="n"/>
      <c r="O9" s="54" t="n"/>
      <c r="P9" s="54" t="n"/>
      <c r="Q9" s="54" t="n"/>
      <c r="R9" s="54" t="n"/>
      <c r="S9" s="54" t="n"/>
      <c r="T9" s="54" t="n"/>
      <c r="U9" s="54" t="n"/>
      <c r="V9" s="54" t="n"/>
      <c r="W9" s="54" t="n"/>
      <c r="X9" s="54" t="n"/>
      <c r="Y9" s="54" t="n"/>
      <c r="Z9" s="54" t="n"/>
    </row>
    <row r="10" ht="34.5" customHeight="1" s="372">
      <c r="A10" s="72" t="inlineStr">
        <is>
          <t>CHOICE</t>
        </is>
      </c>
      <c r="B10" s="87" t="n"/>
      <c r="C10" s="87" t="n"/>
      <c r="D10" s="87" t="n"/>
      <c r="E10" s="152" t="n"/>
      <c r="F10" s="153" t="n"/>
      <c r="G10" s="84" t="n"/>
      <c r="H10" s="154" t="n"/>
      <c r="I10" s="85" t="n"/>
      <c r="J10" s="80" t="n"/>
      <c r="K10" s="81" t="n"/>
      <c r="L10" s="82" t="n"/>
      <c r="M10" s="87" t="n"/>
      <c r="N10" s="54" t="n"/>
      <c r="O10" s="54" t="n"/>
      <c r="P10" s="54" t="n"/>
      <c r="Q10" s="54" t="n"/>
      <c r="R10" s="54" t="n"/>
      <c r="S10" s="54" t="n"/>
      <c r="T10" s="54" t="n"/>
      <c r="U10" s="54" t="n"/>
      <c r="V10" s="54" t="n"/>
      <c r="W10" s="54" t="n"/>
      <c r="X10" s="54" t="n"/>
      <c r="Y10" s="54" t="n"/>
      <c r="Z10" s="54" t="n"/>
    </row>
    <row r="11" ht="34.5" customHeight="1" s="372">
      <c r="A11" s="72" t="inlineStr">
        <is>
          <t>CHOICE</t>
        </is>
      </c>
      <c r="B11" s="87" t="n"/>
      <c r="C11" s="87" t="n"/>
      <c r="D11" s="87" t="n"/>
      <c r="E11" s="152" t="n"/>
      <c r="F11" s="153" t="n"/>
      <c r="G11" s="84" t="n"/>
      <c r="H11" s="154" t="n"/>
      <c r="I11" s="85" t="n"/>
      <c r="J11" s="80" t="n"/>
      <c r="K11" s="81" t="n"/>
      <c r="L11" s="82" t="n"/>
      <c r="M11" s="87" t="n"/>
      <c r="N11" s="54" t="n"/>
      <c r="O11" s="54" t="n"/>
      <c r="P11" s="54" t="n"/>
      <c r="Q11" s="54" t="n"/>
      <c r="R11" s="54" t="n"/>
      <c r="S11" s="54" t="n"/>
      <c r="T11" s="54" t="n"/>
      <c r="U11" s="54" t="n"/>
      <c r="V11" s="54" t="n"/>
      <c r="W11" s="54" t="n"/>
      <c r="X11" s="54" t="n"/>
      <c r="Y11" s="54" t="n"/>
      <c r="Z11" s="54" t="n"/>
    </row>
    <row r="12" ht="34.5" customHeight="1" s="372">
      <c r="A12" s="72" t="inlineStr">
        <is>
          <t>CHOICE</t>
        </is>
      </c>
      <c r="B12" s="87" t="n"/>
      <c r="C12" s="87" t="n"/>
      <c r="D12" s="87" t="n"/>
      <c r="E12" s="152" t="n"/>
      <c r="F12" s="153" t="n"/>
      <c r="G12" s="84" t="n"/>
      <c r="H12" s="154" t="n"/>
      <c r="I12" s="85" t="n"/>
      <c r="J12" s="80" t="n"/>
      <c r="K12" s="81" t="n"/>
      <c r="L12" s="82" t="n"/>
      <c r="M12" s="87" t="n"/>
      <c r="N12" s="54" t="n"/>
      <c r="O12" s="54" t="n"/>
      <c r="P12" s="54" t="n"/>
      <c r="Q12" s="54" t="n"/>
      <c r="R12" s="54" t="n"/>
      <c r="S12" s="54" t="n"/>
      <c r="T12" s="54" t="n"/>
      <c r="U12" s="54" t="n"/>
      <c r="V12" s="54" t="n"/>
      <c r="W12" s="54" t="n"/>
      <c r="X12" s="54" t="n"/>
      <c r="Y12" s="54" t="n"/>
      <c r="Z12" s="54" t="n"/>
    </row>
    <row r="13" ht="34.5" customHeight="1" s="372">
      <c r="A13" s="72" t="inlineStr">
        <is>
          <t>CHOICE</t>
        </is>
      </c>
      <c r="B13" s="87" t="n"/>
      <c r="C13" s="87" t="n"/>
      <c r="D13" s="87" t="n"/>
      <c r="E13" s="152" t="n"/>
      <c r="F13" s="153" t="n"/>
      <c r="G13" s="84" t="n"/>
      <c r="H13" s="154" t="n"/>
      <c r="I13" s="85" t="n"/>
      <c r="J13" s="80" t="n"/>
      <c r="K13" s="81" t="n"/>
      <c r="L13" s="82" t="n"/>
      <c r="M13" s="87" t="n"/>
      <c r="N13" s="54" t="n"/>
      <c r="O13" s="54" t="n"/>
      <c r="P13" s="54" t="n"/>
      <c r="Q13" s="54" t="n"/>
      <c r="R13" s="54" t="n"/>
      <c r="S13" s="54" t="n"/>
      <c r="T13" s="54" t="n"/>
      <c r="U13" s="54" t="n"/>
      <c r="V13" s="54" t="n"/>
      <c r="W13" s="54" t="n"/>
      <c r="X13" s="54" t="n"/>
      <c r="Y13" s="54" t="n"/>
      <c r="Z13" s="54" t="n"/>
    </row>
    <row r="14" ht="34.5" customHeight="1" s="372">
      <c r="A14" s="72" t="inlineStr">
        <is>
          <t>CHOICE</t>
        </is>
      </c>
      <c r="B14" s="87" t="n"/>
      <c r="C14" s="87" t="n"/>
      <c r="D14" s="87" t="n"/>
      <c r="E14" s="152" t="n"/>
      <c r="F14" s="153" t="n"/>
      <c r="G14" s="84" t="n"/>
      <c r="H14" s="154" t="n"/>
      <c r="I14" s="85" t="n"/>
      <c r="J14" s="80" t="n"/>
      <c r="K14" s="81" t="n"/>
      <c r="L14" s="82" t="n"/>
      <c r="M14" s="87" t="n"/>
      <c r="N14" s="54" t="n"/>
      <c r="O14" s="54" t="n"/>
      <c r="P14" s="54" t="n"/>
      <c r="Q14" s="54" t="n"/>
      <c r="R14" s="54" t="n"/>
      <c r="S14" s="54" t="n"/>
      <c r="T14" s="54" t="n"/>
      <c r="U14" s="54" t="n"/>
      <c r="V14" s="54" t="n"/>
      <c r="W14" s="54" t="n"/>
      <c r="X14" s="54" t="n"/>
      <c r="Y14" s="54" t="n"/>
      <c r="Z14" s="54" t="n"/>
    </row>
    <row r="15" ht="34.5" customHeight="1" s="372">
      <c r="A15" s="72" t="inlineStr">
        <is>
          <t>CHOICE</t>
        </is>
      </c>
      <c r="B15" s="87" t="n"/>
      <c r="C15" s="87" t="n"/>
      <c r="D15" s="87" t="n"/>
      <c r="E15" s="152" t="n"/>
      <c r="F15" s="153" t="n"/>
      <c r="G15" s="84" t="n"/>
      <c r="H15" s="154" t="n"/>
      <c r="I15" s="85" t="n"/>
      <c r="J15" s="80" t="n"/>
      <c r="K15" s="81" t="n"/>
      <c r="L15" s="82" t="n"/>
      <c r="M15" s="87" t="n"/>
      <c r="N15" s="54" t="n"/>
      <c r="O15" s="54" t="n"/>
      <c r="P15" s="54" t="n"/>
      <c r="Q15" s="54" t="n"/>
      <c r="R15" s="54" t="n"/>
      <c r="S15" s="54" t="n"/>
      <c r="T15" s="54" t="n"/>
      <c r="U15" s="54" t="n"/>
      <c r="V15" s="54" t="n"/>
      <c r="W15" s="54" t="n"/>
      <c r="X15" s="54" t="n"/>
      <c r="Y15" s="54" t="n"/>
      <c r="Z15" s="54" t="n"/>
    </row>
    <row r="16" ht="34.5" customHeight="1" s="372">
      <c r="A16" s="94" t="inlineStr">
        <is>
          <t>CHOICE</t>
        </is>
      </c>
      <c r="B16" s="95" t="n"/>
      <c r="C16" s="95" t="n"/>
      <c r="D16" s="95" t="n"/>
      <c r="E16" s="96" t="n"/>
      <c r="F16" s="97" t="n"/>
      <c r="G16" s="98" t="n"/>
      <c r="H16" s="99" t="n"/>
      <c r="I16" s="100" t="n"/>
      <c r="J16" s="101" t="n"/>
      <c r="K16" s="102" t="n"/>
      <c r="L16" s="103" t="n"/>
      <c r="M16" s="95" t="n"/>
    </row>
    <row r="17" ht="34.5" customHeight="1" s="372">
      <c r="A17" s="104" t="inlineStr">
        <is>
          <t>CHOICE</t>
        </is>
      </c>
      <c r="B17" s="105" t="n"/>
      <c r="C17" s="105" t="n"/>
      <c r="D17" s="105" t="n"/>
      <c r="E17" s="106" t="n"/>
      <c r="F17" s="107" t="n"/>
      <c r="G17" s="108" t="n"/>
      <c r="H17" s="109" t="n"/>
      <c r="I17" s="110" t="n"/>
      <c r="J17" s="111" t="n"/>
      <c r="K17" s="112" t="n"/>
      <c r="L17" s="113" t="n"/>
      <c r="M17" s="105" t="n"/>
    </row>
    <row r="18" ht="34.5" customHeight="1" s="372">
      <c r="A18" s="104" t="inlineStr">
        <is>
          <t>CHOICE</t>
        </is>
      </c>
      <c r="B18" s="105" t="n"/>
      <c r="C18" s="105" t="n"/>
      <c r="D18" s="105" t="n"/>
      <c r="E18" s="106" t="n"/>
      <c r="F18" s="107" t="n"/>
      <c r="G18" s="108" t="n"/>
      <c r="H18" s="109" t="n"/>
      <c r="I18" s="110" t="n"/>
      <c r="J18" s="111" t="n"/>
      <c r="K18" s="112" t="n"/>
      <c r="L18" s="113" t="n"/>
      <c r="M18" s="105" t="n"/>
    </row>
    <row r="19" ht="34.5" customHeight="1" s="372">
      <c r="A19" s="104" t="inlineStr">
        <is>
          <t>CHOICE</t>
        </is>
      </c>
      <c r="B19" s="105" t="n"/>
      <c r="C19" s="105" t="n"/>
      <c r="D19" s="105" t="n"/>
      <c r="E19" s="106" t="n"/>
      <c r="F19" s="107" t="n"/>
      <c r="G19" s="108" t="n"/>
      <c r="H19" s="109" t="n"/>
      <c r="I19" s="110" t="n"/>
      <c r="J19" s="111" t="n"/>
      <c r="K19" s="112" t="n"/>
      <c r="L19" s="113" t="n"/>
      <c r="M19" s="105" t="n"/>
    </row>
    <row r="20" ht="34.5" customHeight="1" s="372">
      <c r="A20" s="104" t="inlineStr">
        <is>
          <t>CHOICE</t>
        </is>
      </c>
      <c r="B20" s="105" t="n"/>
      <c r="C20" s="105" t="n"/>
      <c r="D20" s="105" t="n"/>
      <c r="E20" s="106" t="n"/>
      <c r="F20" s="107" t="n"/>
      <c r="G20" s="108" t="n"/>
      <c r="H20" s="109" t="n"/>
      <c r="I20" s="110" t="n"/>
      <c r="J20" s="111" t="n"/>
      <c r="K20" s="112" t="n"/>
      <c r="L20" s="113" t="n"/>
      <c r="M20" s="105" t="n"/>
    </row>
    <row r="21" ht="34.5" customHeight="1" s="372">
      <c r="A21" s="104" t="inlineStr">
        <is>
          <t>CHOICE</t>
        </is>
      </c>
      <c r="B21" s="105" t="n"/>
      <c r="C21" s="105" t="n"/>
      <c r="D21" s="105" t="n"/>
      <c r="E21" s="106" t="n"/>
      <c r="F21" s="107" t="n"/>
      <c r="G21" s="108" t="n"/>
      <c r="H21" s="109" t="n"/>
      <c r="I21" s="110" t="n"/>
      <c r="J21" s="111" t="n"/>
      <c r="K21" s="112" t="n"/>
      <c r="L21" s="113" t="n"/>
      <c r="M21" s="105" t="n"/>
    </row>
    <row r="22" ht="24.75" customHeight="1" s="372">
      <c r="A22" s="114" t="inlineStr">
        <is>
          <t>CHOICE</t>
        </is>
      </c>
      <c r="B22" s="105" t="n"/>
      <c r="C22" s="105" t="n"/>
      <c r="D22" s="105" t="n"/>
      <c r="E22" s="105" t="n"/>
      <c r="F22" s="105" t="n"/>
      <c r="G22" s="105" t="n"/>
      <c r="H22" s="105" t="n"/>
      <c r="I22" s="105" t="n"/>
      <c r="J22" s="105" t="n"/>
      <c r="K22" s="105" t="n"/>
      <c r="L22" s="105" t="n"/>
      <c r="M22" s="105" t="n"/>
    </row>
    <row r="23" ht="24.75" customHeight="1" s="372">
      <c r="A23" s="114" t="inlineStr">
        <is>
          <t>CHOICE</t>
        </is>
      </c>
      <c r="B23" s="105" t="n"/>
      <c r="C23" s="105" t="n"/>
      <c r="D23" s="105" t="n"/>
      <c r="E23" s="105" t="n"/>
      <c r="F23" s="105" t="n"/>
      <c r="G23" s="105" t="n"/>
      <c r="H23" s="105" t="n"/>
      <c r="I23" s="105" t="n"/>
      <c r="J23" s="105" t="n"/>
      <c r="K23" s="105" t="n"/>
      <c r="L23" s="105" t="n"/>
      <c r="M23" s="105" t="n"/>
    </row>
    <row r="24" ht="24.75" customHeight="1" s="372">
      <c r="A24" s="114" t="inlineStr">
        <is>
          <t>CHOICE</t>
        </is>
      </c>
      <c r="B24" s="105" t="n"/>
      <c r="C24" s="105" t="n"/>
      <c r="D24" s="105" t="n"/>
      <c r="E24" s="105" t="n"/>
      <c r="F24" s="105" t="n"/>
      <c r="G24" s="105" t="n"/>
      <c r="H24" s="105" t="n"/>
      <c r="I24" s="105" t="n"/>
      <c r="J24" s="105" t="n"/>
      <c r="K24" s="105" t="n"/>
      <c r="L24" s="105" t="n"/>
      <c r="M24" s="105" t="n"/>
    </row>
    <row r="25" ht="24.75" customHeight="1" s="372">
      <c r="A25" s="114" t="inlineStr">
        <is>
          <t>CHOICE</t>
        </is>
      </c>
      <c r="B25" s="105" t="n"/>
      <c r="C25" s="105" t="n"/>
      <c r="D25" s="105" t="n"/>
      <c r="E25" s="105" t="n"/>
      <c r="F25" s="105" t="n"/>
      <c r="G25" s="105" t="n"/>
      <c r="H25" s="105" t="n"/>
      <c r="I25" s="105" t="n"/>
      <c r="J25" s="105" t="n"/>
      <c r="K25" s="105" t="n"/>
      <c r="L25" s="105" t="n"/>
      <c r="M25" s="105" t="n"/>
    </row>
    <row r="26" ht="24.75" customHeight="1" s="372">
      <c r="A26" s="114" t="inlineStr">
        <is>
          <t>CHOICE</t>
        </is>
      </c>
      <c r="B26" s="105" t="n"/>
      <c r="C26" s="105" t="n"/>
      <c r="D26" s="105" t="n"/>
      <c r="E26" s="105" t="n"/>
      <c r="F26" s="105" t="n"/>
      <c r="G26" s="105" t="n"/>
      <c r="H26" s="105" t="n"/>
      <c r="I26" s="105" t="n"/>
      <c r="J26" s="105" t="n"/>
      <c r="K26" s="105" t="n"/>
      <c r="L26" s="105" t="n"/>
      <c r="M26" s="105" t="n"/>
    </row>
    <row r="27" ht="24.75" customHeight="1" s="372">
      <c r="A27" s="114" t="inlineStr">
        <is>
          <t>CHOICE</t>
        </is>
      </c>
      <c r="B27" s="105" t="n"/>
      <c r="C27" s="105" t="n"/>
      <c r="D27" s="105" t="n"/>
      <c r="E27" s="105" t="n"/>
      <c r="F27" s="105" t="n"/>
      <c r="G27" s="105" t="n"/>
      <c r="H27" s="105" t="n"/>
      <c r="I27" s="105" t="n"/>
      <c r="J27" s="105" t="n"/>
      <c r="K27" s="105" t="n"/>
      <c r="L27" s="105" t="n"/>
      <c r="M27" s="105" t="n"/>
    </row>
    <row r="28" ht="24.75" customHeight="1" s="372">
      <c r="A28" s="114" t="inlineStr">
        <is>
          <t>CHOICE</t>
        </is>
      </c>
      <c r="B28" s="105" t="n"/>
      <c r="C28" s="105" t="n"/>
      <c r="D28" s="105" t="n"/>
      <c r="E28" s="105" t="n"/>
      <c r="F28" s="105" t="n"/>
      <c r="G28" s="105" t="n"/>
      <c r="H28" s="105" t="n"/>
      <c r="I28" s="105" t="n"/>
      <c r="J28" s="105" t="n"/>
      <c r="K28" s="105" t="n"/>
      <c r="L28" s="105" t="n"/>
      <c r="M28" s="105" t="n"/>
    </row>
    <row r="29" ht="24.75" customHeight="1" s="372">
      <c r="A29" s="114" t="inlineStr">
        <is>
          <t>CHOICE</t>
        </is>
      </c>
      <c r="B29" s="105" t="n"/>
      <c r="C29" s="105" t="n"/>
      <c r="D29" s="105" t="n"/>
      <c r="E29" s="105" t="n"/>
      <c r="F29" s="105" t="n"/>
      <c r="G29" s="105" t="n"/>
      <c r="H29" s="105" t="n"/>
      <c r="I29" s="105" t="n"/>
      <c r="J29" s="105" t="n"/>
      <c r="K29" s="105" t="n"/>
      <c r="L29" s="105" t="n"/>
      <c r="M29" s="105" t="n"/>
    </row>
    <row r="30" ht="24.75" customHeight="1" s="372">
      <c r="A30" s="114" t="inlineStr">
        <is>
          <t>CHOICE</t>
        </is>
      </c>
      <c r="B30" s="105" t="n"/>
      <c r="C30" s="105" t="n"/>
      <c r="D30" s="105" t="n"/>
      <c r="E30" s="105" t="n"/>
      <c r="F30" s="105" t="n"/>
      <c r="G30" s="105" t="n"/>
      <c r="H30" s="105" t="n"/>
      <c r="I30" s="105" t="n"/>
      <c r="J30" s="105" t="n"/>
      <c r="K30" s="105" t="n"/>
      <c r="L30" s="105" t="n"/>
      <c r="M30" s="105" t="n"/>
    </row>
    <row r="31" ht="24.75" customHeight="1" s="372">
      <c r="A31" s="114" t="inlineStr">
        <is>
          <t>CHOICE</t>
        </is>
      </c>
      <c r="B31" s="105" t="n"/>
      <c r="C31" s="105" t="n"/>
      <c r="D31" s="105" t="n"/>
      <c r="E31" s="105" t="n"/>
      <c r="F31" s="105" t="n"/>
      <c r="G31" s="105" t="n"/>
      <c r="H31" s="105" t="n"/>
      <c r="I31" s="105" t="n"/>
      <c r="J31" s="105" t="n"/>
      <c r="K31" s="105" t="n"/>
      <c r="L31" s="105" t="n"/>
      <c r="M31" s="105" t="n"/>
    </row>
    <row r="32" ht="15.75" customHeight="1" s="372">
      <c r="C32" s="115" t="n"/>
      <c r="D32" s="115" t="n"/>
    </row>
    <row r="33" ht="15.75" customHeight="1" s="372"/>
    <row r="34" ht="15.75" customHeight="1" s="372"/>
    <row r="35" ht="15.75" customHeight="1" s="372"/>
    <row r="36" ht="15.75" customHeight="1" s="372"/>
    <row r="37" ht="15.75" customHeight="1" s="372"/>
    <row r="38" ht="15.75" customHeight="1" s="372"/>
    <row r="39" ht="15.75" customHeight="1" s="372"/>
    <row r="40" ht="15.75" customHeight="1" s="372"/>
    <row r="41" ht="15.75" customHeight="1" s="372"/>
    <row r="42" ht="15.75" customHeight="1" s="372"/>
    <row r="43" ht="15.75" customHeight="1" s="372"/>
    <row r="44" ht="15.75" customHeight="1" s="372"/>
    <row r="45" ht="15.75" customHeight="1" s="372"/>
    <row r="46" ht="15.75" customHeight="1" s="372"/>
    <row r="47" ht="15.75" customHeight="1" s="372"/>
    <row r="48" ht="15.75" customHeight="1" s="372"/>
    <row r="49" ht="15.75" customHeight="1" s="372"/>
    <row r="50" ht="15.75" customHeight="1" s="372"/>
    <row r="51" ht="15.75" customHeight="1" s="372"/>
    <row r="52" ht="15.75" customHeight="1" s="372"/>
    <row r="53" ht="15.75" customHeight="1" s="372"/>
    <row r="54" ht="15.75" customHeight="1" s="372"/>
    <row r="55" ht="15.75" customHeight="1" s="372"/>
    <row r="56" ht="15.75" customHeight="1" s="372"/>
    <row r="57" ht="15.75" customHeight="1" s="372"/>
    <row r="58" ht="15.75" customHeight="1" s="372"/>
    <row r="59" ht="15.75" customHeight="1" s="372"/>
    <row r="60" ht="15.75" customHeight="1" s="372"/>
    <row r="61" ht="15.75" customHeight="1" s="372"/>
    <row r="62" ht="15.75" customHeight="1" s="372"/>
    <row r="63" ht="15.75" customHeight="1" s="372"/>
    <row r="64" ht="15.75" customHeight="1" s="372"/>
    <row r="65" ht="15.75" customHeight="1" s="372"/>
    <row r="66" ht="15.75" customHeight="1" s="372"/>
    <row r="67" ht="15.75" customHeight="1" s="372"/>
    <row r="68" ht="15.75" customHeight="1" s="372"/>
    <row r="69" ht="15.75" customHeight="1" s="372"/>
    <row r="70" ht="15.75" customHeight="1" s="372"/>
    <row r="71" ht="15.75" customHeight="1" s="372"/>
    <row r="72" ht="15.75" customHeight="1" s="372"/>
    <row r="73" ht="15.75" customHeight="1" s="372"/>
    <row r="74" ht="15.75" customHeight="1" s="372"/>
    <row r="75" ht="15.75" customHeight="1" s="372"/>
    <row r="76" ht="15.75" customHeight="1" s="372"/>
    <row r="77" ht="15.75" customHeight="1" s="372"/>
    <row r="78" ht="15.75" customHeight="1" s="372"/>
    <row r="79" ht="15.75" customHeight="1" s="372"/>
    <row r="80" ht="15.75" customHeight="1" s="372"/>
    <row r="81" ht="15.75" customHeight="1" s="372"/>
    <row r="82" ht="15.75" customHeight="1" s="372"/>
    <row r="83" ht="15.75" customHeight="1" s="372"/>
    <row r="84" ht="15.75" customHeight="1" s="372"/>
    <row r="85" ht="15.75" customHeight="1" s="372"/>
    <row r="86" ht="15.75" customHeight="1" s="372"/>
    <row r="87" ht="15.75" customHeight="1" s="372"/>
    <row r="88" ht="15.75" customHeight="1" s="372"/>
    <row r="89" ht="15.75" customHeight="1" s="372"/>
    <row r="90" ht="15.75" customHeight="1" s="372"/>
    <row r="91" ht="15.75" customHeight="1" s="372"/>
    <row r="92" ht="15.75" customHeight="1" s="372"/>
    <row r="93" ht="15.75" customHeight="1" s="372"/>
    <row r="94" ht="15.75" customHeight="1" s="372"/>
    <row r="95" ht="15.75" customHeight="1" s="372"/>
    <row r="96" ht="15.75" customHeight="1" s="372"/>
    <row r="97" ht="15.75" customHeight="1" s="372"/>
    <row r="98" ht="15.75" customHeight="1" s="372"/>
    <row r="99" ht="15.75" customHeight="1" s="372"/>
    <row r="100" ht="15.75" customHeight="1" s="372"/>
    <row r="101" ht="15.75" customHeight="1" s="372"/>
    <row r="102" ht="15.75" customHeight="1" s="372"/>
    <row r="103" ht="15.75" customHeight="1" s="372"/>
    <row r="104" ht="15.75" customHeight="1" s="372"/>
    <row r="105" ht="15.75" customHeight="1" s="372"/>
    <row r="106" ht="15.75" customHeight="1" s="372"/>
    <row r="107" ht="15.75" customHeight="1" s="372"/>
    <row r="108" ht="15.75" customHeight="1" s="372"/>
    <row r="109" ht="15.75" customHeight="1" s="372"/>
    <row r="110" ht="15.75" customHeight="1" s="372"/>
    <row r="111" ht="15.75" customHeight="1" s="372"/>
    <row r="112" ht="15.75" customHeight="1" s="372"/>
    <row r="113" ht="15.75" customHeight="1" s="372"/>
    <row r="114" ht="15.75" customHeight="1" s="372"/>
    <row r="115" ht="15.75" customHeight="1" s="372"/>
    <row r="116" ht="15.75" customHeight="1" s="372"/>
    <row r="117" ht="15.75" customHeight="1" s="372"/>
    <row r="118" ht="15.75" customHeight="1" s="372"/>
    <row r="119" ht="15.75" customHeight="1" s="372"/>
    <row r="120" ht="15.75" customHeight="1" s="372"/>
    <row r="121" ht="15.75" customHeight="1" s="372"/>
    <row r="122" ht="15.75" customHeight="1" s="372"/>
    <row r="123" ht="15.75" customHeight="1" s="372"/>
    <row r="124" ht="15.75" customHeight="1" s="372"/>
    <row r="125" ht="15.75" customHeight="1" s="372"/>
    <row r="126" ht="15.75" customHeight="1" s="372"/>
    <row r="127" ht="15.75" customHeight="1" s="372"/>
    <row r="128" ht="15.75" customHeight="1" s="372"/>
    <row r="129" ht="15.75" customHeight="1" s="372"/>
    <row r="130" ht="15.75" customHeight="1" s="372"/>
    <row r="131" ht="15.75" customHeight="1" s="372"/>
    <row r="132" ht="15.75" customHeight="1" s="372"/>
    <row r="133" ht="15.75" customHeight="1" s="372"/>
    <row r="134" ht="15.75" customHeight="1" s="372"/>
    <row r="135" ht="15.75" customHeight="1" s="372"/>
    <row r="136" ht="15.75" customHeight="1" s="372"/>
    <row r="137" ht="15.75" customHeight="1" s="372"/>
    <row r="138" ht="15.75" customHeight="1" s="372"/>
    <row r="139" ht="15.75" customHeight="1" s="372"/>
    <row r="140" ht="15.75" customHeight="1" s="372"/>
    <row r="141" ht="15.75" customHeight="1" s="372"/>
    <row r="142" ht="15.75" customHeight="1" s="372"/>
    <row r="143" ht="15.75" customHeight="1" s="372"/>
    <row r="144" ht="15.75" customHeight="1" s="372"/>
    <row r="145" ht="15.75" customHeight="1" s="372"/>
    <row r="146" ht="15.75" customHeight="1" s="372"/>
    <row r="147" ht="15.75" customHeight="1" s="372"/>
    <row r="148" ht="15.75" customHeight="1" s="372"/>
    <row r="149" ht="15.75" customHeight="1" s="372"/>
    <row r="150" ht="15.75" customHeight="1" s="372"/>
    <row r="151" ht="15.75" customHeight="1" s="372"/>
    <row r="152" ht="15.75" customHeight="1" s="372"/>
    <row r="153" ht="15.75" customHeight="1" s="372"/>
    <row r="154" ht="15.75" customHeight="1" s="372"/>
    <row r="155" ht="15.75" customHeight="1" s="372"/>
    <row r="156" ht="15.75" customHeight="1" s="372"/>
    <row r="157" ht="15.75" customHeight="1" s="372"/>
    <row r="158" ht="15.75" customHeight="1" s="372"/>
    <row r="159" ht="15.75" customHeight="1" s="372"/>
    <row r="160" ht="15.75" customHeight="1" s="372"/>
    <row r="161" ht="15.75" customHeight="1" s="372"/>
    <row r="162" ht="15.75" customHeight="1" s="372"/>
    <row r="163" ht="15.75" customHeight="1" s="372"/>
    <row r="164" ht="15.75" customHeight="1" s="372"/>
    <row r="165" ht="15.75" customHeight="1" s="372"/>
    <row r="166" ht="15.75" customHeight="1" s="372"/>
    <row r="167" ht="15.75" customHeight="1" s="372"/>
    <row r="168" ht="15.75" customHeight="1" s="372"/>
    <row r="169" ht="15.75" customHeight="1" s="372"/>
    <row r="170" ht="15.75" customHeight="1" s="372"/>
    <row r="171" ht="15.75" customHeight="1" s="372"/>
    <row r="172" ht="15.75" customHeight="1" s="372"/>
    <row r="173" ht="15.75" customHeight="1" s="372"/>
    <row r="174" ht="15.75" customHeight="1" s="372"/>
    <row r="175" ht="15.75" customHeight="1" s="372"/>
    <row r="176" ht="15.75" customHeight="1" s="372"/>
    <row r="177" ht="15.75" customHeight="1" s="372"/>
    <row r="178" ht="15.75" customHeight="1" s="372"/>
    <row r="179" ht="15.75" customHeight="1" s="372"/>
    <row r="180" ht="15.75" customHeight="1" s="372"/>
    <row r="181" ht="15.75" customHeight="1" s="372"/>
    <row r="182" ht="15.75" customHeight="1" s="372"/>
    <row r="183" ht="15.75" customHeight="1" s="372"/>
    <row r="184" ht="15.75" customHeight="1" s="372"/>
    <row r="185" ht="15.75" customHeight="1" s="372"/>
    <row r="186" ht="15.75" customHeight="1" s="372"/>
    <row r="187" ht="15.75" customHeight="1" s="372"/>
    <row r="188" ht="15.75" customHeight="1" s="372"/>
    <row r="189" ht="15.75" customHeight="1" s="372"/>
    <row r="190" ht="15.75" customHeight="1" s="372"/>
    <row r="191" ht="15.75" customHeight="1" s="372"/>
    <row r="192" ht="15.75" customHeight="1" s="372"/>
    <row r="193" ht="15.75" customHeight="1" s="372"/>
    <row r="194" ht="15.75" customHeight="1" s="372"/>
    <row r="195" ht="15.75" customHeight="1" s="372"/>
    <row r="196" ht="15.75" customHeight="1" s="372"/>
    <row r="197" ht="15.75" customHeight="1" s="372"/>
    <row r="198" ht="15.75" customHeight="1" s="372"/>
    <row r="199" ht="15.75" customHeight="1" s="372"/>
    <row r="200" ht="15.75" customHeight="1" s="372"/>
    <row r="201" ht="15.75" customHeight="1" s="372"/>
    <row r="202" ht="15.75" customHeight="1" s="372"/>
    <row r="203" ht="15.75" customHeight="1" s="372"/>
    <row r="204" ht="15.75" customHeight="1" s="372"/>
    <row r="205" ht="15.75" customHeight="1" s="372"/>
    <row r="206" ht="15.75" customHeight="1" s="372"/>
    <row r="207" ht="15.75" customHeight="1" s="372"/>
    <row r="208" ht="15.75" customHeight="1" s="372"/>
    <row r="209" ht="15.75" customHeight="1" s="372"/>
    <row r="210" ht="15.75" customHeight="1" s="372"/>
    <row r="211" ht="15.75" customHeight="1" s="372"/>
    <row r="212" ht="15.75" customHeight="1" s="372"/>
    <row r="213" ht="15.75" customHeight="1" s="372"/>
    <row r="214" ht="15.75" customHeight="1" s="372"/>
    <row r="215" ht="15.75" customHeight="1" s="372"/>
    <row r="216" ht="15.75" customHeight="1" s="372"/>
    <row r="217" ht="15.75" customHeight="1" s="372"/>
    <row r="218" ht="15.75" customHeight="1" s="372"/>
    <row r="219" ht="15.75" customHeight="1" s="372"/>
    <row r="220" ht="15.75" customHeight="1" s="372"/>
    <row r="221" ht="15.75" customHeight="1" s="372"/>
    <row r="222" ht="15.75" customHeight="1" s="372"/>
    <row r="223" ht="15.75" customHeight="1" s="372"/>
    <row r="224" ht="15.75" customHeight="1" s="372"/>
    <row r="225" ht="15.75" customHeight="1" s="372"/>
    <row r="226" ht="15.75" customHeight="1" s="372"/>
    <row r="227" ht="15.75" customHeight="1" s="372"/>
    <row r="228" ht="15.75" customHeight="1" s="372"/>
    <row r="229" ht="15.75" customHeight="1" s="372"/>
    <row r="230" ht="15.75" customHeight="1" s="372"/>
    <row r="231" ht="15.75" customHeight="1" s="372"/>
    <row r="232" ht="15.75" customHeight="1" s="372"/>
    <row r="233" ht="15.75" customHeight="1" s="372"/>
    <row r="234" ht="15.75" customHeight="1" s="372"/>
    <row r="235" ht="15.75" customHeight="1" s="372"/>
    <row r="236" ht="15.75" customHeight="1" s="372"/>
    <row r="237" ht="15.75" customHeight="1" s="372"/>
    <row r="238" ht="15.75" customHeight="1" s="372"/>
    <row r="239" ht="15.75" customHeight="1" s="372"/>
    <row r="240" ht="15.75" customHeight="1" s="372"/>
    <row r="241" ht="15.75" customHeight="1" s="372"/>
    <row r="242" ht="15.75" customHeight="1" s="372"/>
    <row r="243" ht="15.75" customHeight="1" s="372"/>
    <row r="244" ht="15.75" customHeight="1" s="372"/>
    <row r="245" ht="15.75" customHeight="1" s="372"/>
    <row r="246" ht="15.75" customHeight="1" s="372"/>
    <row r="247" ht="15.75" customHeight="1" s="372"/>
    <row r="248" ht="15.75" customHeight="1" s="372"/>
    <row r="249" ht="15.75" customHeight="1" s="372"/>
    <row r="250" ht="15.75" customHeight="1" s="372"/>
    <row r="251" ht="15.75" customHeight="1" s="372"/>
    <row r="252" ht="15.75" customHeight="1" s="372"/>
    <row r="253" ht="15.75" customHeight="1" s="372"/>
    <row r="254" ht="15.75" customHeight="1" s="372"/>
    <row r="255" ht="15.75" customHeight="1" s="372"/>
    <row r="256" ht="15.75" customHeight="1" s="372"/>
    <row r="257" ht="15.75" customHeight="1" s="372"/>
    <row r="258" ht="15.75" customHeight="1" s="372"/>
    <row r="259" ht="15.75" customHeight="1" s="372"/>
    <row r="260" ht="15.75" customHeight="1" s="372"/>
    <row r="261" ht="15.75" customHeight="1" s="372"/>
    <row r="262" ht="15.75" customHeight="1" s="372"/>
    <row r="263" ht="15.75" customHeight="1" s="372"/>
    <row r="264" ht="15.75" customHeight="1" s="372"/>
    <row r="265" ht="15.75" customHeight="1" s="372"/>
    <row r="266" ht="15.75" customHeight="1" s="372"/>
    <row r="267" ht="15.75" customHeight="1" s="372"/>
    <row r="268" ht="15.75" customHeight="1" s="372"/>
    <row r="269" ht="15.75" customHeight="1" s="372"/>
    <row r="270" ht="15.75" customHeight="1" s="372"/>
    <row r="271" ht="15.75" customHeight="1" s="372"/>
    <row r="272" ht="15.75" customHeight="1" s="372"/>
    <row r="273" ht="15.75" customHeight="1" s="372"/>
    <row r="274" ht="15.75" customHeight="1" s="372"/>
    <row r="275" ht="15.75" customHeight="1" s="372"/>
    <row r="276" ht="15.75" customHeight="1" s="372"/>
    <row r="277" ht="15.75" customHeight="1" s="372"/>
    <row r="278" ht="15.75" customHeight="1" s="372"/>
    <row r="279" ht="15.75" customHeight="1" s="372"/>
    <row r="280" ht="15.75" customHeight="1" s="372"/>
    <row r="281" ht="15.75" customHeight="1" s="372"/>
    <row r="282" ht="15.75" customHeight="1" s="372"/>
    <row r="283" ht="15.75" customHeight="1" s="372"/>
    <row r="284" ht="15.75" customHeight="1" s="372"/>
    <row r="285" ht="15.75" customHeight="1" s="372"/>
    <row r="286" ht="15.75" customHeight="1" s="372"/>
    <row r="287" ht="15.75" customHeight="1" s="372"/>
    <row r="288" ht="15.75" customHeight="1" s="372"/>
    <row r="289" ht="15.75" customHeight="1" s="372"/>
    <row r="290" ht="15.75" customHeight="1" s="372"/>
    <row r="291" ht="15.75" customHeight="1" s="372"/>
    <row r="292" ht="15.75" customHeight="1" s="372"/>
    <row r="293" ht="15.75" customHeight="1" s="372"/>
    <row r="294" ht="15.75" customHeight="1" s="372"/>
    <row r="295" ht="15.75" customHeight="1" s="372"/>
    <row r="296" ht="15.75" customHeight="1" s="372"/>
    <row r="297" ht="15.75" customHeight="1" s="372"/>
    <row r="298" ht="15.75" customHeight="1" s="372"/>
    <row r="299" ht="15.75" customHeight="1" s="372"/>
    <row r="300" ht="15.75" customHeight="1" s="372"/>
    <row r="301" ht="15.75" customHeight="1" s="372"/>
    <row r="302" ht="15.75" customHeight="1" s="372"/>
    <row r="303" ht="15.75" customHeight="1" s="372"/>
    <row r="304" ht="15.75" customHeight="1" s="372"/>
    <row r="305" ht="15.75" customHeight="1" s="372"/>
    <row r="306" ht="15.75" customHeight="1" s="372"/>
    <row r="307" ht="15.75" customHeight="1" s="372"/>
    <row r="308" ht="15.75" customHeight="1" s="372"/>
    <row r="309" ht="15.75" customHeight="1" s="372"/>
    <row r="310" ht="15.75" customHeight="1" s="372"/>
    <row r="311" ht="15.75" customHeight="1" s="372"/>
    <row r="312" ht="15.75" customHeight="1" s="372"/>
    <row r="313" ht="15.75" customHeight="1" s="372"/>
    <row r="314" ht="15.75" customHeight="1" s="372"/>
    <row r="315" ht="15.75" customHeight="1" s="372"/>
    <row r="316" ht="15.75" customHeight="1" s="372"/>
    <row r="317" ht="15.75" customHeight="1" s="372"/>
    <row r="318" ht="15.75" customHeight="1" s="372"/>
    <row r="319" ht="15.75" customHeight="1" s="372"/>
    <row r="320" ht="15.75" customHeight="1" s="372"/>
    <row r="321" ht="15.75" customHeight="1" s="372"/>
    <row r="322" ht="15.75" customHeight="1" s="372"/>
    <row r="323" ht="15.75" customHeight="1" s="372"/>
    <row r="324" ht="15.75" customHeight="1" s="372"/>
    <row r="325" ht="15.75" customHeight="1" s="372"/>
    <row r="326" ht="15.75" customHeight="1" s="372"/>
    <row r="327" ht="15.75" customHeight="1" s="372"/>
    <row r="328" ht="15.75" customHeight="1" s="372"/>
    <row r="329" ht="15.75" customHeight="1" s="372"/>
    <row r="330" ht="15.75" customHeight="1" s="372"/>
    <row r="331" ht="15.75" customHeight="1" s="372"/>
    <row r="332" ht="15.75" customHeight="1" s="372"/>
    <row r="333" ht="15.75" customHeight="1" s="372"/>
    <row r="334" ht="15.75" customHeight="1" s="372"/>
    <row r="335" ht="15.75" customHeight="1" s="372"/>
    <row r="336" ht="15.75" customHeight="1" s="372"/>
    <row r="337" ht="15.75" customHeight="1" s="372"/>
    <row r="338" ht="15.75" customHeight="1" s="372"/>
    <row r="339" ht="15.75" customHeight="1" s="372"/>
    <row r="340" ht="15.75" customHeight="1" s="372"/>
    <row r="341" ht="15.75" customHeight="1" s="372"/>
    <row r="342" ht="15.75" customHeight="1" s="372"/>
    <row r="343" ht="15.75" customHeight="1" s="372"/>
    <row r="344" ht="15.75" customHeight="1" s="372"/>
    <row r="345" ht="15.75" customHeight="1" s="372"/>
    <row r="346" ht="15.75" customHeight="1" s="372"/>
    <row r="347" ht="15.75" customHeight="1" s="372"/>
    <row r="348" ht="15.75" customHeight="1" s="372"/>
    <row r="349" ht="15.75" customHeight="1" s="372"/>
    <row r="350" ht="15.75" customHeight="1" s="372"/>
    <row r="351" ht="15.75" customHeight="1" s="372"/>
    <row r="352" ht="15.75" customHeight="1" s="372"/>
    <row r="353" ht="15.75" customHeight="1" s="372"/>
    <row r="354" ht="15.75" customHeight="1" s="372"/>
    <row r="355" ht="15.75" customHeight="1" s="372"/>
    <row r="356" ht="15.75" customHeight="1" s="372"/>
    <row r="357" ht="15.75" customHeight="1" s="372"/>
    <row r="358" ht="15.75" customHeight="1" s="372"/>
    <row r="359" ht="15.75" customHeight="1" s="372"/>
    <row r="360" ht="15.75" customHeight="1" s="372"/>
    <row r="361" ht="15.75" customHeight="1" s="372"/>
    <row r="362" ht="15.75" customHeight="1" s="372"/>
    <row r="363" ht="15.75" customHeight="1" s="372"/>
    <row r="364" ht="15.75" customHeight="1" s="372"/>
    <row r="365" ht="15.75" customHeight="1" s="372"/>
    <row r="366" ht="15.75" customHeight="1" s="372"/>
    <row r="367" ht="15.75" customHeight="1" s="372"/>
    <row r="368" ht="15.75" customHeight="1" s="372"/>
    <row r="369" ht="15.75" customHeight="1" s="372"/>
    <row r="370" ht="15.75" customHeight="1" s="372"/>
    <row r="371" ht="15.75" customHeight="1" s="372"/>
    <row r="372" ht="15.75" customHeight="1" s="372"/>
    <row r="373" ht="15.75" customHeight="1" s="372"/>
    <row r="374" ht="15.75" customHeight="1" s="372"/>
    <row r="375" ht="15.75" customHeight="1" s="372"/>
    <row r="376" ht="15.75" customHeight="1" s="372"/>
    <row r="377" ht="15.75" customHeight="1" s="372"/>
    <row r="378" ht="15.75" customHeight="1" s="372"/>
    <row r="379" ht="15.75" customHeight="1" s="372"/>
    <row r="380" ht="15.75" customHeight="1" s="372"/>
    <row r="381" ht="15.75" customHeight="1" s="372"/>
    <row r="382" ht="15.75" customHeight="1" s="372"/>
    <row r="383" ht="15.75" customHeight="1" s="372"/>
    <row r="384" ht="15.75" customHeight="1" s="372"/>
    <row r="385" ht="15.75" customHeight="1" s="372"/>
    <row r="386" ht="15.75" customHeight="1" s="372"/>
    <row r="387" ht="15.75" customHeight="1" s="372"/>
    <row r="388" ht="15.75" customHeight="1" s="372"/>
    <row r="389" ht="15.75" customHeight="1" s="372"/>
    <row r="390" ht="15.75" customHeight="1" s="372"/>
    <row r="391" ht="15.75" customHeight="1" s="372"/>
    <row r="392" ht="15.75" customHeight="1" s="372"/>
    <row r="393" ht="15.75" customHeight="1" s="372"/>
    <row r="394" ht="15.75" customHeight="1" s="372"/>
    <row r="395" ht="15.75" customHeight="1" s="372"/>
    <row r="396" ht="15.75" customHeight="1" s="372"/>
    <row r="397" ht="15.75" customHeight="1" s="372"/>
    <row r="398" ht="15.75" customHeight="1" s="372"/>
    <row r="399" ht="15.75" customHeight="1" s="372"/>
    <row r="400" ht="15.75" customHeight="1" s="372"/>
    <row r="401" ht="15.75" customHeight="1" s="372"/>
    <row r="402" ht="15.75" customHeight="1" s="372"/>
    <row r="403" ht="15.75" customHeight="1" s="372"/>
    <row r="404" ht="15.75" customHeight="1" s="372"/>
    <row r="405" ht="15.75" customHeight="1" s="372"/>
    <row r="406" ht="15.75" customHeight="1" s="372"/>
    <row r="407" ht="15.75" customHeight="1" s="372"/>
    <row r="408" ht="15.75" customHeight="1" s="372"/>
    <row r="409" ht="15.75" customHeight="1" s="372"/>
    <row r="410" ht="15.75" customHeight="1" s="372"/>
    <row r="411" ht="15.75" customHeight="1" s="372"/>
    <row r="412" ht="15.75" customHeight="1" s="372"/>
    <row r="413" ht="15.75" customHeight="1" s="372"/>
    <row r="414" ht="15.75" customHeight="1" s="372"/>
    <row r="415" ht="15.75" customHeight="1" s="372"/>
    <row r="416" ht="15.75" customHeight="1" s="372"/>
    <row r="417" ht="15.75" customHeight="1" s="372"/>
    <row r="418" ht="15.75" customHeight="1" s="372"/>
    <row r="419" ht="15.75" customHeight="1" s="372"/>
    <row r="420" ht="15.75" customHeight="1" s="372"/>
    <row r="421" ht="15.75" customHeight="1" s="372"/>
    <row r="422" ht="15.75" customHeight="1" s="372"/>
    <row r="423" ht="15.75" customHeight="1" s="372"/>
    <row r="424" ht="15.75" customHeight="1" s="372"/>
    <row r="425" ht="15.75" customHeight="1" s="372"/>
    <row r="426" ht="15.75" customHeight="1" s="372"/>
    <row r="427" ht="15.75" customHeight="1" s="372"/>
    <row r="428" ht="15.75" customHeight="1" s="372"/>
    <row r="429" ht="15.75" customHeight="1" s="372"/>
    <row r="430" ht="15.75" customHeight="1" s="372"/>
    <row r="431" ht="15.75" customHeight="1" s="372"/>
    <row r="432" ht="15.75" customHeight="1" s="372"/>
    <row r="433" ht="15.75" customHeight="1" s="372"/>
    <row r="434" ht="15.75" customHeight="1" s="372"/>
    <row r="435" ht="15.75" customHeight="1" s="372"/>
    <row r="436" ht="15.75" customHeight="1" s="372"/>
    <row r="437" ht="15.75" customHeight="1" s="372"/>
    <row r="438" ht="15.75" customHeight="1" s="372"/>
    <row r="439" ht="15.75" customHeight="1" s="372"/>
    <row r="440" ht="15.75" customHeight="1" s="372"/>
    <row r="441" ht="15.75" customHeight="1" s="372"/>
    <row r="442" ht="15.75" customHeight="1" s="372"/>
    <row r="443" ht="15.75" customHeight="1" s="372"/>
    <row r="444" ht="15.75" customHeight="1" s="372"/>
    <row r="445" ht="15.75" customHeight="1" s="372"/>
    <row r="446" ht="15.75" customHeight="1" s="372"/>
    <row r="447" ht="15.75" customHeight="1" s="372"/>
    <row r="448" ht="15.75" customHeight="1" s="372"/>
    <row r="449" ht="15.75" customHeight="1" s="372"/>
    <row r="450" ht="15.75" customHeight="1" s="372"/>
    <row r="451" ht="15.75" customHeight="1" s="372"/>
    <row r="452" ht="15.75" customHeight="1" s="372"/>
    <row r="453" ht="15.75" customHeight="1" s="372"/>
    <row r="454" ht="15.75" customHeight="1" s="372"/>
    <row r="455" ht="15.75" customHeight="1" s="372"/>
    <row r="456" ht="15.75" customHeight="1" s="372"/>
    <row r="457" ht="15.75" customHeight="1" s="372"/>
    <row r="458" ht="15.75" customHeight="1" s="372"/>
    <row r="459" ht="15.75" customHeight="1" s="372"/>
    <row r="460" ht="15.75" customHeight="1" s="372"/>
    <row r="461" ht="15.75" customHeight="1" s="372"/>
    <row r="462" ht="15.75" customHeight="1" s="372"/>
    <row r="463" ht="15.75" customHeight="1" s="372"/>
    <row r="464" ht="15.75" customHeight="1" s="372"/>
    <row r="465" ht="15.75" customHeight="1" s="372"/>
    <row r="466" ht="15.75" customHeight="1" s="372"/>
    <row r="467" ht="15.75" customHeight="1" s="372"/>
    <row r="468" ht="15.75" customHeight="1" s="372"/>
    <row r="469" ht="15.75" customHeight="1" s="372"/>
    <row r="470" ht="15.75" customHeight="1" s="372"/>
    <row r="471" ht="15.75" customHeight="1" s="372"/>
    <row r="472" ht="15.75" customHeight="1" s="372"/>
    <row r="473" ht="15.75" customHeight="1" s="372"/>
    <row r="474" ht="15.75" customHeight="1" s="372"/>
    <row r="475" ht="15.75" customHeight="1" s="372"/>
    <row r="476" ht="15.75" customHeight="1" s="372"/>
    <row r="477" ht="15.75" customHeight="1" s="372"/>
    <row r="478" ht="15.75" customHeight="1" s="372"/>
    <row r="479" ht="15.75" customHeight="1" s="372"/>
    <row r="480" ht="15.75" customHeight="1" s="372"/>
    <row r="481" ht="15.75" customHeight="1" s="372"/>
    <row r="482" ht="15.75" customHeight="1" s="372"/>
    <row r="483" ht="15.75" customHeight="1" s="372"/>
    <row r="484" ht="15.75" customHeight="1" s="372"/>
    <row r="485" ht="15.75" customHeight="1" s="372"/>
    <row r="486" ht="15.75" customHeight="1" s="372"/>
    <row r="487" ht="15.75" customHeight="1" s="372"/>
    <row r="488" ht="15.75" customHeight="1" s="372"/>
    <row r="489" ht="15.75" customHeight="1" s="372"/>
    <row r="490" ht="15.75" customHeight="1" s="372"/>
    <row r="491" ht="15.75" customHeight="1" s="372"/>
    <row r="492" ht="15.75" customHeight="1" s="372"/>
    <row r="493" ht="15.75" customHeight="1" s="372"/>
    <row r="494" ht="15.75" customHeight="1" s="372"/>
    <row r="495" ht="15.75" customHeight="1" s="372"/>
    <row r="496" ht="15.75" customHeight="1" s="372"/>
    <row r="497" ht="15.75" customHeight="1" s="372"/>
    <row r="498" ht="15.75" customHeight="1" s="372"/>
    <row r="499" ht="15.75" customHeight="1" s="372"/>
    <row r="500" ht="15.75" customHeight="1" s="372"/>
    <row r="501" ht="15.75" customHeight="1" s="372"/>
    <row r="502" ht="15.75" customHeight="1" s="372"/>
    <row r="503" ht="15.75" customHeight="1" s="372"/>
    <row r="504" ht="15.75" customHeight="1" s="372"/>
    <row r="505" ht="15.75" customHeight="1" s="372"/>
    <row r="506" ht="15.75" customHeight="1" s="372"/>
    <row r="507" ht="15.75" customHeight="1" s="372"/>
    <row r="508" ht="15.75" customHeight="1" s="372"/>
    <row r="509" ht="15.75" customHeight="1" s="372"/>
    <row r="510" ht="15.75" customHeight="1" s="372"/>
    <row r="511" ht="15.75" customHeight="1" s="372"/>
    <row r="512" ht="15.75" customHeight="1" s="372"/>
    <row r="513" ht="15.75" customHeight="1" s="372"/>
    <row r="514" ht="15.75" customHeight="1" s="372"/>
    <row r="515" ht="15.75" customHeight="1" s="372"/>
    <row r="516" ht="15.75" customHeight="1" s="372"/>
    <row r="517" ht="15.75" customHeight="1" s="372"/>
    <row r="518" ht="15.75" customHeight="1" s="372"/>
    <row r="519" ht="15.75" customHeight="1" s="372"/>
    <row r="520" ht="15.75" customHeight="1" s="372"/>
    <row r="521" ht="15.75" customHeight="1" s="372"/>
    <row r="522" ht="15.75" customHeight="1" s="372"/>
    <row r="523" ht="15.75" customHeight="1" s="372"/>
    <row r="524" ht="15.75" customHeight="1" s="372"/>
    <row r="525" ht="15.75" customHeight="1" s="372"/>
    <row r="526" ht="15.75" customHeight="1" s="372"/>
    <row r="527" ht="15.75" customHeight="1" s="372"/>
    <row r="528" ht="15.75" customHeight="1" s="372"/>
    <row r="529" ht="15.75" customHeight="1" s="372"/>
    <row r="530" ht="15.75" customHeight="1" s="372"/>
    <row r="531" ht="15.75" customHeight="1" s="372"/>
    <row r="532" ht="15.75" customHeight="1" s="372"/>
    <row r="533" ht="15.75" customHeight="1" s="372"/>
    <row r="534" ht="15.75" customHeight="1" s="372"/>
    <row r="535" ht="15.75" customHeight="1" s="372"/>
    <row r="536" ht="15.75" customHeight="1" s="372"/>
    <row r="537" ht="15.75" customHeight="1" s="372"/>
    <row r="538" ht="15.75" customHeight="1" s="372"/>
    <row r="539" ht="15.75" customHeight="1" s="372"/>
    <row r="540" ht="15.75" customHeight="1" s="372"/>
    <row r="541" ht="15.75" customHeight="1" s="372"/>
    <row r="542" ht="15.75" customHeight="1" s="372"/>
    <row r="543" ht="15.75" customHeight="1" s="372"/>
    <row r="544" ht="15.75" customHeight="1" s="372"/>
    <row r="545" ht="15.75" customHeight="1" s="372"/>
    <row r="546" ht="15.75" customHeight="1" s="372"/>
    <row r="547" ht="15.75" customHeight="1" s="372"/>
    <row r="548" ht="15.75" customHeight="1" s="372"/>
    <row r="549" ht="15.75" customHeight="1" s="372"/>
    <row r="550" ht="15.75" customHeight="1" s="372"/>
    <row r="551" ht="15.75" customHeight="1" s="372"/>
    <row r="552" ht="15.75" customHeight="1" s="372"/>
    <row r="553" ht="15.75" customHeight="1" s="372"/>
    <row r="554" ht="15.75" customHeight="1" s="372"/>
    <row r="555" ht="15.75" customHeight="1" s="372"/>
    <row r="556" ht="15.75" customHeight="1" s="372"/>
    <row r="557" ht="15.75" customHeight="1" s="372"/>
    <row r="558" ht="15.75" customHeight="1" s="372"/>
    <row r="559" ht="15.75" customHeight="1" s="372"/>
    <row r="560" ht="15.75" customHeight="1" s="372"/>
    <row r="561" ht="15.75" customHeight="1" s="372"/>
    <row r="562" ht="15.75" customHeight="1" s="372"/>
    <row r="563" ht="15.75" customHeight="1" s="372"/>
    <row r="564" ht="15.75" customHeight="1" s="372"/>
    <row r="565" ht="15.75" customHeight="1" s="372"/>
    <row r="566" ht="15.75" customHeight="1" s="372"/>
    <row r="567" ht="15.75" customHeight="1" s="372"/>
    <row r="568" ht="15.75" customHeight="1" s="372"/>
    <row r="569" ht="15.75" customHeight="1" s="372"/>
    <row r="570" ht="15.75" customHeight="1" s="372"/>
    <row r="571" ht="15.75" customHeight="1" s="372"/>
    <row r="572" ht="15.75" customHeight="1" s="372"/>
    <row r="573" ht="15.75" customHeight="1" s="372"/>
    <row r="574" ht="15.75" customHeight="1" s="372"/>
    <row r="575" ht="15.75" customHeight="1" s="372"/>
    <row r="576" ht="15.75" customHeight="1" s="372"/>
    <row r="577" ht="15.75" customHeight="1" s="372"/>
    <row r="578" ht="15.75" customHeight="1" s="372"/>
    <row r="579" ht="15.75" customHeight="1" s="372"/>
    <row r="580" ht="15.75" customHeight="1" s="372"/>
    <row r="581" ht="15.75" customHeight="1" s="372"/>
    <row r="582" ht="15.75" customHeight="1" s="372"/>
    <row r="583" ht="15.75" customHeight="1" s="372"/>
    <row r="584" ht="15.75" customHeight="1" s="372"/>
    <row r="585" ht="15.75" customHeight="1" s="372"/>
    <row r="586" ht="15.75" customHeight="1" s="372"/>
    <row r="587" ht="15.75" customHeight="1" s="372"/>
    <row r="588" ht="15.75" customHeight="1" s="372"/>
    <row r="589" ht="15.75" customHeight="1" s="372"/>
    <row r="590" ht="15.75" customHeight="1" s="372"/>
    <row r="591" ht="15.75" customHeight="1" s="372"/>
    <row r="592" ht="15.75" customHeight="1" s="372"/>
    <row r="593" ht="15.75" customHeight="1" s="372"/>
    <row r="594" ht="15.75" customHeight="1" s="372"/>
    <row r="595" ht="15.75" customHeight="1" s="372"/>
    <row r="596" ht="15.75" customHeight="1" s="372"/>
    <row r="597" ht="15.75" customHeight="1" s="372"/>
    <row r="598" ht="15.75" customHeight="1" s="372"/>
    <row r="599" ht="15.75" customHeight="1" s="372"/>
    <row r="600" ht="15.75" customHeight="1" s="372"/>
    <row r="601" ht="15.75" customHeight="1" s="372"/>
    <row r="602" ht="15.75" customHeight="1" s="372"/>
    <row r="603" ht="15.75" customHeight="1" s="372"/>
    <row r="604" ht="15.75" customHeight="1" s="372"/>
    <row r="605" ht="15.75" customHeight="1" s="372"/>
    <row r="606" ht="15.75" customHeight="1" s="372"/>
    <row r="607" ht="15.75" customHeight="1" s="372"/>
    <row r="608" ht="15.75" customHeight="1" s="372"/>
    <row r="609" ht="15.75" customHeight="1" s="372"/>
    <row r="610" ht="15.75" customHeight="1" s="372"/>
    <row r="611" ht="15.75" customHeight="1" s="372"/>
    <row r="612" ht="15.75" customHeight="1" s="372"/>
    <row r="613" ht="15.75" customHeight="1" s="372"/>
    <row r="614" ht="15.75" customHeight="1" s="372"/>
    <row r="615" ht="15.75" customHeight="1" s="372"/>
    <row r="616" ht="15.75" customHeight="1" s="372"/>
    <row r="617" ht="15.75" customHeight="1" s="372"/>
    <row r="618" ht="15.75" customHeight="1" s="372"/>
    <row r="619" ht="15.75" customHeight="1" s="372"/>
    <row r="620" ht="15.75" customHeight="1" s="372"/>
    <row r="621" ht="15.75" customHeight="1" s="372"/>
    <row r="622" ht="15.75" customHeight="1" s="372"/>
    <row r="623" ht="15.75" customHeight="1" s="372"/>
    <row r="624" ht="15.75" customHeight="1" s="372"/>
    <row r="625" ht="15.75" customHeight="1" s="372"/>
    <row r="626" ht="15.75" customHeight="1" s="372"/>
    <row r="627" ht="15.75" customHeight="1" s="372"/>
    <row r="628" ht="15.75" customHeight="1" s="372"/>
    <row r="629" ht="15.75" customHeight="1" s="372"/>
    <row r="630" ht="15.75" customHeight="1" s="372"/>
    <row r="631" ht="15.75" customHeight="1" s="372"/>
    <row r="632" ht="15.75" customHeight="1" s="372"/>
    <row r="633" ht="15.75" customHeight="1" s="372"/>
    <row r="634" ht="15.75" customHeight="1" s="372"/>
    <row r="635" ht="15.75" customHeight="1" s="372"/>
    <row r="636" ht="15.75" customHeight="1" s="372"/>
    <row r="637" ht="15.75" customHeight="1" s="372"/>
    <row r="638" ht="15.75" customHeight="1" s="372"/>
    <row r="639" ht="15.75" customHeight="1" s="372"/>
    <row r="640" ht="15.75" customHeight="1" s="372"/>
    <row r="641" ht="15.75" customHeight="1" s="372"/>
    <row r="642" ht="15.75" customHeight="1" s="372"/>
    <row r="643" ht="15.75" customHeight="1" s="372"/>
    <row r="644" ht="15.75" customHeight="1" s="372"/>
    <row r="645" ht="15.75" customHeight="1" s="372"/>
    <row r="646" ht="15.75" customHeight="1" s="372"/>
    <row r="647" ht="15.75" customHeight="1" s="372"/>
    <row r="648" ht="15.75" customHeight="1" s="372"/>
    <row r="649" ht="15.75" customHeight="1" s="372"/>
    <row r="650" ht="15.75" customHeight="1" s="372"/>
    <row r="651" ht="15.75" customHeight="1" s="372"/>
    <row r="652" ht="15.75" customHeight="1" s="372"/>
    <row r="653" ht="15.75" customHeight="1" s="372"/>
    <row r="654" ht="15.75" customHeight="1" s="372"/>
    <row r="655" ht="15.75" customHeight="1" s="372"/>
    <row r="656" ht="15.75" customHeight="1" s="372"/>
    <row r="657" ht="15.75" customHeight="1" s="372"/>
    <row r="658" ht="15.75" customHeight="1" s="372"/>
    <row r="659" ht="15.75" customHeight="1" s="372"/>
    <row r="660" ht="15.75" customHeight="1" s="372"/>
    <row r="661" ht="15.75" customHeight="1" s="372"/>
    <row r="662" ht="15.75" customHeight="1" s="372"/>
    <row r="663" ht="15.75" customHeight="1" s="372"/>
    <row r="664" ht="15.75" customHeight="1" s="372"/>
    <row r="665" ht="15.75" customHeight="1" s="372"/>
    <row r="666" ht="15.75" customHeight="1" s="372"/>
    <row r="667" ht="15.75" customHeight="1" s="372"/>
    <row r="668" ht="15.75" customHeight="1" s="372"/>
    <row r="669" ht="15.75" customHeight="1" s="372"/>
    <row r="670" ht="15.75" customHeight="1" s="372"/>
    <row r="671" ht="15.75" customHeight="1" s="372"/>
    <row r="672" ht="15.75" customHeight="1" s="372"/>
    <row r="673" ht="15.75" customHeight="1" s="372"/>
    <row r="674" ht="15.75" customHeight="1" s="372"/>
    <row r="675" ht="15.75" customHeight="1" s="372"/>
    <row r="676" ht="15.75" customHeight="1" s="372"/>
    <row r="677" ht="15.75" customHeight="1" s="372"/>
    <row r="678" ht="15.75" customHeight="1" s="372"/>
    <row r="679" ht="15.75" customHeight="1" s="372"/>
    <row r="680" ht="15.75" customHeight="1" s="372"/>
    <row r="681" ht="15.75" customHeight="1" s="372"/>
    <row r="682" ht="15.75" customHeight="1" s="372"/>
    <row r="683" ht="15.75" customHeight="1" s="372"/>
    <row r="684" ht="15.75" customHeight="1" s="372"/>
    <row r="685" ht="15.75" customHeight="1" s="372"/>
    <row r="686" ht="15.75" customHeight="1" s="372"/>
    <row r="687" ht="15.75" customHeight="1" s="372"/>
    <row r="688" ht="15.75" customHeight="1" s="372"/>
    <row r="689" ht="15.75" customHeight="1" s="372"/>
    <row r="690" ht="15.75" customHeight="1" s="372"/>
    <row r="691" ht="15.75" customHeight="1" s="372"/>
    <row r="692" ht="15.75" customHeight="1" s="372"/>
    <row r="693" ht="15.75" customHeight="1" s="372"/>
    <row r="694" ht="15.75" customHeight="1" s="372"/>
    <row r="695" ht="15.75" customHeight="1" s="372"/>
    <row r="696" ht="15.75" customHeight="1" s="372"/>
    <row r="697" ht="15.75" customHeight="1" s="372"/>
    <row r="698" ht="15.75" customHeight="1" s="372"/>
    <row r="699" ht="15.75" customHeight="1" s="372"/>
    <row r="700" ht="15.75" customHeight="1" s="372"/>
    <row r="701" ht="15.75" customHeight="1" s="372"/>
    <row r="702" ht="15.75" customHeight="1" s="372"/>
    <row r="703" ht="15.75" customHeight="1" s="372"/>
    <row r="704" ht="15.75" customHeight="1" s="372"/>
    <row r="705" ht="15.75" customHeight="1" s="372"/>
    <row r="706" ht="15.75" customHeight="1" s="372"/>
    <row r="707" ht="15.75" customHeight="1" s="372"/>
    <row r="708" ht="15.75" customHeight="1" s="372"/>
    <row r="709" ht="15.75" customHeight="1" s="372"/>
    <row r="710" ht="15.75" customHeight="1" s="372"/>
    <row r="711" ht="15.75" customHeight="1" s="372"/>
    <row r="712" ht="15.75" customHeight="1" s="372"/>
    <row r="713" ht="15.75" customHeight="1" s="372"/>
    <row r="714" ht="15.75" customHeight="1" s="372"/>
    <row r="715" ht="15.75" customHeight="1" s="372"/>
    <row r="716" ht="15.75" customHeight="1" s="372"/>
    <row r="717" ht="15.75" customHeight="1" s="372"/>
    <row r="718" ht="15.75" customHeight="1" s="372"/>
    <row r="719" ht="15.75" customHeight="1" s="372"/>
    <row r="720" ht="15.75" customHeight="1" s="372"/>
    <row r="721" ht="15.75" customHeight="1" s="372"/>
    <row r="722" ht="15.75" customHeight="1" s="372"/>
    <row r="723" ht="15.75" customHeight="1" s="372"/>
    <row r="724" ht="15.75" customHeight="1" s="372"/>
    <row r="725" ht="15.75" customHeight="1" s="372"/>
    <row r="726" ht="15.75" customHeight="1" s="372"/>
    <row r="727" ht="15.75" customHeight="1" s="372"/>
    <row r="728" ht="15.75" customHeight="1" s="372"/>
    <row r="729" ht="15.75" customHeight="1" s="372"/>
    <row r="730" ht="15.75" customHeight="1" s="372"/>
    <row r="731" ht="15.75" customHeight="1" s="372"/>
    <row r="732" ht="15.75" customHeight="1" s="372"/>
    <row r="733" ht="15.75" customHeight="1" s="372"/>
    <row r="734" ht="15.75" customHeight="1" s="372"/>
    <row r="735" ht="15.75" customHeight="1" s="372"/>
    <row r="736" ht="15.75" customHeight="1" s="372"/>
    <row r="737" ht="15.75" customHeight="1" s="372"/>
    <row r="738" ht="15.75" customHeight="1" s="372"/>
    <row r="739" ht="15.75" customHeight="1" s="372"/>
    <row r="740" ht="15.75" customHeight="1" s="372"/>
    <row r="741" ht="15.75" customHeight="1" s="372"/>
    <row r="742" ht="15.75" customHeight="1" s="372"/>
    <row r="743" ht="15.75" customHeight="1" s="372"/>
    <row r="744" ht="15.75" customHeight="1" s="372"/>
    <row r="745" ht="15.75" customHeight="1" s="372"/>
    <row r="746" ht="15.75" customHeight="1" s="372"/>
    <row r="747" ht="15.75" customHeight="1" s="372"/>
    <row r="748" ht="15.75" customHeight="1" s="372"/>
    <row r="749" ht="15.75" customHeight="1" s="372"/>
    <row r="750" ht="15.75" customHeight="1" s="372"/>
    <row r="751" ht="15.75" customHeight="1" s="372"/>
    <row r="752" ht="15.75" customHeight="1" s="372"/>
    <row r="753" ht="15.75" customHeight="1" s="372"/>
    <row r="754" ht="15.75" customHeight="1" s="372"/>
    <row r="755" ht="15.75" customHeight="1" s="372"/>
    <row r="756" ht="15.75" customHeight="1" s="372"/>
    <row r="757" ht="15.75" customHeight="1" s="372"/>
    <row r="758" ht="15.75" customHeight="1" s="372"/>
    <row r="759" ht="15.75" customHeight="1" s="372"/>
    <row r="760" ht="15.75" customHeight="1" s="372"/>
    <row r="761" ht="15.75" customHeight="1" s="372"/>
    <row r="762" ht="15.75" customHeight="1" s="372"/>
    <row r="763" ht="15.75" customHeight="1" s="372"/>
    <row r="764" ht="15.75" customHeight="1" s="372"/>
    <row r="765" ht="15.75" customHeight="1" s="372"/>
    <row r="766" ht="15.75" customHeight="1" s="372"/>
    <row r="767" ht="15.75" customHeight="1" s="372"/>
    <row r="768" ht="15.75" customHeight="1" s="372"/>
    <row r="769" ht="15.75" customHeight="1" s="372"/>
    <row r="770" ht="15.75" customHeight="1" s="372"/>
    <row r="771" ht="15.75" customHeight="1" s="372"/>
    <row r="772" ht="15.75" customHeight="1" s="372"/>
    <row r="773" ht="15.75" customHeight="1" s="372"/>
    <row r="774" ht="15.75" customHeight="1" s="372"/>
    <row r="775" ht="15.75" customHeight="1" s="372"/>
    <row r="776" ht="15.75" customHeight="1" s="372"/>
    <row r="777" ht="15.75" customHeight="1" s="372"/>
    <row r="778" ht="15.75" customHeight="1" s="372"/>
    <row r="779" ht="15.75" customHeight="1" s="372"/>
    <row r="780" ht="15.75" customHeight="1" s="372"/>
    <row r="781" ht="15.75" customHeight="1" s="372"/>
    <row r="782" ht="15.75" customHeight="1" s="372"/>
    <row r="783" ht="15.75" customHeight="1" s="372"/>
    <row r="784" ht="15.75" customHeight="1" s="372"/>
    <row r="785" ht="15.75" customHeight="1" s="372"/>
    <row r="786" ht="15.75" customHeight="1" s="372"/>
    <row r="787" ht="15.75" customHeight="1" s="372"/>
    <row r="788" ht="15.75" customHeight="1" s="372"/>
    <row r="789" ht="15.75" customHeight="1" s="372"/>
    <row r="790" ht="15.75" customHeight="1" s="372"/>
    <row r="791" ht="15.75" customHeight="1" s="372"/>
    <row r="792" ht="15.75" customHeight="1" s="372"/>
    <row r="793" ht="15.75" customHeight="1" s="372"/>
    <row r="794" ht="15.75" customHeight="1" s="372"/>
    <row r="795" ht="15.75" customHeight="1" s="372"/>
    <row r="796" ht="15.75" customHeight="1" s="372"/>
    <row r="797" ht="15.75" customHeight="1" s="372"/>
    <row r="798" ht="15.75" customHeight="1" s="372"/>
    <row r="799" ht="15.75" customHeight="1" s="372"/>
    <row r="800" ht="15.75" customHeight="1" s="372"/>
    <row r="801" ht="15.75" customHeight="1" s="372"/>
    <row r="802" ht="15.75" customHeight="1" s="372"/>
    <row r="803" ht="15.75" customHeight="1" s="372"/>
    <row r="804" ht="15.75" customHeight="1" s="372"/>
    <row r="805" ht="15.75" customHeight="1" s="372"/>
    <row r="806" ht="15.75" customHeight="1" s="372"/>
    <row r="807" ht="15.75" customHeight="1" s="372"/>
    <row r="808" ht="15.75" customHeight="1" s="372"/>
    <row r="809" ht="15.75" customHeight="1" s="372"/>
    <row r="810" ht="15.75" customHeight="1" s="372"/>
    <row r="811" ht="15.75" customHeight="1" s="372"/>
    <row r="812" ht="15.75" customHeight="1" s="372"/>
    <row r="813" ht="15.75" customHeight="1" s="372"/>
    <row r="814" ht="15.75" customHeight="1" s="372"/>
    <row r="815" ht="15.75" customHeight="1" s="372"/>
    <row r="816" ht="15.75" customHeight="1" s="372"/>
    <row r="817" ht="15.75" customHeight="1" s="372"/>
    <row r="818" ht="15.75" customHeight="1" s="372"/>
    <row r="819" ht="15.75" customHeight="1" s="372"/>
    <row r="820" ht="15.75" customHeight="1" s="372"/>
    <row r="821" ht="15.75" customHeight="1" s="372"/>
    <row r="822" ht="15.75" customHeight="1" s="372"/>
    <row r="823" ht="15.75" customHeight="1" s="372"/>
    <row r="824" ht="15.75" customHeight="1" s="372"/>
    <row r="825" ht="15.75" customHeight="1" s="372"/>
    <row r="826" ht="15.75" customHeight="1" s="372"/>
    <row r="827" ht="15.75" customHeight="1" s="372"/>
    <row r="828" ht="15.75" customHeight="1" s="372"/>
    <row r="829" ht="15.75" customHeight="1" s="372"/>
    <row r="830" ht="15.75" customHeight="1" s="372"/>
    <row r="831" ht="15.75" customHeight="1" s="372"/>
    <row r="832" ht="15.75" customHeight="1" s="372"/>
    <row r="833" ht="15.75" customHeight="1" s="372"/>
    <row r="834" ht="15.75" customHeight="1" s="372"/>
    <row r="835" ht="15.75" customHeight="1" s="372"/>
    <row r="836" ht="15.75" customHeight="1" s="372"/>
    <row r="837" ht="15.75" customHeight="1" s="372"/>
    <row r="838" ht="15.75" customHeight="1" s="372"/>
    <row r="839" ht="15.75" customHeight="1" s="372"/>
    <row r="840" ht="15.75" customHeight="1" s="372"/>
    <row r="841" ht="15.75" customHeight="1" s="372"/>
    <row r="842" ht="15.75" customHeight="1" s="372"/>
    <row r="843" ht="15.75" customHeight="1" s="372"/>
    <row r="844" ht="15.75" customHeight="1" s="372"/>
    <row r="845" ht="15.75" customHeight="1" s="372"/>
    <row r="846" ht="15.75" customHeight="1" s="372"/>
    <row r="847" ht="15.75" customHeight="1" s="372"/>
    <row r="848" ht="15.75" customHeight="1" s="372"/>
    <row r="849" ht="15.75" customHeight="1" s="372"/>
    <row r="850" ht="15.75" customHeight="1" s="372"/>
    <row r="851" ht="15.75" customHeight="1" s="372"/>
    <row r="852" ht="15.75" customHeight="1" s="372"/>
    <row r="853" ht="15.75" customHeight="1" s="372"/>
    <row r="854" ht="15.75" customHeight="1" s="372"/>
    <row r="855" ht="15.75" customHeight="1" s="372"/>
    <row r="856" ht="15.75" customHeight="1" s="372"/>
    <row r="857" ht="15.75" customHeight="1" s="372"/>
    <row r="858" ht="15.75" customHeight="1" s="372"/>
    <row r="859" ht="15.75" customHeight="1" s="372"/>
    <row r="860" ht="15.75" customHeight="1" s="372"/>
    <row r="861" ht="15.75" customHeight="1" s="372"/>
    <row r="862" ht="15.75" customHeight="1" s="372"/>
    <row r="863" ht="15.75" customHeight="1" s="372"/>
    <row r="864" ht="15.75" customHeight="1" s="372"/>
    <row r="865" ht="15.75" customHeight="1" s="372"/>
    <row r="866" ht="15.75" customHeight="1" s="372"/>
    <row r="867" ht="15.75" customHeight="1" s="372"/>
    <row r="868" ht="15.75" customHeight="1" s="372"/>
    <row r="869" ht="15.75" customHeight="1" s="372"/>
    <row r="870" ht="15.75" customHeight="1" s="372"/>
    <row r="871" ht="15.75" customHeight="1" s="372"/>
    <row r="872" ht="15.75" customHeight="1" s="372"/>
    <row r="873" ht="15.75" customHeight="1" s="372"/>
    <row r="874" ht="15.75" customHeight="1" s="372"/>
    <row r="875" ht="15.75" customHeight="1" s="372"/>
    <row r="876" ht="15.75" customHeight="1" s="372"/>
    <row r="877" ht="15.75" customHeight="1" s="372"/>
    <row r="878" ht="15.75" customHeight="1" s="372"/>
    <row r="879" ht="15.75" customHeight="1" s="372"/>
    <row r="880" ht="15.75" customHeight="1" s="372"/>
    <row r="881" ht="15.75" customHeight="1" s="372"/>
    <row r="882" ht="15.75" customHeight="1" s="372"/>
    <row r="883" ht="15.75" customHeight="1" s="372"/>
    <row r="884" ht="15.75" customHeight="1" s="372"/>
    <row r="885" ht="15.75" customHeight="1" s="372"/>
    <row r="886" ht="15.75" customHeight="1" s="372"/>
    <row r="887" ht="15.75" customHeight="1" s="372"/>
    <row r="888" ht="15.75" customHeight="1" s="372"/>
    <row r="889" ht="15.75" customHeight="1" s="372"/>
    <row r="890" ht="15.75" customHeight="1" s="372"/>
    <row r="891" ht="15.75" customHeight="1" s="372"/>
    <row r="892" ht="15.75" customHeight="1" s="372"/>
    <row r="893" ht="15.75" customHeight="1" s="372"/>
    <row r="894" ht="15.75" customHeight="1" s="372"/>
    <row r="895" ht="15.75" customHeight="1" s="372"/>
    <row r="896" ht="15.75" customHeight="1" s="372"/>
    <row r="897" ht="15.75" customHeight="1" s="372"/>
    <row r="898" ht="15.75" customHeight="1" s="372"/>
    <row r="899" ht="15.75" customHeight="1" s="372"/>
    <row r="900" ht="15.75" customHeight="1" s="372"/>
    <row r="901" ht="15.75" customHeight="1" s="372"/>
    <row r="902" ht="15.75" customHeight="1" s="372"/>
    <row r="903" ht="15.75" customHeight="1" s="372"/>
    <row r="904" ht="15.75" customHeight="1" s="372"/>
    <row r="905" ht="15.75" customHeight="1" s="372"/>
    <row r="906" ht="15.75" customHeight="1" s="372"/>
    <row r="907" ht="15.75" customHeight="1" s="372"/>
    <row r="908" ht="15.75" customHeight="1" s="372"/>
    <row r="909" ht="15.75" customHeight="1" s="372"/>
    <row r="910" ht="15.75" customHeight="1" s="372"/>
    <row r="911" ht="15.75" customHeight="1" s="372"/>
    <row r="912" ht="15.75" customHeight="1" s="372"/>
    <row r="913" ht="15.75" customHeight="1" s="372"/>
    <row r="914" ht="15.75" customHeight="1" s="372"/>
    <row r="915" ht="15.75" customHeight="1" s="372"/>
    <row r="916" ht="15.75" customHeight="1" s="372"/>
    <row r="917" ht="15.75" customHeight="1" s="372"/>
    <row r="918" ht="15.75" customHeight="1" s="372"/>
    <row r="919" ht="15.75" customHeight="1" s="372"/>
    <row r="920" ht="15.75" customHeight="1" s="372"/>
    <row r="921" ht="15.75" customHeight="1" s="372"/>
    <row r="922" ht="15.75" customHeight="1" s="372"/>
    <row r="923" ht="15.75" customHeight="1" s="372"/>
    <row r="924" ht="15.75" customHeight="1" s="372"/>
    <row r="925" ht="15.75" customHeight="1" s="372"/>
    <row r="926" ht="15.75" customHeight="1" s="372"/>
    <row r="927" ht="15.75" customHeight="1" s="372"/>
    <row r="928" ht="15.75" customHeight="1" s="372"/>
    <row r="929" ht="15.75" customHeight="1" s="372"/>
    <row r="930" ht="15.75" customHeight="1" s="372"/>
    <row r="931" ht="15.75" customHeight="1" s="372"/>
    <row r="932" ht="15.75" customHeight="1" s="372"/>
    <row r="933" ht="15.75" customHeight="1" s="372"/>
    <row r="934" ht="15.75" customHeight="1" s="372"/>
    <row r="935" ht="15.75" customHeight="1" s="372"/>
    <row r="936" ht="15.75" customHeight="1" s="372"/>
    <row r="937" ht="15.75" customHeight="1" s="372"/>
    <row r="938" ht="15.75" customHeight="1" s="372"/>
    <row r="939" ht="15.75" customHeight="1" s="372"/>
    <row r="940" ht="15.75" customHeight="1" s="372"/>
    <row r="941" ht="15.75" customHeight="1" s="372"/>
    <row r="942" ht="15.75" customHeight="1" s="372"/>
    <row r="943" ht="15.75" customHeight="1" s="372"/>
    <row r="944" ht="15.75" customHeight="1" s="372"/>
    <row r="945" ht="15.75" customHeight="1" s="372"/>
    <row r="946" ht="15.75" customHeight="1" s="372"/>
    <row r="947" ht="15.75" customHeight="1" s="372"/>
    <row r="948" ht="15.75" customHeight="1" s="372"/>
    <row r="949" ht="15.75" customHeight="1" s="372"/>
    <row r="950" ht="15.75" customHeight="1" s="372"/>
    <row r="951" ht="15.75" customHeight="1" s="372"/>
    <row r="952" ht="15.75" customHeight="1" s="372"/>
    <row r="953" ht="15.75" customHeight="1" s="372"/>
    <row r="954" ht="15.75" customHeight="1" s="372"/>
    <row r="955" ht="15.75" customHeight="1" s="372"/>
    <row r="956" ht="15.75" customHeight="1" s="372"/>
    <row r="957" ht="15.75" customHeight="1" s="372"/>
    <row r="958" ht="15.75" customHeight="1" s="372"/>
    <row r="959" ht="15.75" customHeight="1" s="372"/>
    <row r="960" ht="15.75" customHeight="1" s="372"/>
    <row r="961" ht="15.75" customHeight="1" s="372"/>
    <row r="962" ht="15.75" customHeight="1" s="372"/>
    <row r="963" ht="15.75" customHeight="1" s="372"/>
    <row r="964" ht="15.75" customHeight="1" s="372"/>
    <row r="965" ht="15.75" customHeight="1" s="372"/>
    <row r="966" ht="15.75" customHeight="1" s="372"/>
    <row r="967" ht="15.75" customHeight="1" s="372"/>
    <row r="968" ht="15.75" customHeight="1" s="372"/>
    <row r="969" ht="15.75" customHeight="1" s="372"/>
    <row r="970" ht="15.75" customHeight="1" s="372"/>
    <row r="971" ht="15.75" customHeight="1" s="372"/>
    <row r="972" ht="15.75" customHeight="1" s="372"/>
    <row r="973" ht="15.75" customHeight="1" s="372"/>
    <row r="974" ht="15.75" customHeight="1" s="372"/>
    <row r="975" ht="15.75" customHeight="1" s="372"/>
    <row r="976" ht="15.75" customHeight="1" s="372"/>
    <row r="977" ht="15.75" customHeight="1" s="372"/>
    <row r="978" ht="15.75" customHeight="1" s="372"/>
    <row r="979" ht="15.75" customHeight="1" s="372"/>
    <row r="980" ht="15.75" customHeight="1" s="372"/>
    <row r="981" ht="15.75" customHeight="1" s="372"/>
    <row r="982" ht="15.75" customHeight="1" s="372"/>
    <row r="983" ht="15.75" customHeight="1" s="372"/>
    <row r="984" ht="15.75" customHeight="1" s="372"/>
    <row r="985" ht="15.75" customHeight="1" s="372"/>
    <row r="986" ht="15.75" customHeight="1" s="372"/>
    <row r="987" ht="15.75" customHeight="1" s="372"/>
    <row r="988" ht="15.75" customHeight="1" s="372"/>
    <row r="989" ht="15.75" customHeight="1" s="372"/>
    <row r="990" ht="15.75" customHeight="1" s="372"/>
    <row r="991" ht="15.75" customHeight="1" s="372"/>
    <row r="992" ht="15.75" customHeight="1" s="372"/>
    <row r="993" ht="15.75" customHeight="1" s="372"/>
    <row r="994" ht="15.75" customHeight="1" s="372"/>
    <row r="995" ht="15.75" customHeight="1" s="372"/>
    <row r="996" ht="15.75" customHeight="1" s="372"/>
    <row r="997" ht="15.75" customHeight="1" s="372"/>
    <row r="998" ht="15.75" customHeight="1" s="372"/>
    <row r="999" ht="15.75" customHeight="1" s="372"/>
    <row r="1000" ht="15.75" customHeight="1" s="372"/>
  </sheetData>
  <mergeCells count="7">
    <mergeCell ref="A9:D9"/>
    <mergeCell ref="H2:I2"/>
    <mergeCell ref="A1:M1"/>
    <mergeCell ref="E2:F2"/>
    <mergeCell ref="A2:D2"/>
    <mergeCell ref="A3:F3"/>
    <mergeCell ref="E9:F9"/>
  </mergeCells>
  <dataValidations count="3">
    <dataValidation sqref="D6:D8 D10:D32" showDropDown="0" showInputMessage="0" showErrorMessage="0" allowBlank="1" type="list">
      <formula1>"Observer,Participant,Leader"</formula1>
    </dataValidation>
    <dataValidation sqref="C6:C8 C10:C32" showDropDown="0" showInputMessage="0" showErrorMessage="0" allowBlank="1" type="list">
      <formula1>"Elementary,Middle,High,Central Office,Agency,Other"</formula1>
    </dataValidation>
    <dataValidation sqref="O6 O7 O8 O10 O11 O12 O13 O14 O15 O16 O17 O18 O19 O20 O21 O22 O23 O24 O25 O26 O27 O28 O29 O30 O31" showDropDown="0" showInputMessage="1" showErrorMessage="0" allowBlank="1" promptTitle="Completed" prompt="Choose Yes once you have finished this experience." type="list">
      <formula1>"Yes"</formula1>
    </dataValidation>
  </dataValidations>
  <pageMargins left="0.75" right="0.75" top="1" bottom="1" header="0" footer="0"/>
  <pageSetup orientation="portrait" paperSize="9"/>
</worksheet>
</file>

<file path=xl/worksheets/sheet7.xml><?xml version="1.0" encoding="utf-8"?>
<worksheet xmlns="http://schemas.openxmlformats.org/spreadsheetml/2006/main">
  <sheetPr>
    <tabColor rgb="FF9900FF"/>
    <outlinePr summaryBelow="1" summaryRight="1"/>
    <pageSetUpPr/>
  </sheetPr>
  <dimension ref="A1:Z32"/>
  <sheetViews>
    <sheetView workbookViewId="0">
      <pane ySplit="5" topLeftCell="A6" activePane="bottomLeft" state="frozen"/>
      <selection pane="bottomLeft" activeCell="B7" sqref="B7"/>
    </sheetView>
  </sheetViews>
  <sheetFormatPr baseColWidth="8" defaultColWidth="14.43" defaultRowHeight="15" customHeight="1"/>
  <cols>
    <col width="12" customWidth="1" style="372" min="1" max="2"/>
    <col width="14" customWidth="1" style="372" min="3" max="3"/>
    <col width="10" customWidth="1" style="372" min="4" max="4"/>
    <col width="55" customWidth="1" style="372" min="5" max="5"/>
    <col width="8" customWidth="1" style="372" min="6" max="6"/>
    <col width="5" customWidth="1" style="372" min="7" max="12"/>
    <col width="28" customWidth="1" style="372" min="13" max="13"/>
    <col width="29.71" customWidth="1" style="372" min="14" max="14"/>
    <col width="12" customWidth="1" style="372" min="15" max="26"/>
  </cols>
  <sheetData>
    <row r="1" ht="39.75" customHeight="1" s="372">
      <c r="A1" s="157" t="inlineStr">
        <is>
          <t>INTERNSHIP LOG  |  7140 – Leadership II (LEAD II)  |  Semester 3</t>
        </is>
      </c>
    </row>
    <row r="2" ht="36" customHeight="1" s="372">
      <c r="A2" s="19" t="inlineStr">
        <is>
          <t>Name: Pat Example      Placement(s): Invented Elementary</t>
        </is>
      </c>
      <c r="B2" s="373" t="n"/>
      <c r="C2" s="373" t="n"/>
      <c r="D2" s="373" t="n"/>
      <c r="E2" s="21" t="inlineStr">
        <is>
          <t>Total Hours Logged</t>
        </is>
      </c>
      <c r="F2" s="373" t="n"/>
      <c r="G2" s="22">
        <f>SUM(F6:F200)</f>
        <v/>
      </c>
      <c r="H2" s="23" t="inlineStr">
        <is>
          <t>Remaining</t>
        </is>
      </c>
      <c r="I2" s="373" t="n"/>
      <c r="J2" s="24">
        <f>(32-G2)</f>
        <v/>
      </c>
    </row>
    <row r="3" ht="19.5" customHeight="1" s="372">
      <c r="A3" s="25" t="inlineStr">
        <is>
          <t>Hours by Competency (auto-calculated from your X marks below):</t>
        </is>
      </c>
      <c r="G3" s="26">
        <f>SUMIF($G$6:$G$200,"X",$F$6:$F$200)</f>
        <v/>
      </c>
      <c r="H3" s="27">
        <f>SUMIF($H$6:$H$200,"X",$F$6:$F$200)</f>
        <v/>
      </c>
      <c r="I3" s="28">
        <f>SUMIF($I$6:$I$200,"X",$F$6:$F$200)</f>
        <v/>
      </c>
      <c r="J3" s="29">
        <f>SUMIF($J$6:$J$200,"X",$F$6:$F$200)</f>
        <v/>
      </c>
      <c r="K3" s="30">
        <f>SUMIF($K$6:$K$200,"X",$F$6:$F$200)</f>
        <v/>
      </c>
      <c r="L3" s="31">
        <f>SUMIF($L$6:$L$200,"X",$F$6:$F$200)</f>
        <v/>
      </c>
      <c r="M3" s="32" t="inlineStr">
        <is>
          <t>← Competency hour totals</t>
        </is>
      </c>
    </row>
    <row r="4" ht="6" customHeight="1" s="372"/>
    <row r="5" ht="31.5" customHeight="1" s="372">
      <c r="A5" s="33" t="inlineStr">
        <is>
          <t>Type</t>
        </is>
      </c>
      <c r="B5" s="33" t="inlineStr">
        <is>
          <t>Date</t>
        </is>
      </c>
      <c r="C5" s="33" t="inlineStr">
        <is>
          <t>Location</t>
        </is>
      </c>
      <c r="D5" s="33" t="inlineStr">
        <is>
          <t>Role</t>
        </is>
      </c>
      <c r="E5" s="33" t="inlineStr">
        <is>
          <t>Experience Description</t>
        </is>
      </c>
      <c r="F5" s="33" t="inlineStr">
        <is>
          <t>Hrs</t>
        </is>
      </c>
      <c r="G5" s="34" t="inlineStr">
        <is>
          <t>①</t>
        </is>
      </c>
      <c r="H5" s="35" t="inlineStr">
        <is>
          <t>②</t>
        </is>
      </c>
      <c r="I5" s="36" t="inlineStr">
        <is>
          <t>③</t>
        </is>
      </c>
      <c r="J5" s="37" t="inlineStr">
        <is>
          <t>④</t>
        </is>
      </c>
      <c r="K5" s="38" t="inlineStr">
        <is>
          <t>⑤</t>
        </is>
      </c>
      <c r="L5" s="39" t="inlineStr">
        <is>
          <t>⑥</t>
        </is>
      </c>
      <c r="M5" s="33" t="inlineStr">
        <is>
          <t>Evidence / Notes</t>
        </is>
      </c>
      <c r="N5" s="40" t="inlineStr">
        <is>
          <t>Site name</t>
        </is>
      </c>
      <c r="O5" s="40" t="inlineStr">
        <is>
          <t>Completed</t>
        </is>
      </c>
    </row>
    <row r="6" ht="49.5" customHeight="1" s="372">
      <c r="A6" s="41" t="inlineStr">
        <is>
          <t>EMBEDDED</t>
        </is>
      </c>
      <c r="B6" s="158" t="n"/>
      <c r="C6" s="43" t="inlineStr">
        <is>
          <t>Main Site</t>
        </is>
      </c>
      <c r="D6" s="44" t="n"/>
      <c r="E6" s="45" t="inlineStr">
        <is>
          <t>Embedded Experience: Performance Assessment – Field-based Learning Application: This performance assessment is organized as a highly structured Field-based Learning Application that becomes your Field-based Learning Application Report upon its final submission.</t>
        </is>
      </c>
      <c r="F6" s="46" t="n">
        <v>25</v>
      </c>
      <c r="G6" s="159" t="inlineStr">
        <is>
          <t>X</t>
        </is>
      </c>
      <c r="H6" s="48" t="n"/>
      <c r="I6" s="49" t="n"/>
      <c r="J6" s="160" t="n"/>
      <c r="K6" s="51" t="n"/>
      <c r="L6" s="52" t="n"/>
      <c r="M6" s="53" t="inlineStr">
        <is>
          <t>Submit: Assignment</t>
        </is>
      </c>
      <c r="N6" s="54" t="n"/>
      <c r="O6" s="54" t="n"/>
      <c r="P6" s="54" t="n"/>
      <c r="Q6" s="54" t="n"/>
      <c r="R6" s="54" t="n"/>
      <c r="S6" s="54" t="n"/>
      <c r="T6" s="54" t="n"/>
      <c r="U6" s="54" t="n"/>
      <c r="V6" s="54" t="n"/>
      <c r="W6" s="54" t="n"/>
      <c r="X6" s="54" t="n"/>
      <c r="Y6" s="54" t="n"/>
      <c r="Z6" s="54" t="n"/>
    </row>
    <row r="7" ht="45" customHeight="1" s="372">
      <c r="A7" s="55" t="inlineStr">
        <is>
          <t>ALIGNED</t>
        </is>
      </c>
      <c r="B7" s="56" t="n"/>
      <c r="C7" s="57" t="n"/>
      <c r="D7" s="57" t="n"/>
      <c r="E7" s="75" t="inlineStr">
        <is>
          <t>Aligned Experience: Serve as principal for a half/full day and/or shadow a principal noting and reflecting on all or several of the dispositions outlined in the competency components.</t>
        </is>
      </c>
      <c r="F7" s="59" t="n">
        <v>5</v>
      </c>
      <c r="G7" s="47" t="n"/>
      <c r="H7" s="48" t="n"/>
      <c r="I7" s="49" t="n"/>
      <c r="J7" s="160" t="n"/>
      <c r="K7" s="162" t="inlineStr">
        <is>
          <t>X</t>
        </is>
      </c>
      <c r="L7" s="52" t="n"/>
      <c r="M7" s="60" t="inlineStr">
        <is>
          <t>Submit: Timeline</t>
        </is>
      </c>
      <c r="N7" s="54" t="n"/>
      <c r="O7" s="54" t="n"/>
      <c r="P7" s="54" t="n"/>
      <c r="Q7" s="54" t="n"/>
      <c r="R7" s="54" t="n"/>
      <c r="S7" s="54" t="n"/>
      <c r="T7" s="54" t="n"/>
      <c r="U7" s="54" t="n"/>
      <c r="V7" s="54" t="n"/>
      <c r="W7" s="54" t="n"/>
      <c r="X7" s="54" t="n"/>
      <c r="Y7" s="54" t="n"/>
      <c r="Z7" s="54" t="n"/>
    </row>
    <row r="8" ht="27.75" customHeight="1" s="372">
      <c r="A8" s="374" t="inlineStr">
        <is>
          <t>⭐  CHOICE HOURS  —  2 hours needed this semester</t>
        </is>
      </c>
      <c r="B8" s="375" t="n"/>
      <c r="C8" s="375" t="n"/>
      <c r="D8" s="376" t="n"/>
      <c r="E8" s="377">
        <f>IF(SUMIF(A9:A58,"CHOICE",F9:F58)&gt;=2,"✅ Choice Hours Met!","⚠ Still need: "&amp;(2-SUMIF(A9:A58,"CHOICE",F9:F58))&amp;" more hours")</f>
        <v/>
      </c>
      <c r="F8" s="376" t="n"/>
      <c r="G8" s="65" t="inlineStr">
        <is>
          <t>1. I</t>
        </is>
      </c>
      <c r="H8" s="66" t="inlineStr">
        <is>
          <t>2. O</t>
        </is>
      </c>
      <c r="I8" s="67" t="inlineStr">
        <is>
          <t>3. O</t>
        </is>
      </c>
      <c r="J8" s="68" t="inlineStr">
        <is>
          <t>4. S</t>
        </is>
      </c>
      <c r="K8" s="69" t="inlineStr">
        <is>
          <t>5. P</t>
        </is>
      </c>
      <c r="L8" s="70" t="inlineStr">
        <is>
          <t>6. A</t>
        </is>
      </c>
      <c r="M8" s="71" t="inlineStr">
        <is>
          <t>No evidence required for choice hours</t>
        </is>
      </c>
      <c r="N8" s="54" t="n"/>
      <c r="O8" s="54" t="n"/>
      <c r="P8" s="54" t="n"/>
      <c r="Q8" s="54" t="n"/>
      <c r="R8" s="54" t="n"/>
      <c r="S8" s="54" t="n"/>
      <c r="T8" s="54" t="n"/>
      <c r="U8" s="54" t="n"/>
      <c r="V8" s="54" t="n"/>
      <c r="W8" s="54" t="n"/>
      <c r="X8" s="54" t="n"/>
      <c r="Y8" s="54" t="n"/>
      <c r="Z8" s="54" t="n"/>
    </row>
    <row r="9" ht="34.5" customHeight="1" s="372">
      <c r="A9" s="72" t="inlineStr">
        <is>
          <t>CHOICE</t>
        </is>
      </c>
      <c r="B9" s="87" t="n"/>
      <c r="C9" s="87" t="n"/>
      <c r="D9" s="87" t="n"/>
      <c r="E9" s="152" t="n"/>
      <c r="F9" s="153" t="n"/>
      <c r="G9" s="84" t="n"/>
      <c r="H9" s="154" t="n"/>
      <c r="I9" s="85" t="n"/>
      <c r="J9" s="80" t="n"/>
      <c r="K9" s="81" t="n"/>
      <c r="L9" s="82" t="n"/>
      <c r="M9" s="87" t="n"/>
      <c r="N9" s="54" t="n"/>
      <c r="O9" s="54" t="n"/>
      <c r="P9" s="54" t="n"/>
      <c r="Q9" s="54" t="n"/>
      <c r="R9" s="54" t="n"/>
      <c r="S9" s="54" t="n"/>
      <c r="T9" s="54" t="n"/>
      <c r="U9" s="54" t="n"/>
      <c r="V9" s="54" t="n"/>
      <c r="W9" s="54" t="n"/>
      <c r="X9" s="54" t="n"/>
      <c r="Y9" s="54" t="n"/>
      <c r="Z9" s="54" t="n"/>
    </row>
    <row r="10" ht="34.5" customHeight="1" s="372">
      <c r="A10" s="72" t="inlineStr">
        <is>
          <t>CHOICE</t>
        </is>
      </c>
      <c r="B10" s="87" t="n"/>
      <c r="C10" s="87" t="n"/>
      <c r="D10" s="87" t="n"/>
      <c r="E10" s="152" t="n"/>
      <c r="F10" s="153" t="n"/>
      <c r="G10" s="84" t="n"/>
      <c r="H10" s="154" t="n"/>
      <c r="I10" s="85" t="n"/>
      <c r="J10" s="80" t="n"/>
      <c r="K10" s="81" t="n"/>
      <c r="L10" s="82" t="n"/>
      <c r="M10" s="87" t="n"/>
      <c r="N10" s="54" t="n"/>
      <c r="O10" s="54" t="n"/>
      <c r="P10" s="54" t="n"/>
      <c r="Q10" s="54" t="n"/>
      <c r="R10" s="54" t="n"/>
      <c r="S10" s="54" t="n"/>
      <c r="T10" s="54" t="n"/>
      <c r="U10" s="54" t="n"/>
      <c r="V10" s="54" t="n"/>
      <c r="W10" s="54" t="n"/>
      <c r="X10" s="54" t="n"/>
      <c r="Y10" s="54" t="n"/>
      <c r="Z10" s="54" t="n"/>
    </row>
    <row r="11" ht="34.5" customHeight="1" s="372">
      <c r="A11" s="72" t="inlineStr">
        <is>
          <t>CHOICE</t>
        </is>
      </c>
      <c r="B11" s="87" t="n"/>
      <c r="C11" s="87" t="n"/>
      <c r="D11" s="87" t="n"/>
      <c r="E11" s="152" t="n"/>
      <c r="F11" s="153" t="n"/>
      <c r="G11" s="84" t="n"/>
      <c r="H11" s="154" t="n"/>
      <c r="I11" s="85" t="n"/>
      <c r="J11" s="80" t="n"/>
      <c r="K11" s="81" t="n"/>
      <c r="L11" s="82" t="n"/>
      <c r="M11" s="87" t="n"/>
      <c r="N11" s="54" t="n"/>
      <c r="O11" s="54" t="n"/>
      <c r="P11" s="54" t="n"/>
      <c r="Q11" s="54" t="n"/>
      <c r="R11" s="54" t="n"/>
      <c r="S11" s="54" t="n"/>
      <c r="T11" s="54" t="n"/>
      <c r="U11" s="54" t="n"/>
      <c r="V11" s="54" t="n"/>
      <c r="W11" s="54" t="n"/>
      <c r="X11" s="54" t="n"/>
      <c r="Y11" s="54" t="n"/>
      <c r="Z11" s="54" t="n"/>
    </row>
    <row r="12" ht="34.5" customHeight="1" s="372">
      <c r="A12" s="72" t="inlineStr">
        <is>
          <t>CHOICE</t>
        </is>
      </c>
      <c r="B12" s="87" t="n"/>
      <c r="C12" s="87" t="n"/>
      <c r="D12" s="87" t="n"/>
      <c r="E12" s="152" t="n"/>
      <c r="F12" s="153" t="n"/>
      <c r="G12" s="84" t="n"/>
      <c r="H12" s="154" t="n"/>
      <c r="I12" s="85" t="n"/>
      <c r="J12" s="80" t="n"/>
      <c r="K12" s="81" t="n"/>
      <c r="L12" s="82" t="n"/>
      <c r="M12" s="87" t="n"/>
      <c r="N12" s="54" t="n"/>
      <c r="O12" s="54" t="n"/>
      <c r="P12" s="54" t="n"/>
      <c r="Q12" s="54" t="n"/>
      <c r="R12" s="54" t="n"/>
      <c r="S12" s="54" t="n"/>
      <c r="T12" s="54" t="n"/>
      <c r="U12" s="54" t="n"/>
      <c r="V12" s="54" t="n"/>
      <c r="W12" s="54" t="n"/>
      <c r="X12" s="54" t="n"/>
      <c r="Y12" s="54" t="n"/>
      <c r="Z12" s="54" t="n"/>
    </row>
    <row r="13" ht="34.5" customHeight="1" s="372">
      <c r="A13" s="72" t="inlineStr">
        <is>
          <t>CHOICE</t>
        </is>
      </c>
      <c r="B13" s="87" t="n"/>
      <c r="C13" s="87" t="n"/>
      <c r="D13" s="87" t="n"/>
      <c r="E13" s="152" t="n"/>
      <c r="F13" s="153" t="n"/>
      <c r="G13" s="84" t="n"/>
      <c r="H13" s="154" t="n"/>
      <c r="I13" s="85" t="n"/>
      <c r="J13" s="80" t="n"/>
      <c r="K13" s="81" t="n"/>
      <c r="L13" s="82" t="n"/>
      <c r="M13" s="87" t="n"/>
      <c r="N13" s="54" t="n"/>
      <c r="O13" s="54" t="n"/>
      <c r="P13" s="54" t="n"/>
      <c r="Q13" s="54" t="n"/>
      <c r="R13" s="54" t="n"/>
      <c r="S13" s="54" t="n"/>
      <c r="T13" s="54" t="n"/>
      <c r="U13" s="54" t="n"/>
      <c r="V13" s="54" t="n"/>
      <c r="W13" s="54" t="n"/>
      <c r="X13" s="54" t="n"/>
      <c r="Y13" s="54" t="n"/>
      <c r="Z13" s="54" t="n"/>
    </row>
    <row r="14" ht="34.5" customHeight="1" s="372">
      <c r="A14" s="72" t="inlineStr">
        <is>
          <t>CHOICE</t>
        </is>
      </c>
      <c r="B14" s="87" t="n"/>
      <c r="C14" s="87" t="n"/>
      <c r="D14" s="87" t="n"/>
      <c r="E14" s="152" t="n"/>
      <c r="F14" s="153" t="n"/>
      <c r="G14" s="84" t="n"/>
      <c r="H14" s="154" t="n"/>
      <c r="I14" s="85" t="n"/>
      <c r="J14" s="80" t="n"/>
      <c r="K14" s="81" t="n"/>
      <c r="L14" s="82" t="n"/>
      <c r="M14" s="87" t="n"/>
      <c r="N14" s="54" t="n"/>
      <c r="O14" s="54" t="n"/>
      <c r="P14" s="54" t="n"/>
      <c r="Q14" s="54" t="n"/>
      <c r="R14" s="54" t="n"/>
      <c r="S14" s="54" t="n"/>
      <c r="T14" s="54" t="n"/>
      <c r="U14" s="54" t="n"/>
      <c r="V14" s="54" t="n"/>
      <c r="W14" s="54" t="n"/>
      <c r="X14" s="54" t="n"/>
      <c r="Y14" s="54" t="n"/>
      <c r="Z14" s="54" t="n"/>
    </row>
    <row r="15" ht="34.5" customHeight="1" s="372">
      <c r="A15" s="72" t="inlineStr">
        <is>
          <t>CHOICE</t>
        </is>
      </c>
      <c r="B15" s="87" t="n"/>
      <c r="C15" s="87" t="n"/>
      <c r="D15" s="87" t="n"/>
      <c r="E15" s="152" t="n"/>
      <c r="F15" s="153" t="n"/>
      <c r="G15" s="84" t="n"/>
      <c r="H15" s="154" t="n"/>
      <c r="I15" s="85" t="n"/>
      <c r="J15" s="80" t="n"/>
      <c r="K15" s="81" t="n"/>
      <c r="L15" s="82" t="n"/>
      <c r="M15" s="87" t="n"/>
      <c r="N15" s="54" t="n"/>
      <c r="O15" s="54" t="n"/>
      <c r="P15" s="54" t="n"/>
      <c r="Q15" s="54" t="n"/>
      <c r="R15" s="54" t="n"/>
      <c r="S15" s="54" t="n"/>
      <c r="T15" s="54" t="n"/>
      <c r="U15" s="54" t="n"/>
      <c r="V15" s="54" t="n"/>
      <c r="W15" s="54" t="n"/>
      <c r="X15" s="54" t="n"/>
      <c r="Y15" s="54" t="n"/>
      <c r="Z15" s="54" t="n"/>
    </row>
    <row r="16" ht="34.5" customHeight="1" s="372">
      <c r="A16" s="94" t="inlineStr">
        <is>
          <t>CHOICE</t>
        </is>
      </c>
      <c r="B16" s="95" t="n"/>
      <c r="C16" s="95" t="n"/>
      <c r="D16" s="95" t="n"/>
      <c r="E16" s="96" t="n"/>
      <c r="F16" s="97" t="n"/>
      <c r="G16" s="98" t="n"/>
      <c r="H16" s="99" t="n"/>
      <c r="I16" s="100" t="n"/>
      <c r="J16" s="101" t="n"/>
      <c r="K16" s="102" t="n"/>
      <c r="L16" s="103" t="n"/>
      <c r="M16" s="95" t="n"/>
    </row>
    <row r="17" ht="34.5" customHeight="1" s="372">
      <c r="A17" s="104" t="inlineStr">
        <is>
          <t>CHOICE</t>
        </is>
      </c>
      <c r="B17" s="105" t="n"/>
      <c r="C17" s="105" t="n"/>
      <c r="D17" s="105" t="n"/>
      <c r="E17" s="106" t="n"/>
      <c r="F17" s="107" t="n"/>
      <c r="G17" s="108" t="n"/>
      <c r="H17" s="109" t="n"/>
      <c r="I17" s="110" t="n"/>
      <c r="J17" s="111" t="n"/>
      <c r="K17" s="112" t="n"/>
      <c r="L17" s="113" t="n"/>
      <c r="M17" s="105" t="n"/>
    </row>
    <row r="18" ht="34.5" customHeight="1" s="372">
      <c r="A18" s="104" t="inlineStr">
        <is>
          <t>CHOICE</t>
        </is>
      </c>
      <c r="B18" s="105" t="n"/>
      <c r="C18" s="105" t="n"/>
      <c r="D18" s="105" t="n"/>
      <c r="E18" s="106" t="n"/>
      <c r="F18" s="107" t="n"/>
      <c r="G18" s="108" t="n"/>
      <c r="H18" s="109" t="n"/>
      <c r="I18" s="110" t="n"/>
      <c r="J18" s="111" t="n"/>
      <c r="K18" s="112" t="n"/>
      <c r="L18" s="113" t="n"/>
      <c r="M18" s="105" t="n"/>
    </row>
    <row r="19" ht="34.5" customHeight="1" s="372">
      <c r="A19" s="104" t="inlineStr">
        <is>
          <t>CHOICE</t>
        </is>
      </c>
      <c r="B19" s="105" t="n"/>
      <c r="C19" s="105" t="n"/>
      <c r="D19" s="105" t="n"/>
      <c r="E19" s="106" t="n"/>
      <c r="F19" s="107" t="n"/>
      <c r="G19" s="108" t="n"/>
      <c r="H19" s="109" t="n"/>
      <c r="I19" s="110" t="n"/>
      <c r="J19" s="111" t="n"/>
      <c r="K19" s="112" t="n"/>
      <c r="L19" s="113" t="n"/>
      <c r="M19" s="105" t="n"/>
    </row>
    <row r="20" ht="34.5" customHeight="1" s="372">
      <c r="A20" s="104" t="inlineStr">
        <is>
          <t>CHOICE</t>
        </is>
      </c>
      <c r="B20" s="105" t="n"/>
      <c r="C20" s="105" t="n"/>
      <c r="D20" s="105" t="n"/>
      <c r="E20" s="106" t="n"/>
      <c r="F20" s="107" t="n"/>
      <c r="G20" s="108" t="n"/>
      <c r="H20" s="109" t="n"/>
      <c r="I20" s="110" t="n"/>
      <c r="J20" s="111" t="n"/>
      <c r="K20" s="112" t="n"/>
      <c r="L20" s="113" t="n"/>
      <c r="M20" s="105" t="n"/>
    </row>
    <row r="21" ht="34.5" customHeight="1" s="372">
      <c r="A21" s="104" t="inlineStr">
        <is>
          <t>CHOICE</t>
        </is>
      </c>
      <c r="B21" s="105" t="n"/>
      <c r="C21" s="105" t="n"/>
      <c r="D21" s="105" t="n"/>
      <c r="E21" s="106" t="n"/>
      <c r="F21" s="107" t="n"/>
      <c r="G21" s="108" t="n"/>
      <c r="H21" s="109" t="n"/>
      <c r="I21" s="110" t="n"/>
      <c r="J21" s="111" t="n"/>
      <c r="K21" s="112" t="n"/>
      <c r="L21" s="113" t="n"/>
      <c r="M21" s="105" t="n"/>
    </row>
    <row r="22" ht="24.75" customHeight="1" s="372">
      <c r="A22" s="114" t="inlineStr">
        <is>
          <t>CHOICE</t>
        </is>
      </c>
      <c r="B22" s="105" t="n"/>
      <c r="C22" s="105" t="n"/>
      <c r="D22" s="105" t="n"/>
      <c r="E22" s="105" t="n"/>
      <c r="F22" s="105" t="n"/>
      <c r="G22" s="105" t="n"/>
      <c r="H22" s="105" t="n"/>
      <c r="I22" s="105" t="n"/>
      <c r="J22" s="105" t="n"/>
      <c r="K22" s="105" t="n"/>
      <c r="L22" s="105" t="n"/>
      <c r="M22" s="105" t="n"/>
    </row>
    <row r="23" ht="24.75" customHeight="1" s="372">
      <c r="A23" s="114" t="inlineStr">
        <is>
          <t>CHOICE</t>
        </is>
      </c>
      <c r="B23" s="105" t="n"/>
      <c r="C23" s="105" t="n"/>
      <c r="D23" s="105" t="n"/>
      <c r="E23" s="105" t="n"/>
      <c r="F23" s="105" t="n"/>
      <c r="G23" s="105" t="n"/>
      <c r="H23" s="105" t="n"/>
      <c r="I23" s="105" t="n"/>
      <c r="J23" s="105" t="n"/>
      <c r="K23" s="105" t="n"/>
      <c r="L23" s="105" t="n"/>
      <c r="M23" s="105" t="n"/>
    </row>
    <row r="24" ht="24.75" customHeight="1" s="372">
      <c r="A24" s="114" t="inlineStr">
        <is>
          <t>CHOICE</t>
        </is>
      </c>
      <c r="B24" s="105" t="n"/>
      <c r="C24" s="105" t="n"/>
      <c r="D24" s="105" t="n"/>
      <c r="E24" s="105" t="n"/>
      <c r="F24" s="105" t="n"/>
      <c r="G24" s="105" t="n"/>
      <c r="H24" s="105" t="n"/>
      <c r="I24" s="105" t="n"/>
      <c r="J24" s="105" t="n"/>
      <c r="K24" s="105" t="n"/>
      <c r="L24" s="105" t="n"/>
      <c r="M24" s="105" t="n"/>
    </row>
    <row r="25" ht="24.75" customHeight="1" s="372">
      <c r="A25" s="114" t="inlineStr">
        <is>
          <t>CHOICE</t>
        </is>
      </c>
      <c r="B25" s="105" t="n"/>
      <c r="C25" s="105" t="n"/>
      <c r="D25" s="105" t="n"/>
      <c r="E25" s="105" t="n"/>
      <c r="F25" s="105" t="n"/>
      <c r="G25" s="105" t="n"/>
      <c r="H25" s="105" t="n"/>
      <c r="I25" s="105" t="n"/>
      <c r="J25" s="105" t="n"/>
      <c r="K25" s="105" t="n"/>
      <c r="L25" s="105" t="n"/>
      <c r="M25" s="105" t="n"/>
    </row>
    <row r="26" ht="24.75" customHeight="1" s="372">
      <c r="A26" s="114" t="inlineStr">
        <is>
          <t>CHOICE</t>
        </is>
      </c>
      <c r="B26" s="105" t="n"/>
      <c r="C26" s="105" t="n"/>
      <c r="D26" s="105" t="n"/>
      <c r="E26" s="105" t="n"/>
      <c r="F26" s="105" t="n"/>
      <c r="G26" s="105" t="n"/>
      <c r="H26" s="105" t="n"/>
      <c r="I26" s="105" t="n"/>
      <c r="J26" s="105" t="n"/>
      <c r="K26" s="105" t="n"/>
      <c r="L26" s="105" t="n"/>
      <c r="M26" s="105" t="n"/>
    </row>
    <row r="27" ht="24.75" customHeight="1" s="372">
      <c r="A27" s="114" t="inlineStr">
        <is>
          <t>CHOICE</t>
        </is>
      </c>
      <c r="B27" s="105" t="n"/>
      <c r="C27" s="105" t="n"/>
      <c r="D27" s="105" t="n"/>
      <c r="E27" s="105" t="n"/>
      <c r="F27" s="105" t="n"/>
      <c r="G27" s="105" t="n"/>
      <c r="H27" s="105" t="n"/>
      <c r="I27" s="105" t="n"/>
      <c r="J27" s="105" t="n"/>
      <c r="K27" s="105" t="n"/>
      <c r="L27" s="105" t="n"/>
      <c r="M27" s="105" t="n"/>
    </row>
    <row r="28" ht="24.75" customHeight="1" s="372">
      <c r="A28" s="114" t="inlineStr">
        <is>
          <t>CHOICE</t>
        </is>
      </c>
      <c r="B28" s="105" t="n"/>
      <c r="C28" s="105" t="n"/>
      <c r="D28" s="105" t="n"/>
      <c r="E28" s="105" t="n"/>
      <c r="F28" s="105" t="n"/>
      <c r="G28" s="105" t="n"/>
      <c r="H28" s="105" t="n"/>
      <c r="I28" s="105" t="n"/>
      <c r="J28" s="105" t="n"/>
      <c r="K28" s="105" t="n"/>
      <c r="L28" s="105" t="n"/>
      <c r="M28" s="105" t="n"/>
    </row>
    <row r="29" ht="24.75" customHeight="1" s="372">
      <c r="A29" s="114" t="inlineStr">
        <is>
          <t>CHOICE</t>
        </is>
      </c>
      <c r="B29" s="105" t="n"/>
      <c r="C29" s="105" t="n"/>
      <c r="D29" s="105" t="n"/>
      <c r="E29" s="105" t="n"/>
      <c r="F29" s="105" t="n"/>
      <c r="G29" s="105" t="n"/>
      <c r="H29" s="105" t="n"/>
      <c r="I29" s="105" t="n"/>
      <c r="J29" s="105" t="n"/>
      <c r="K29" s="105" t="n"/>
      <c r="L29" s="105" t="n"/>
      <c r="M29" s="105" t="n"/>
    </row>
    <row r="30" ht="24.75" customHeight="1" s="372">
      <c r="A30" s="114" t="inlineStr">
        <is>
          <t>CHOICE</t>
        </is>
      </c>
      <c r="B30" s="105" t="n"/>
      <c r="C30" s="105" t="n"/>
      <c r="D30" s="105" t="n"/>
      <c r="E30" s="105" t="n"/>
      <c r="F30" s="105" t="n"/>
      <c r="G30" s="105" t="n"/>
      <c r="H30" s="105" t="n"/>
      <c r="I30" s="105" t="n"/>
      <c r="J30" s="105" t="n"/>
      <c r="K30" s="105" t="n"/>
      <c r="L30" s="105" t="n"/>
      <c r="M30" s="105" t="n"/>
    </row>
    <row r="31" ht="24.75" customHeight="1" s="372">
      <c r="A31" s="114" t="inlineStr">
        <is>
          <t>CHOICE</t>
        </is>
      </c>
      <c r="B31" s="105" t="n"/>
      <c r="C31" s="105" t="n"/>
      <c r="D31" s="105" t="n"/>
      <c r="E31" s="105" t="n"/>
      <c r="F31" s="105" t="n"/>
      <c r="G31" s="105" t="n"/>
      <c r="H31" s="105" t="n"/>
      <c r="I31" s="105" t="n"/>
      <c r="J31" s="105" t="n"/>
      <c r="K31" s="105" t="n"/>
      <c r="L31" s="105" t="n"/>
      <c r="M31" s="105" t="n"/>
    </row>
    <row r="32" ht="15.75" customHeight="1" s="372">
      <c r="C32" s="115" t="n"/>
      <c r="D32" s="115" t="n"/>
    </row>
    <row r="33" ht="15.75" customHeight="1" s="372"/>
    <row r="34" ht="15.75" customHeight="1" s="372"/>
    <row r="35" ht="15.75" customHeight="1" s="372"/>
    <row r="36" ht="15.75" customHeight="1" s="372"/>
    <row r="37" ht="15.75" customHeight="1" s="372"/>
    <row r="38" ht="15.75" customHeight="1" s="372"/>
    <row r="39" ht="15.75" customHeight="1" s="372"/>
    <row r="40" ht="15.75" customHeight="1" s="372"/>
    <row r="41" ht="15.75" customHeight="1" s="372"/>
    <row r="42" ht="15.75" customHeight="1" s="372"/>
    <row r="43" ht="15.75" customHeight="1" s="372"/>
    <row r="44" ht="15.75" customHeight="1" s="372"/>
    <row r="45" ht="15.75" customHeight="1" s="372"/>
    <row r="46" ht="15.75" customHeight="1" s="372"/>
    <row r="47" ht="15.75" customHeight="1" s="372"/>
    <row r="48" ht="15.75" customHeight="1" s="372"/>
    <row r="49" ht="15.75" customHeight="1" s="372"/>
    <row r="50" ht="15.75" customHeight="1" s="372"/>
    <row r="51" ht="15.75" customHeight="1" s="372"/>
    <row r="52" ht="15.75" customHeight="1" s="372"/>
    <row r="53" ht="15.75" customHeight="1" s="372"/>
    <row r="54" ht="15.75" customHeight="1" s="372"/>
    <row r="55" ht="15.75" customHeight="1" s="372"/>
    <row r="56" ht="15.75" customHeight="1" s="372"/>
    <row r="57" ht="15.75" customHeight="1" s="372"/>
    <row r="58" ht="15.75" customHeight="1" s="372"/>
    <row r="59" ht="15.75" customHeight="1" s="372"/>
    <row r="60" ht="15.75" customHeight="1" s="372"/>
    <row r="61" ht="15.75" customHeight="1" s="372"/>
    <row r="62" ht="15.75" customHeight="1" s="372"/>
    <row r="63" ht="15.75" customHeight="1" s="372"/>
    <row r="64" ht="15.75" customHeight="1" s="372"/>
    <row r="65" ht="15.75" customHeight="1" s="372"/>
    <row r="66" ht="15.75" customHeight="1" s="372"/>
    <row r="67" ht="15.75" customHeight="1" s="372"/>
    <row r="68" ht="15.75" customHeight="1" s="372"/>
    <row r="69" ht="15.75" customHeight="1" s="372"/>
    <row r="70" ht="15.75" customHeight="1" s="372"/>
    <row r="71" ht="15.75" customHeight="1" s="372"/>
    <row r="72" ht="15.75" customHeight="1" s="372"/>
    <row r="73" ht="15.75" customHeight="1" s="372"/>
    <row r="74" ht="15.75" customHeight="1" s="372"/>
    <row r="75" ht="15.75" customHeight="1" s="372"/>
    <row r="76" ht="15.75" customHeight="1" s="372"/>
    <row r="77" ht="15.75" customHeight="1" s="372"/>
    <row r="78" ht="15.75" customHeight="1" s="372"/>
    <row r="79" ht="15.75" customHeight="1" s="372"/>
    <row r="80" ht="15.75" customHeight="1" s="372"/>
    <row r="81" ht="15.75" customHeight="1" s="372"/>
    <row r="82" ht="15.75" customHeight="1" s="372"/>
    <row r="83" ht="15.75" customHeight="1" s="372"/>
    <row r="84" ht="15.75" customHeight="1" s="372"/>
    <row r="85" ht="15.75" customHeight="1" s="372"/>
    <row r="86" ht="15.75" customHeight="1" s="372"/>
    <row r="87" ht="15.75" customHeight="1" s="372"/>
    <row r="88" ht="15.75" customHeight="1" s="372"/>
    <row r="89" ht="15.75" customHeight="1" s="372"/>
    <row r="90" ht="15.75" customHeight="1" s="372"/>
    <row r="91" ht="15.75" customHeight="1" s="372"/>
    <row r="92" ht="15.75" customHeight="1" s="372"/>
    <row r="93" ht="15.75" customHeight="1" s="372"/>
    <row r="94" ht="15.75" customHeight="1" s="372"/>
    <row r="95" ht="15.75" customHeight="1" s="372"/>
    <row r="96" ht="15.75" customHeight="1" s="372"/>
    <row r="97" ht="15.75" customHeight="1" s="372"/>
    <row r="98" ht="15.75" customHeight="1" s="372"/>
    <row r="99" ht="15.75" customHeight="1" s="372"/>
    <row r="100" ht="15.75" customHeight="1" s="372"/>
    <row r="101" ht="15.75" customHeight="1" s="372"/>
    <row r="102" ht="15.75" customHeight="1" s="372"/>
    <row r="103" ht="15.75" customHeight="1" s="372"/>
    <row r="104" ht="15.75" customHeight="1" s="372"/>
    <row r="105" ht="15.75" customHeight="1" s="372"/>
    <row r="106" ht="15.75" customHeight="1" s="372"/>
    <row r="107" ht="15.75" customHeight="1" s="372"/>
    <row r="108" ht="15.75" customHeight="1" s="372"/>
    <row r="109" ht="15.75" customHeight="1" s="372"/>
    <row r="110" ht="15.75" customHeight="1" s="372"/>
    <row r="111" ht="15.75" customHeight="1" s="372"/>
    <row r="112" ht="15.75" customHeight="1" s="372"/>
    <row r="113" ht="15.75" customHeight="1" s="372"/>
    <row r="114" ht="15.75" customHeight="1" s="372"/>
    <row r="115" ht="15.75" customHeight="1" s="372"/>
    <row r="116" ht="15.75" customHeight="1" s="372"/>
    <row r="117" ht="15.75" customHeight="1" s="372"/>
    <row r="118" ht="15.75" customHeight="1" s="372"/>
    <row r="119" ht="15.75" customHeight="1" s="372"/>
    <row r="120" ht="15.75" customHeight="1" s="372"/>
    <row r="121" ht="15.75" customHeight="1" s="372"/>
    <row r="122" ht="15.75" customHeight="1" s="372"/>
    <row r="123" ht="15.75" customHeight="1" s="372"/>
    <row r="124" ht="15.75" customHeight="1" s="372"/>
    <row r="125" ht="15.75" customHeight="1" s="372"/>
    <row r="126" ht="15.75" customHeight="1" s="372"/>
    <row r="127" ht="15.75" customHeight="1" s="372"/>
    <row r="128" ht="15.75" customHeight="1" s="372"/>
    <row r="129" ht="15.75" customHeight="1" s="372"/>
    <row r="130" ht="15.75" customHeight="1" s="372"/>
    <row r="131" ht="15.75" customHeight="1" s="372"/>
    <row r="132" ht="15.75" customHeight="1" s="372"/>
    <row r="133" ht="15.75" customHeight="1" s="372"/>
    <row r="134" ht="15.75" customHeight="1" s="372"/>
    <row r="135" ht="15.75" customHeight="1" s="372"/>
    <row r="136" ht="15.75" customHeight="1" s="372"/>
    <row r="137" ht="15.75" customHeight="1" s="372"/>
    <row r="138" ht="15.75" customHeight="1" s="372"/>
    <row r="139" ht="15.75" customHeight="1" s="372"/>
    <row r="140" ht="15.75" customHeight="1" s="372"/>
    <row r="141" ht="15.75" customHeight="1" s="372"/>
    <row r="142" ht="15.75" customHeight="1" s="372"/>
    <row r="143" ht="15.75" customHeight="1" s="372"/>
    <row r="144" ht="15.75" customHeight="1" s="372"/>
    <row r="145" ht="15.75" customHeight="1" s="372"/>
    <row r="146" ht="15.75" customHeight="1" s="372"/>
    <row r="147" ht="15.75" customHeight="1" s="372"/>
    <row r="148" ht="15.75" customHeight="1" s="372"/>
    <row r="149" ht="15.75" customHeight="1" s="372"/>
    <row r="150" ht="15.75" customHeight="1" s="372"/>
    <row r="151" ht="15.75" customHeight="1" s="372"/>
    <row r="152" ht="15.75" customHeight="1" s="372"/>
    <row r="153" ht="15.75" customHeight="1" s="372"/>
    <row r="154" ht="15.75" customHeight="1" s="372"/>
    <row r="155" ht="15.75" customHeight="1" s="372"/>
    <row r="156" ht="15.75" customHeight="1" s="372"/>
    <row r="157" ht="15.75" customHeight="1" s="372"/>
    <row r="158" ht="15.75" customHeight="1" s="372"/>
    <row r="159" ht="15.75" customHeight="1" s="372"/>
    <row r="160" ht="15.75" customHeight="1" s="372"/>
    <row r="161" ht="15.75" customHeight="1" s="372"/>
    <row r="162" ht="15.75" customHeight="1" s="372"/>
    <row r="163" ht="15.75" customHeight="1" s="372"/>
    <row r="164" ht="15.75" customHeight="1" s="372"/>
    <row r="165" ht="15.75" customHeight="1" s="372"/>
    <row r="166" ht="15.75" customHeight="1" s="372"/>
    <row r="167" ht="15.75" customHeight="1" s="372"/>
    <row r="168" ht="15.75" customHeight="1" s="372"/>
    <row r="169" ht="15.75" customHeight="1" s="372"/>
    <row r="170" ht="15.75" customHeight="1" s="372"/>
    <row r="171" ht="15.75" customHeight="1" s="372"/>
    <row r="172" ht="15.75" customHeight="1" s="372"/>
    <row r="173" ht="15.75" customHeight="1" s="372"/>
    <row r="174" ht="15.75" customHeight="1" s="372"/>
    <row r="175" ht="15.75" customHeight="1" s="372"/>
    <row r="176" ht="15.75" customHeight="1" s="372"/>
    <row r="177" ht="15.75" customHeight="1" s="372"/>
    <row r="178" ht="15.75" customHeight="1" s="372"/>
    <row r="179" ht="15.75" customHeight="1" s="372"/>
    <row r="180" ht="15.75" customHeight="1" s="372"/>
    <row r="181" ht="15.75" customHeight="1" s="372"/>
    <row r="182" ht="15.75" customHeight="1" s="372"/>
    <row r="183" ht="15.75" customHeight="1" s="372"/>
    <row r="184" ht="15.75" customHeight="1" s="372"/>
    <row r="185" ht="15.75" customHeight="1" s="372"/>
    <row r="186" ht="15.75" customHeight="1" s="372"/>
    <row r="187" ht="15.75" customHeight="1" s="372"/>
    <row r="188" ht="15.75" customHeight="1" s="372"/>
    <row r="189" ht="15.75" customHeight="1" s="372"/>
    <row r="190" ht="15.75" customHeight="1" s="372"/>
    <row r="191" ht="15.75" customHeight="1" s="372"/>
    <row r="192" ht="15.75" customHeight="1" s="372"/>
    <row r="193" ht="15.75" customHeight="1" s="372"/>
    <row r="194" ht="15.75" customHeight="1" s="372"/>
    <row r="195" ht="15.75" customHeight="1" s="372"/>
    <row r="196" ht="15.75" customHeight="1" s="372"/>
    <row r="197" ht="15.75" customHeight="1" s="372"/>
    <row r="198" ht="15.75" customHeight="1" s="372"/>
    <row r="199" ht="15.75" customHeight="1" s="372"/>
    <row r="200" ht="15.75" customHeight="1" s="372"/>
    <row r="201" ht="15.75" customHeight="1" s="372"/>
    <row r="202" ht="15.75" customHeight="1" s="372"/>
    <row r="203" ht="15.75" customHeight="1" s="372"/>
    <row r="204" ht="15.75" customHeight="1" s="372"/>
    <row r="205" ht="15.75" customHeight="1" s="372"/>
    <row r="206" ht="15.75" customHeight="1" s="372"/>
    <row r="207" ht="15.75" customHeight="1" s="372"/>
    <row r="208" ht="15.75" customHeight="1" s="372"/>
    <row r="209" ht="15.75" customHeight="1" s="372"/>
    <row r="210" ht="15.75" customHeight="1" s="372"/>
    <row r="211" ht="15.75" customHeight="1" s="372"/>
    <row r="212" ht="15.75" customHeight="1" s="372"/>
    <row r="213" ht="15.75" customHeight="1" s="372"/>
    <row r="214" ht="15.75" customHeight="1" s="372"/>
    <row r="215" ht="15.75" customHeight="1" s="372"/>
    <row r="216" ht="15.75" customHeight="1" s="372"/>
    <row r="217" ht="15.75" customHeight="1" s="372"/>
    <row r="218" ht="15.75" customHeight="1" s="372"/>
    <row r="219" ht="15.75" customHeight="1" s="372"/>
    <row r="220" ht="15.75" customHeight="1" s="372"/>
    <row r="221" ht="15.75" customHeight="1" s="372"/>
    <row r="222" ht="15.75" customHeight="1" s="372"/>
    <row r="223" ht="15.75" customHeight="1" s="372"/>
    <row r="224" ht="15.75" customHeight="1" s="372"/>
    <row r="225" ht="15.75" customHeight="1" s="372"/>
    <row r="226" ht="15.75" customHeight="1" s="372"/>
    <row r="227" ht="15.75" customHeight="1" s="372"/>
    <row r="228" ht="15.75" customHeight="1" s="372"/>
    <row r="229" ht="15.75" customHeight="1" s="372"/>
    <row r="230" ht="15.75" customHeight="1" s="372"/>
    <row r="231" ht="15.75" customHeight="1" s="372"/>
    <row r="232" ht="15.75" customHeight="1" s="372"/>
    <row r="233" ht="15.75" customHeight="1" s="372"/>
    <row r="234" ht="15.75" customHeight="1" s="372"/>
    <row r="235" ht="15.75" customHeight="1" s="372"/>
    <row r="236" ht="15.75" customHeight="1" s="372"/>
    <row r="237" ht="15.75" customHeight="1" s="372"/>
    <row r="238" ht="15.75" customHeight="1" s="372"/>
    <row r="239" ht="15.75" customHeight="1" s="372"/>
    <row r="240" ht="15.75" customHeight="1" s="372"/>
    <row r="241" ht="15.75" customHeight="1" s="372"/>
    <row r="242" ht="15.75" customHeight="1" s="372"/>
    <row r="243" ht="15.75" customHeight="1" s="372"/>
    <row r="244" ht="15.75" customHeight="1" s="372"/>
    <row r="245" ht="15.75" customHeight="1" s="372"/>
    <row r="246" ht="15.75" customHeight="1" s="372"/>
    <row r="247" ht="15.75" customHeight="1" s="372"/>
    <row r="248" ht="15.75" customHeight="1" s="372"/>
    <row r="249" ht="15.75" customHeight="1" s="372"/>
    <row r="250" ht="15.75" customHeight="1" s="372"/>
    <row r="251" ht="15.75" customHeight="1" s="372"/>
    <row r="252" ht="15.75" customHeight="1" s="372"/>
    <row r="253" ht="15.75" customHeight="1" s="372"/>
    <row r="254" ht="15.75" customHeight="1" s="372"/>
    <row r="255" ht="15.75" customHeight="1" s="372"/>
    <row r="256" ht="15.75" customHeight="1" s="372"/>
    <row r="257" ht="15.75" customHeight="1" s="372"/>
    <row r="258" ht="15.75" customHeight="1" s="372"/>
    <row r="259" ht="15.75" customHeight="1" s="372"/>
    <row r="260" ht="15.75" customHeight="1" s="372"/>
    <row r="261" ht="15.75" customHeight="1" s="372"/>
    <row r="262" ht="15.75" customHeight="1" s="372"/>
    <row r="263" ht="15.75" customHeight="1" s="372"/>
    <row r="264" ht="15.75" customHeight="1" s="372"/>
    <row r="265" ht="15.75" customHeight="1" s="372"/>
    <row r="266" ht="15.75" customHeight="1" s="372"/>
    <row r="267" ht="15.75" customHeight="1" s="372"/>
    <row r="268" ht="15.75" customHeight="1" s="372"/>
    <row r="269" ht="15.75" customHeight="1" s="372"/>
    <row r="270" ht="15.75" customHeight="1" s="372"/>
    <row r="271" ht="15.75" customHeight="1" s="372"/>
    <row r="272" ht="15.75" customHeight="1" s="372"/>
    <row r="273" ht="15.75" customHeight="1" s="372"/>
    <row r="274" ht="15.75" customHeight="1" s="372"/>
    <row r="275" ht="15.75" customHeight="1" s="372"/>
    <row r="276" ht="15.75" customHeight="1" s="372"/>
    <row r="277" ht="15.75" customHeight="1" s="372"/>
    <row r="278" ht="15.75" customHeight="1" s="372"/>
    <row r="279" ht="15.75" customHeight="1" s="372"/>
    <row r="280" ht="15.75" customHeight="1" s="372"/>
    <row r="281" ht="15.75" customHeight="1" s="372"/>
    <row r="282" ht="15.75" customHeight="1" s="372"/>
    <row r="283" ht="15.75" customHeight="1" s="372"/>
    <row r="284" ht="15.75" customHeight="1" s="372"/>
    <row r="285" ht="15.75" customHeight="1" s="372"/>
    <row r="286" ht="15.75" customHeight="1" s="372"/>
    <row r="287" ht="15.75" customHeight="1" s="372"/>
    <row r="288" ht="15.75" customHeight="1" s="372"/>
    <row r="289" ht="15.75" customHeight="1" s="372"/>
    <row r="290" ht="15.75" customHeight="1" s="372"/>
    <row r="291" ht="15.75" customHeight="1" s="372"/>
    <row r="292" ht="15.75" customHeight="1" s="372"/>
    <row r="293" ht="15.75" customHeight="1" s="372"/>
    <row r="294" ht="15.75" customHeight="1" s="372"/>
    <row r="295" ht="15.75" customHeight="1" s="372"/>
    <row r="296" ht="15.75" customHeight="1" s="372"/>
    <row r="297" ht="15.75" customHeight="1" s="372"/>
    <row r="298" ht="15.75" customHeight="1" s="372"/>
    <row r="299" ht="15.75" customHeight="1" s="372"/>
    <row r="300" ht="15.75" customHeight="1" s="372"/>
    <row r="301" ht="15.75" customHeight="1" s="372"/>
    <row r="302" ht="15.75" customHeight="1" s="372"/>
    <row r="303" ht="15.75" customHeight="1" s="372"/>
    <row r="304" ht="15.75" customHeight="1" s="372"/>
    <row r="305" ht="15.75" customHeight="1" s="372"/>
    <row r="306" ht="15.75" customHeight="1" s="372"/>
    <row r="307" ht="15.75" customHeight="1" s="372"/>
    <row r="308" ht="15.75" customHeight="1" s="372"/>
    <row r="309" ht="15.75" customHeight="1" s="372"/>
    <row r="310" ht="15.75" customHeight="1" s="372"/>
    <row r="311" ht="15.75" customHeight="1" s="372"/>
    <row r="312" ht="15.75" customHeight="1" s="372"/>
    <row r="313" ht="15.75" customHeight="1" s="372"/>
    <row r="314" ht="15.75" customHeight="1" s="372"/>
    <row r="315" ht="15.75" customHeight="1" s="372"/>
    <row r="316" ht="15.75" customHeight="1" s="372"/>
    <row r="317" ht="15.75" customHeight="1" s="372"/>
    <row r="318" ht="15.75" customHeight="1" s="372"/>
    <row r="319" ht="15.75" customHeight="1" s="372"/>
    <row r="320" ht="15.75" customHeight="1" s="372"/>
    <row r="321" ht="15.75" customHeight="1" s="372"/>
    <row r="322" ht="15.75" customHeight="1" s="372"/>
    <row r="323" ht="15.75" customHeight="1" s="372"/>
    <row r="324" ht="15.75" customHeight="1" s="372"/>
    <row r="325" ht="15.75" customHeight="1" s="372"/>
    <row r="326" ht="15.75" customHeight="1" s="372"/>
    <row r="327" ht="15.75" customHeight="1" s="372"/>
    <row r="328" ht="15.75" customHeight="1" s="372"/>
    <row r="329" ht="15.75" customHeight="1" s="372"/>
    <row r="330" ht="15.75" customHeight="1" s="372"/>
    <row r="331" ht="15.75" customHeight="1" s="372"/>
    <row r="332" ht="15.75" customHeight="1" s="372"/>
    <row r="333" ht="15.75" customHeight="1" s="372"/>
    <row r="334" ht="15.75" customHeight="1" s="372"/>
    <row r="335" ht="15.75" customHeight="1" s="372"/>
    <row r="336" ht="15.75" customHeight="1" s="372"/>
    <row r="337" ht="15.75" customHeight="1" s="372"/>
    <row r="338" ht="15.75" customHeight="1" s="372"/>
    <row r="339" ht="15.75" customHeight="1" s="372"/>
    <row r="340" ht="15.75" customHeight="1" s="372"/>
    <row r="341" ht="15.75" customHeight="1" s="372"/>
    <row r="342" ht="15.75" customHeight="1" s="372"/>
    <row r="343" ht="15.75" customHeight="1" s="372"/>
    <row r="344" ht="15.75" customHeight="1" s="372"/>
    <row r="345" ht="15.75" customHeight="1" s="372"/>
    <row r="346" ht="15.75" customHeight="1" s="372"/>
    <row r="347" ht="15.75" customHeight="1" s="372"/>
    <row r="348" ht="15.75" customHeight="1" s="372"/>
    <row r="349" ht="15.75" customHeight="1" s="372"/>
    <row r="350" ht="15.75" customHeight="1" s="372"/>
    <row r="351" ht="15.75" customHeight="1" s="372"/>
    <row r="352" ht="15.75" customHeight="1" s="372"/>
    <row r="353" ht="15.75" customHeight="1" s="372"/>
    <row r="354" ht="15.75" customHeight="1" s="372"/>
    <row r="355" ht="15.75" customHeight="1" s="372"/>
    <row r="356" ht="15.75" customHeight="1" s="372"/>
    <row r="357" ht="15.75" customHeight="1" s="372"/>
    <row r="358" ht="15.75" customHeight="1" s="372"/>
    <row r="359" ht="15.75" customHeight="1" s="372"/>
    <row r="360" ht="15.75" customHeight="1" s="372"/>
    <row r="361" ht="15.75" customHeight="1" s="372"/>
    <row r="362" ht="15.75" customHeight="1" s="372"/>
    <row r="363" ht="15.75" customHeight="1" s="372"/>
    <row r="364" ht="15.75" customHeight="1" s="372"/>
    <row r="365" ht="15.75" customHeight="1" s="372"/>
    <row r="366" ht="15.75" customHeight="1" s="372"/>
    <row r="367" ht="15.75" customHeight="1" s="372"/>
    <row r="368" ht="15.75" customHeight="1" s="372"/>
    <row r="369" ht="15.75" customHeight="1" s="372"/>
    <row r="370" ht="15.75" customHeight="1" s="372"/>
    <row r="371" ht="15.75" customHeight="1" s="372"/>
    <row r="372" ht="15.75" customHeight="1" s="372"/>
    <row r="373" ht="15.75" customHeight="1" s="372"/>
    <row r="374" ht="15.75" customHeight="1" s="372"/>
    <row r="375" ht="15.75" customHeight="1" s="372"/>
    <row r="376" ht="15.75" customHeight="1" s="372"/>
    <row r="377" ht="15.75" customHeight="1" s="372"/>
    <row r="378" ht="15.75" customHeight="1" s="372"/>
    <row r="379" ht="15.75" customHeight="1" s="372"/>
    <row r="380" ht="15.75" customHeight="1" s="372"/>
    <row r="381" ht="15.75" customHeight="1" s="372"/>
    <row r="382" ht="15.75" customHeight="1" s="372"/>
    <row r="383" ht="15.75" customHeight="1" s="372"/>
    <row r="384" ht="15.75" customHeight="1" s="372"/>
    <row r="385" ht="15.75" customHeight="1" s="372"/>
    <row r="386" ht="15.75" customHeight="1" s="372"/>
    <row r="387" ht="15.75" customHeight="1" s="372"/>
    <row r="388" ht="15.75" customHeight="1" s="372"/>
    <row r="389" ht="15.75" customHeight="1" s="372"/>
    <row r="390" ht="15.75" customHeight="1" s="372"/>
    <row r="391" ht="15.75" customHeight="1" s="372"/>
    <row r="392" ht="15.75" customHeight="1" s="372"/>
    <row r="393" ht="15.75" customHeight="1" s="372"/>
    <row r="394" ht="15.75" customHeight="1" s="372"/>
    <row r="395" ht="15.75" customHeight="1" s="372"/>
    <row r="396" ht="15.75" customHeight="1" s="372"/>
    <row r="397" ht="15.75" customHeight="1" s="372"/>
    <row r="398" ht="15.75" customHeight="1" s="372"/>
    <row r="399" ht="15.75" customHeight="1" s="372"/>
    <row r="400" ht="15.75" customHeight="1" s="372"/>
    <row r="401" ht="15.75" customHeight="1" s="372"/>
    <row r="402" ht="15.75" customHeight="1" s="372"/>
    <row r="403" ht="15.75" customHeight="1" s="372"/>
    <row r="404" ht="15.75" customHeight="1" s="372"/>
    <row r="405" ht="15.75" customHeight="1" s="372"/>
    <row r="406" ht="15.75" customHeight="1" s="372"/>
    <row r="407" ht="15.75" customHeight="1" s="372"/>
    <row r="408" ht="15.75" customHeight="1" s="372"/>
    <row r="409" ht="15.75" customHeight="1" s="372"/>
    <row r="410" ht="15.75" customHeight="1" s="372"/>
    <row r="411" ht="15.75" customHeight="1" s="372"/>
    <row r="412" ht="15.75" customHeight="1" s="372"/>
    <row r="413" ht="15.75" customHeight="1" s="372"/>
    <row r="414" ht="15.75" customHeight="1" s="372"/>
    <row r="415" ht="15.75" customHeight="1" s="372"/>
    <row r="416" ht="15.75" customHeight="1" s="372"/>
    <row r="417" ht="15.75" customHeight="1" s="372"/>
    <row r="418" ht="15.75" customHeight="1" s="372"/>
    <row r="419" ht="15.75" customHeight="1" s="372"/>
    <row r="420" ht="15.75" customHeight="1" s="372"/>
    <row r="421" ht="15.75" customHeight="1" s="372"/>
    <row r="422" ht="15.75" customHeight="1" s="372"/>
    <row r="423" ht="15.75" customHeight="1" s="372"/>
    <row r="424" ht="15.75" customHeight="1" s="372"/>
    <row r="425" ht="15.75" customHeight="1" s="372"/>
    <row r="426" ht="15.75" customHeight="1" s="372"/>
    <row r="427" ht="15.75" customHeight="1" s="372"/>
    <row r="428" ht="15.75" customHeight="1" s="372"/>
    <row r="429" ht="15.75" customHeight="1" s="372"/>
    <row r="430" ht="15.75" customHeight="1" s="372"/>
    <row r="431" ht="15.75" customHeight="1" s="372"/>
    <row r="432" ht="15.75" customHeight="1" s="372"/>
    <row r="433" ht="15.75" customHeight="1" s="372"/>
    <row r="434" ht="15.75" customHeight="1" s="372"/>
    <row r="435" ht="15.75" customHeight="1" s="372"/>
    <row r="436" ht="15.75" customHeight="1" s="372"/>
    <row r="437" ht="15.75" customHeight="1" s="372"/>
    <row r="438" ht="15.75" customHeight="1" s="372"/>
    <row r="439" ht="15.75" customHeight="1" s="372"/>
    <row r="440" ht="15.75" customHeight="1" s="372"/>
    <row r="441" ht="15.75" customHeight="1" s="372"/>
    <row r="442" ht="15.75" customHeight="1" s="372"/>
    <row r="443" ht="15.75" customHeight="1" s="372"/>
    <row r="444" ht="15.75" customHeight="1" s="372"/>
    <row r="445" ht="15.75" customHeight="1" s="372"/>
    <row r="446" ht="15.75" customHeight="1" s="372"/>
    <row r="447" ht="15.75" customHeight="1" s="372"/>
    <row r="448" ht="15.75" customHeight="1" s="372"/>
    <row r="449" ht="15.75" customHeight="1" s="372"/>
    <row r="450" ht="15.75" customHeight="1" s="372"/>
    <row r="451" ht="15.75" customHeight="1" s="372"/>
    <row r="452" ht="15.75" customHeight="1" s="372"/>
    <row r="453" ht="15.75" customHeight="1" s="372"/>
    <row r="454" ht="15.75" customHeight="1" s="372"/>
    <row r="455" ht="15.75" customHeight="1" s="372"/>
    <row r="456" ht="15.75" customHeight="1" s="372"/>
    <row r="457" ht="15.75" customHeight="1" s="372"/>
    <row r="458" ht="15.75" customHeight="1" s="372"/>
    <row r="459" ht="15.75" customHeight="1" s="372"/>
    <row r="460" ht="15.75" customHeight="1" s="372"/>
    <row r="461" ht="15.75" customHeight="1" s="372"/>
    <row r="462" ht="15.75" customHeight="1" s="372"/>
    <row r="463" ht="15.75" customHeight="1" s="372"/>
    <row r="464" ht="15.75" customHeight="1" s="372"/>
    <row r="465" ht="15.75" customHeight="1" s="372"/>
    <row r="466" ht="15.75" customHeight="1" s="372"/>
    <row r="467" ht="15.75" customHeight="1" s="372"/>
    <row r="468" ht="15.75" customHeight="1" s="372"/>
    <row r="469" ht="15.75" customHeight="1" s="372"/>
    <row r="470" ht="15.75" customHeight="1" s="372"/>
    <row r="471" ht="15.75" customHeight="1" s="372"/>
    <row r="472" ht="15.75" customHeight="1" s="372"/>
    <row r="473" ht="15.75" customHeight="1" s="372"/>
    <row r="474" ht="15.75" customHeight="1" s="372"/>
    <row r="475" ht="15.75" customHeight="1" s="372"/>
    <row r="476" ht="15.75" customHeight="1" s="372"/>
    <row r="477" ht="15.75" customHeight="1" s="372"/>
    <row r="478" ht="15.75" customHeight="1" s="372"/>
    <row r="479" ht="15.75" customHeight="1" s="372"/>
    <row r="480" ht="15.75" customHeight="1" s="372"/>
    <row r="481" ht="15.75" customHeight="1" s="372"/>
    <row r="482" ht="15.75" customHeight="1" s="372"/>
    <row r="483" ht="15.75" customHeight="1" s="372"/>
    <row r="484" ht="15.75" customHeight="1" s="372"/>
    <row r="485" ht="15.75" customHeight="1" s="372"/>
    <row r="486" ht="15.75" customHeight="1" s="372"/>
    <row r="487" ht="15.75" customHeight="1" s="372"/>
    <row r="488" ht="15.75" customHeight="1" s="372"/>
    <row r="489" ht="15.75" customHeight="1" s="372"/>
    <row r="490" ht="15.75" customHeight="1" s="372"/>
    <row r="491" ht="15.75" customHeight="1" s="372"/>
    <row r="492" ht="15.75" customHeight="1" s="372"/>
    <row r="493" ht="15.75" customHeight="1" s="372"/>
    <row r="494" ht="15.75" customHeight="1" s="372"/>
    <row r="495" ht="15.75" customHeight="1" s="372"/>
    <row r="496" ht="15.75" customHeight="1" s="372"/>
    <row r="497" ht="15.75" customHeight="1" s="372"/>
    <row r="498" ht="15.75" customHeight="1" s="372"/>
    <row r="499" ht="15.75" customHeight="1" s="372"/>
    <row r="500" ht="15.75" customHeight="1" s="372"/>
    <row r="501" ht="15.75" customHeight="1" s="372"/>
    <row r="502" ht="15.75" customHeight="1" s="372"/>
    <row r="503" ht="15.75" customHeight="1" s="372"/>
    <row r="504" ht="15.75" customHeight="1" s="372"/>
    <row r="505" ht="15.75" customHeight="1" s="372"/>
    <row r="506" ht="15.75" customHeight="1" s="372"/>
    <row r="507" ht="15.75" customHeight="1" s="372"/>
    <row r="508" ht="15.75" customHeight="1" s="372"/>
    <row r="509" ht="15.75" customHeight="1" s="372"/>
    <row r="510" ht="15.75" customHeight="1" s="372"/>
    <row r="511" ht="15.75" customHeight="1" s="372"/>
    <row r="512" ht="15.75" customHeight="1" s="372"/>
    <row r="513" ht="15.75" customHeight="1" s="372"/>
    <row r="514" ht="15.75" customHeight="1" s="372"/>
    <row r="515" ht="15.75" customHeight="1" s="372"/>
    <row r="516" ht="15.75" customHeight="1" s="372"/>
    <row r="517" ht="15.75" customHeight="1" s="372"/>
    <row r="518" ht="15.75" customHeight="1" s="372"/>
    <row r="519" ht="15.75" customHeight="1" s="372"/>
    <row r="520" ht="15.75" customHeight="1" s="372"/>
    <row r="521" ht="15.75" customHeight="1" s="372"/>
    <row r="522" ht="15.75" customHeight="1" s="372"/>
    <row r="523" ht="15.75" customHeight="1" s="372"/>
    <row r="524" ht="15.75" customHeight="1" s="372"/>
    <row r="525" ht="15.75" customHeight="1" s="372"/>
    <row r="526" ht="15.75" customHeight="1" s="372"/>
    <row r="527" ht="15.75" customHeight="1" s="372"/>
    <row r="528" ht="15.75" customHeight="1" s="372"/>
    <row r="529" ht="15.75" customHeight="1" s="372"/>
    <row r="530" ht="15.75" customHeight="1" s="372"/>
    <row r="531" ht="15.75" customHeight="1" s="372"/>
    <row r="532" ht="15.75" customHeight="1" s="372"/>
    <row r="533" ht="15.75" customHeight="1" s="372"/>
    <row r="534" ht="15.75" customHeight="1" s="372"/>
    <row r="535" ht="15.75" customHeight="1" s="372"/>
    <row r="536" ht="15.75" customHeight="1" s="372"/>
    <row r="537" ht="15.75" customHeight="1" s="372"/>
    <row r="538" ht="15.75" customHeight="1" s="372"/>
    <row r="539" ht="15.75" customHeight="1" s="372"/>
    <row r="540" ht="15.75" customHeight="1" s="372"/>
    <row r="541" ht="15.75" customHeight="1" s="372"/>
    <row r="542" ht="15.75" customHeight="1" s="372"/>
    <row r="543" ht="15.75" customHeight="1" s="372"/>
    <row r="544" ht="15.75" customHeight="1" s="372"/>
    <row r="545" ht="15.75" customHeight="1" s="372"/>
    <row r="546" ht="15.75" customHeight="1" s="372"/>
    <row r="547" ht="15.75" customHeight="1" s="372"/>
    <row r="548" ht="15.75" customHeight="1" s="372"/>
    <row r="549" ht="15.75" customHeight="1" s="372"/>
    <row r="550" ht="15.75" customHeight="1" s="372"/>
    <row r="551" ht="15.75" customHeight="1" s="372"/>
    <row r="552" ht="15.75" customHeight="1" s="372"/>
    <row r="553" ht="15.75" customHeight="1" s="372"/>
    <row r="554" ht="15.75" customHeight="1" s="372"/>
    <row r="555" ht="15.75" customHeight="1" s="372"/>
    <row r="556" ht="15.75" customHeight="1" s="372"/>
    <row r="557" ht="15.75" customHeight="1" s="372"/>
    <row r="558" ht="15.75" customHeight="1" s="372"/>
    <row r="559" ht="15.75" customHeight="1" s="372"/>
    <row r="560" ht="15.75" customHeight="1" s="372"/>
    <row r="561" ht="15.75" customHeight="1" s="372"/>
    <row r="562" ht="15.75" customHeight="1" s="372"/>
    <row r="563" ht="15.75" customHeight="1" s="372"/>
    <row r="564" ht="15.75" customHeight="1" s="372"/>
    <row r="565" ht="15.75" customHeight="1" s="372"/>
    <row r="566" ht="15.75" customHeight="1" s="372"/>
    <row r="567" ht="15.75" customHeight="1" s="372"/>
    <row r="568" ht="15.75" customHeight="1" s="372"/>
    <row r="569" ht="15.75" customHeight="1" s="372"/>
    <row r="570" ht="15.75" customHeight="1" s="372"/>
    <row r="571" ht="15.75" customHeight="1" s="372"/>
    <row r="572" ht="15.75" customHeight="1" s="372"/>
    <row r="573" ht="15.75" customHeight="1" s="372"/>
    <row r="574" ht="15.75" customHeight="1" s="372"/>
    <row r="575" ht="15.75" customHeight="1" s="372"/>
    <row r="576" ht="15.75" customHeight="1" s="372"/>
    <row r="577" ht="15.75" customHeight="1" s="372"/>
    <row r="578" ht="15.75" customHeight="1" s="372"/>
    <row r="579" ht="15.75" customHeight="1" s="372"/>
    <row r="580" ht="15.75" customHeight="1" s="372"/>
    <row r="581" ht="15.75" customHeight="1" s="372"/>
    <row r="582" ht="15.75" customHeight="1" s="372"/>
    <row r="583" ht="15.75" customHeight="1" s="372"/>
    <row r="584" ht="15.75" customHeight="1" s="372"/>
    <row r="585" ht="15.75" customHeight="1" s="372"/>
    <row r="586" ht="15.75" customHeight="1" s="372"/>
    <row r="587" ht="15.75" customHeight="1" s="372"/>
    <row r="588" ht="15.75" customHeight="1" s="372"/>
    <row r="589" ht="15.75" customHeight="1" s="372"/>
    <row r="590" ht="15.75" customHeight="1" s="372"/>
    <row r="591" ht="15.75" customHeight="1" s="372"/>
    <row r="592" ht="15.75" customHeight="1" s="372"/>
    <row r="593" ht="15.75" customHeight="1" s="372"/>
    <row r="594" ht="15.75" customHeight="1" s="372"/>
    <row r="595" ht="15.75" customHeight="1" s="372"/>
    <row r="596" ht="15.75" customHeight="1" s="372"/>
    <row r="597" ht="15.75" customHeight="1" s="372"/>
    <row r="598" ht="15.75" customHeight="1" s="372"/>
    <row r="599" ht="15.75" customHeight="1" s="372"/>
    <row r="600" ht="15.75" customHeight="1" s="372"/>
    <row r="601" ht="15.75" customHeight="1" s="372"/>
    <row r="602" ht="15.75" customHeight="1" s="372"/>
    <row r="603" ht="15.75" customHeight="1" s="372"/>
    <row r="604" ht="15.75" customHeight="1" s="372"/>
    <row r="605" ht="15.75" customHeight="1" s="372"/>
    <row r="606" ht="15.75" customHeight="1" s="372"/>
    <row r="607" ht="15.75" customHeight="1" s="372"/>
    <row r="608" ht="15.75" customHeight="1" s="372"/>
    <row r="609" ht="15.75" customHeight="1" s="372"/>
    <row r="610" ht="15.75" customHeight="1" s="372"/>
    <row r="611" ht="15.75" customHeight="1" s="372"/>
    <row r="612" ht="15.75" customHeight="1" s="372"/>
    <row r="613" ht="15.75" customHeight="1" s="372"/>
    <row r="614" ht="15.75" customHeight="1" s="372"/>
    <row r="615" ht="15.75" customHeight="1" s="372"/>
    <row r="616" ht="15.75" customHeight="1" s="372"/>
    <row r="617" ht="15.75" customHeight="1" s="372"/>
    <row r="618" ht="15.75" customHeight="1" s="372"/>
    <row r="619" ht="15.75" customHeight="1" s="372"/>
    <row r="620" ht="15.75" customHeight="1" s="372"/>
    <row r="621" ht="15.75" customHeight="1" s="372"/>
    <row r="622" ht="15.75" customHeight="1" s="372"/>
    <row r="623" ht="15.75" customHeight="1" s="372"/>
    <row r="624" ht="15.75" customHeight="1" s="372"/>
    <row r="625" ht="15.75" customHeight="1" s="372"/>
    <row r="626" ht="15.75" customHeight="1" s="372"/>
    <row r="627" ht="15.75" customHeight="1" s="372"/>
    <row r="628" ht="15.75" customHeight="1" s="372"/>
    <row r="629" ht="15.75" customHeight="1" s="372"/>
    <row r="630" ht="15.75" customHeight="1" s="372"/>
    <row r="631" ht="15.75" customHeight="1" s="372"/>
    <row r="632" ht="15.75" customHeight="1" s="372"/>
    <row r="633" ht="15.75" customHeight="1" s="372"/>
    <row r="634" ht="15.75" customHeight="1" s="372"/>
    <row r="635" ht="15.75" customHeight="1" s="372"/>
    <row r="636" ht="15.75" customHeight="1" s="372"/>
    <row r="637" ht="15.75" customHeight="1" s="372"/>
    <row r="638" ht="15.75" customHeight="1" s="372"/>
    <row r="639" ht="15.75" customHeight="1" s="372"/>
    <row r="640" ht="15.75" customHeight="1" s="372"/>
    <row r="641" ht="15.75" customHeight="1" s="372"/>
    <row r="642" ht="15.75" customHeight="1" s="372"/>
    <row r="643" ht="15.75" customHeight="1" s="372"/>
    <row r="644" ht="15.75" customHeight="1" s="372"/>
    <row r="645" ht="15.75" customHeight="1" s="372"/>
    <row r="646" ht="15.75" customHeight="1" s="372"/>
    <row r="647" ht="15.75" customHeight="1" s="372"/>
    <row r="648" ht="15.75" customHeight="1" s="372"/>
    <row r="649" ht="15.75" customHeight="1" s="372"/>
    <row r="650" ht="15.75" customHeight="1" s="372"/>
    <row r="651" ht="15.75" customHeight="1" s="372"/>
    <row r="652" ht="15.75" customHeight="1" s="372"/>
    <row r="653" ht="15.75" customHeight="1" s="372"/>
    <row r="654" ht="15.75" customHeight="1" s="372"/>
    <row r="655" ht="15.75" customHeight="1" s="372"/>
    <row r="656" ht="15.75" customHeight="1" s="372"/>
    <row r="657" ht="15.75" customHeight="1" s="372"/>
    <row r="658" ht="15.75" customHeight="1" s="372"/>
    <row r="659" ht="15.75" customHeight="1" s="372"/>
    <row r="660" ht="15.75" customHeight="1" s="372"/>
    <row r="661" ht="15.75" customHeight="1" s="372"/>
    <row r="662" ht="15.75" customHeight="1" s="372"/>
    <row r="663" ht="15.75" customHeight="1" s="372"/>
    <row r="664" ht="15.75" customHeight="1" s="372"/>
    <row r="665" ht="15.75" customHeight="1" s="372"/>
    <row r="666" ht="15.75" customHeight="1" s="372"/>
    <row r="667" ht="15.75" customHeight="1" s="372"/>
    <row r="668" ht="15.75" customHeight="1" s="372"/>
    <row r="669" ht="15.75" customHeight="1" s="372"/>
    <row r="670" ht="15.75" customHeight="1" s="372"/>
    <row r="671" ht="15.75" customHeight="1" s="372"/>
    <row r="672" ht="15.75" customHeight="1" s="372"/>
    <row r="673" ht="15.75" customHeight="1" s="372"/>
    <row r="674" ht="15.75" customHeight="1" s="372"/>
    <row r="675" ht="15.75" customHeight="1" s="372"/>
    <row r="676" ht="15.75" customHeight="1" s="372"/>
    <row r="677" ht="15.75" customHeight="1" s="372"/>
    <row r="678" ht="15.75" customHeight="1" s="372"/>
    <row r="679" ht="15.75" customHeight="1" s="372"/>
    <row r="680" ht="15.75" customHeight="1" s="372"/>
    <row r="681" ht="15.75" customHeight="1" s="372"/>
    <row r="682" ht="15.75" customHeight="1" s="372"/>
    <row r="683" ht="15.75" customHeight="1" s="372"/>
    <row r="684" ht="15.75" customHeight="1" s="372"/>
    <row r="685" ht="15.75" customHeight="1" s="372"/>
    <row r="686" ht="15.75" customHeight="1" s="372"/>
    <row r="687" ht="15.75" customHeight="1" s="372"/>
    <row r="688" ht="15.75" customHeight="1" s="372"/>
    <row r="689" ht="15.75" customHeight="1" s="372"/>
    <row r="690" ht="15.75" customHeight="1" s="372"/>
    <row r="691" ht="15.75" customHeight="1" s="372"/>
    <row r="692" ht="15.75" customHeight="1" s="372"/>
    <row r="693" ht="15.75" customHeight="1" s="372"/>
    <row r="694" ht="15.75" customHeight="1" s="372"/>
    <row r="695" ht="15.75" customHeight="1" s="372"/>
    <row r="696" ht="15.75" customHeight="1" s="372"/>
    <row r="697" ht="15.75" customHeight="1" s="372"/>
    <row r="698" ht="15.75" customHeight="1" s="372"/>
    <row r="699" ht="15.75" customHeight="1" s="372"/>
    <row r="700" ht="15.75" customHeight="1" s="372"/>
    <row r="701" ht="15.75" customHeight="1" s="372"/>
    <row r="702" ht="15.75" customHeight="1" s="372"/>
    <row r="703" ht="15.75" customHeight="1" s="372"/>
    <row r="704" ht="15.75" customHeight="1" s="372"/>
    <row r="705" ht="15.75" customHeight="1" s="372"/>
    <row r="706" ht="15.75" customHeight="1" s="372"/>
    <row r="707" ht="15.75" customHeight="1" s="372"/>
    <row r="708" ht="15.75" customHeight="1" s="372"/>
    <row r="709" ht="15.75" customHeight="1" s="372"/>
    <row r="710" ht="15.75" customHeight="1" s="372"/>
    <row r="711" ht="15.75" customHeight="1" s="372"/>
    <row r="712" ht="15.75" customHeight="1" s="372"/>
    <row r="713" ht="15.75" customHeight="1" s="372"/>
    <row r="714" ht="15.75" customHeight="1" s="372"/>
    <row r="715" ht="15.75" customHeight="1" s="372"/>
    <row r="716" ht="15.75" customHeight="1" s="372"/>
    <row r="717" ht="15.75" customHeight="1" s="372"/>
    <row r="718" ht="15.75" customHeight="1" s="372"/>
    <row r="719" ht="15.75" customHeight="1" s="372"/>
    <row r="720" ht="15.75" customHeight="1" s="372"/>
    <row r="721" ht="15.75" customHeight="1" s="372"/>
    <row r="722" ht="15.75" customHeight="1" s="372"/>
    <row r="723" ht="15.75" customHeight="1" s="372"/>
    <row r="724" ht="15.75" customHeight="1" s="372"/>
    <row r="725" ht="15.75" customHeight="1" s="372"/>
    <row r="726" ht="15.75" customHeight="1" s="372"/>
    <row r="727" ht="15.75" customHeight="1" s="372"/>
    <row r="728" ht="15.75" customHeight="1" s="372"/>
    <row r="729" ht="15.75" customHeight="1" s="372"/>
    <row r="730" ht="15.75" customHeight="1" s="372"/>
    <row r="731" ht="15.75" customHeight="1" s="372"/>
    <row r="732" ht="15.75" customHeight="1" s="372"/>
    <row r="733" ht="15.75" customHeight="1" s="372"/>
    <row r="734" ht="15.75" customHeight="1" s="372"/>
    <row r="735" ht="15.75" customHeight="1" s="372"/>
    <row r="736" ht="15.75" customHeight="1" s="372"/>
    <row r="737" ht="15.75" customHeight="1" s="372"/>
    <row r="738" ht="15.75" customHeight="1" s="372"/>
    <row r="739" ht="15.75" customHeight="1" s="372"/>
    <row r="740" ht="15.75" customHeight="1" s="372"/>
    <row r="741" ht="15.75" customHeight="1" s="372"/>
    <row r="742" ht="15.75" customHeight="1" s="372"/>
    <row r="743" ht="15.75" customHeight="1" s="372"/>
    <row r="744" ht="15.75" customHeight="1" s="372"/>
    <row r="745" ht="15.75" customHeight="1" s="372"/>
    <row r="746" ht="15.75" customHeight="1" s="372"/>
    <row r="747" ht="15.75" customHeight="1" s="372"/>
    <row r="748" ht="15.75" customHeight="1" s="372"/>
    <row r="749" ht="15.75" customHeight="1" s="372"/>
    <row r="750" ht="15.75" customHeight="1" s="372"/>
    <row r="751" ht="15.75" customHeight="1" s="372"/>
    <row r="752" ht="15.75" customHeight="1" s="372"/>
    <row r="753" ht="15.75" customHeight="1" s="372"/>
    <row r="754" ht="15.75" customHeight="1" s="372"/>
    <row r="755" ht="15.75" customHeight="1" s="372"/>
    <row r="756" ht="15.75" customHeight="1" s="372"/>
    <row r="757" ht="15.75" customHeight="1" s="372"/>
    <row r="758" ht="15.75" customHeight="1" s="372"/>
    <row r="759" ht="15.75" customHeight="1" s="372"/>
    <row r="760" ht="15.75" customHeight="1" s="372"/>
    <row r="761" ht="15.75" customHeight="1" s="372"/>
    <row r="762" ht="15.75" customHeight="1" s="372"/>
    <row r="763" ht="15.75" customHeight="1" s="372"/>
    <row r="764" ht="15.75" customHeight="1" s="372"/>
    <row r="765" ht="15.75" customHeight="1" s="372"/>
    <row r="766" ht="15.75" customHeight="1" s="372"/>
    <row r="767" ht="15.75" customHeight="1" s="372"/>
    <row r="768" ht="15.75" customHeight="1" s="372"/>
    <row r="769" ht="15.75" customHeight="1" s="372"/>
    <row r="770" ht="15.75" customHeight="1" s="372"/>
    <row r="771" ht="15.75" customHeight="1" s="372"/>
    <row r="772" ht="15.75" customHeight="1" s="372"/>
    <row r="773" ht="15.75" customHeight="1" s="372"/>
    <row r="774" ht="15.75" customHeight="1" s="372"/>
    <row r="775" ht="15.75" customHeight="1" s="372"/>
    <row r="776" ht="15.75" customHeight="1" s="372"/>
    <row r="777" ht="15.75" customHeight="1" s="372"/>
    <row r="778" ht="15.75" customHeight="1" s="372"/>
    <row r="779" ht="15.75" customHeight="1" s="372"/>
    <row r="780" ht="15.75" customHeight="1" s="372"/>
    <row r="781" ht="15.75" customHeight="1" s="372"/>
    <row r="782" ht="15.75" customHeight="1" s="372"/>
    <row r="783" ht="15.75" customHeight="1" s="372"/>
    <row r="784" ht="15.75" customHeight="1" s="372"/>
    <row r="785" ht="15.75" customHeight="1" s="372"/>
    <row r="786" ht="15.75" customHeight="1" s="372"/>
    <row r="787" ht="15.75" customHeight="1" s="372"/>
    <row r="788" ht="15.75" customHeight="1" s="372"/>
    <row r="789" ht="15.75" customHeight="1" s="372"/>
    <row r="790" ht="15.75" customHeight="1" s="372"/>
    <row r="791" ht="15.75" customHeight="1" s="372"/>
    <row r="792" ht="15.75" customHeight="1" s="372"/>
    <row r="793" ht="15.75" customHeight="1" s="372"/>
    <row r="794" ht="15.75" customHeight="1" s="372"/>
    <row r="795" ht="15.75" customHeight="1" s="372"/>
    <row r="796" ht="15.75" customHeight="1" s="372"/>
    <row r="797" ht="15.75" customHeight="1" s="372"/>
    <row r="798" ht="15.75" customHeight="1" s="372"/>
    <row r="799" ht="15.75" customHeight="1" s="372"/>
    <row r="800" ht="15.75" customHeight="1" s="372"/>
    <row r="801" ht="15.75" customHeight="1" s="372"/>
    <row r="802" ht="15.75" customHeight="1" s="372"/>
    <row r="803" ht="15.75" customHeight="1" s="372"/>
    <row r="804" ht="15.75" customHeight="1" s="372"/>
    <row r="805" ht="15.75" customHeight="1" s="372"/>
    <row r="806" ht="15.75" customHeight="1" s="372"/>
    <row r="807" ht="15.75" customHeight="1" s="372"/>
    <row r="808" ht="15.75" customHeight="1" s="372"/>
    <row r="809" ht="15.75" customHeight="1" s="372"/>
    <row r="810" ht="15.75" customHeight="1" s="372"/>
    <row r="811" ht="15.75" customHeight="1" s="372"/>
    <row r="812" ht="15.75" customHeight="1" s="372"/>
    <row r="813" ht="15.75" customHeight="1" s="372"/>
    <row r="814" ht="15.75" customHeight="1" s="372"/>
    <row r="815" ht="15.75" customHeight="1" s="372"/>
    <row r="816" ht="15.75" customHeight="1" s="372"/>
    <row r="817" ht="15.75" customHeight="1" s="372"/>
    <row r="818" ht="15.75" customHeight="1" s="372"/>
    <row r="819" ht="15.75" customHeight="1" s="372"/>
    <row r="820" ht="15.75" customHeight="1" s="372"/>
    <row r="821" ht="15.75" customHeight="1" s="372"/>
    <row r="822" ht="15.75" customHeight="1" s="372"/>
    <row r="823" ht="15.75" customHeight="1" s="372"/>
    <row r="824" ht="15.75" customHeight="1" s="372"/>
    <row r="825" ht="15.75" customHeight="1" s="372"/>
    <row r="826" ht="15.75" customHeight="1" s="372"/>
    <row r="827" ht="15.75" customHeight="1" s="372"/>
    <row r="828" ht="15.75" customHeight="1" s="372"/>
    <row r="829" ht="15.75" customHeight="1" s="372"/>
    <row r="830" ht="15.75" customHeight="1" s="372"/>
    <row r="831" ht="15.75" customHeight="1" s="372"/>
    <row r="832" ht="15.75" customHeight="1" s="372"/>
    <row r="833" ht="15.75" customHeight="1" s="372"/>
    <row r="834" ht="15.75" customHeight="1" s="372"/>
    <row r="835" ht="15.75" customHeight="1" s="372"/>
    <row r="836" ht="15.75" customHeight="1" s="372"/>
    <row r="837" ht="15.75" customHeight="1" s="372"/>
    <row r="838" ht="15.75" customHeight="1" s="372"/>
    <row r="839" ht="15.75" customHeight="1" s="372"/>
    <row r="840" ht="15.75" customHeight="1" s="372"/>
    <row r="841" ht="15.75" customHeight="1" s="372"/>
    <row r="842" ht="15.75" customHeight="1" s="372"/>
    <row r="843" ht="15.75" customHeight="1" s="372"/>
    <row r="844" ht="15.75" customHeight="1" s="372"/>
    <row r="845" ht="15.75" customHeight="1" s="372"/>
    <row r="846" ht="15.75" customHeight="1" s="372"/>
    <row r="847" ht="15.75" customHeight="1" s="372"/>
    <row r="848" ht="15.75" customHeight="1" s="372"/>
    <row r="849" ht="15.75" customHeight="1" s="372"/>
    <row r="850" ht="15.75" customHeight="1" s="372"/>
    <row r="851" ht="15.75" customHeight="1" s="372"/>
    <row r="852" ht="15.75" customHeight="1" s="372"/>
    <row r="853" ht="15.75" customHeight="1" s="372"/>
    <row r="854" ht="15.75" customHeight="1" s="372"/>
    <row r="855" ht="15.75" customHeight="1" s="372"/>
    <row r="856" ht="15.75" customHeight="1" s="372"/>
    <row r="857" ht="15.75" customHeight="1" s="372"/>
    <row r="858" ht="15.75" customHeight="1" s="372"/>
    <row r="859" ht="15.75" customHeight="1" s="372"/>
    <row r="860" ht="15.75" customHeight="1" s="372"/>
    <row r="861" ht="15.75" customHeight="1" s="372"/>
    <row r="862" ht="15.75" customHeight="1" s="372"/>
    <row r="863" ht="15.75" customHeight="1" s="372"/>
    <row r="864" ht="15.75" customHeight="1" s="372"/>
    <row r="865" ht="15.75" customHeight="1" s="372"/>
    <row r="866" ht="15.75" customHeight="1" s="372"/>
    <row r="867" ht="15.75" customHeight="1" s="372"/>
    <row r="868" ht="15.75" customHeight="1" s="372"/>
    <row r="869" ht="15.75" customHeight="1" s="372"/>
    <row r="870" ht="15.75" customHeight="1" s="372"/>
    <row r="871" ht="15.75" customHeight="1" s="372"/>
    <row r="872" ht="15.75" customHeight="1" s="372"/>
    <row r="873" ht="15.75" customHeight="1" s="372"/>
    <row r="874" ht="15.75" customHeight="1" s="372"/>
    <row r="875" ht="15.75" customHeight="1" s="372"/>
    <row r="876" ht="15.75" customHeight="1" s="372"/>
    <row r="877" ht="15.75" customHeight="1" s="372"/>
    <row r="878" ht="15.75" customHeight="1" s="372"/>
    <row r="879" ht="15.75" customHeight="1" s="372"/>
    <row r="880" ht="15.75" customHeight="1" s="372"/>
    <row r="881" ht="15.75" customHeight="1" s="372"/>
    <row r="882" ht="15.75" customHeight="1" s="372"/>
    <row r="883" ht="15.75" customHeight="1" s="372"/>
    <row r="884" ht="15.75" customHeight="1" s="372"/>
    <row r="885" ht="15.75" customHeight="1" s="372"/>
    <row r="886" ht="15.75" customHeight="1" s="372"/>
    <row r="887" ht="15.75" customHeight="1" s="372"/>
    <row r="888" ht="15.75" customHeight="1" s="372"/>
    <row r="889" ht="15.75" customHeight="1" s="372"/>
    <row r="890" ht="15.75" customHeight="1" s="372"/>
    <row r="891" ht="15.75" customHeight="1" s="372"/>
    <row r="892" ht="15.75" customHeight="1" s="372"/>
    <row r="893" ht="15.75" customHeight="1" s="372"/>
    <row r="894" ht="15.75" customHeight="1" s="372"/>
    <row r="895" ht="15.75" customHeight="1" s="372"/>
    <row r="896" ht="15.75" customHeight="1" s="372"/>
    <row r="897" ht="15.75" customHeight="1" s="372"/>
    <row r="898" ht="15.75" customHeight="1" s="372"/>
    <row r="899" ht="15.75" customHeight="1" s="372"/>
    <row r="900" ht="15.75" customHeight="1" s="372"/>
    <row r="901" ht="15.75" customHeight="1" s="372"/>
    <row r="902" ht="15.75" customHeight="1" s="372"/>
    <row r="903" ht="15.75" customHeight="1" s="372"/>
    <row r="904" ht="15.75" customHeight="1" s="372"/>
    <row r="905" ht="15.75" customHeight="1" s="372"/>
    <row r="906" ht="15.75" customHeight="1" s="372"/>
    <row r="907" ht="15.75" customHeight="1" s="372"/>
    <row r="908" ht="15.75" customHeight="1" s="372"/>
    <row r="909" ht="15.75" customHeight="1" s="372"/>
    <row r="910" ht="15.75" customHeight="1" s="372"/>
    <row r="911" ht="15.75" customHeight="1" s="372"/>
    <row r="912" ht="15.75" customHeight="1" s="372"/>
    <row r="913" ht="15.75" customHeight="1" s="372"/>
    <row r="914" ht="15.75" customHeight="1" s="372"/>
    <row r="915" ht="15.75" customHeight="1" s="372"/>
    <row r="916" ht="15.75" customHeight="1" s="372"/>
    <row r="917" ht="15.75" customHeight="1" s="372"/>
    <row r="918" ht="15.75" customHeight="1" s="372"/>
    <row r="919" ht="15.75" customHeight="1" s="372"/>
    <row r="920" ht="15.75" customHeight="1" s="372"/>
    <row r="921" ht="15.75" customHeight="1" s="372"/>
    <row r="922" ht="15.75" customHeight="1" s="372"/>
    <row r="923" ht="15.75" customHeight="1" s="372"/>
    <row r="924" ht="15.75" customHeight="1" s="372"/>
    <row r="925" ht="15.75" customHeight="1" s="372"/>
    <row r="926" ht="15.75" customHeight="1" s="372"/>
    <row r="927" ht="15.75" customHeight="1" s="372"/>
    <row r="928" ht="15.75" customHeight="1" s="372"/>
    <row r="929" ht="15.75" customHeight="1" s="372"/>
    <row r="930" ht="15.75" customHeight="1" s="372"/>
    <row r="931" ht="15.75" customHeight="1" s="372"/>
    <row r="932" ht="15.75" customHeight="1" s="372"/>
    <row r="933" ht="15.75" customHeight="1" s="372"/>
    <row r="934" ht="15.75" customHeight="1" s="372"/>
    <row r="935" ht="15.75" customHeight="1" s="372"/>
    <row r="936" ht="15.75" customHeight="1" s="372"/>
    <row r="937" ht="15.75" customHeight="1" s="372"/>
    <row r="938" ht="15.75" customHeight="1" s="372"/>
    <row r="939" ht="15.75" customHeight="1" s="372"/>
    <row r="940" ht="15.75" customHeight="1" s="372"/>
    <row r="941" ht="15.75" customHeight="1" s="372"/>
    <row r="942" ht="15.75" customHeight="1" s="372"/>
    <row r="943" ht="15.75" customHeight="1" s="372"/>
    <row r="944" ht="15.75" customHeight="1" s="372"/>
    <row r="945" ht="15.75" customHeight="1" s="372"/>
    <row r="946" ht="15.75" customHeight="1" s="372"/>
    <row r="947" ht="15.75" customHeight="1" s="372"/>
    <row r="948" ht="15.75" customHeight="1" s="372"/>
    <row r="949" ht="15.75" customHeight="1" s="372"/>
    <row r="950" ht="15.75" customHeight="1" s="372"/>
    <row r="951" ht="15.75" customHeight="1" s="372"/>
    <row r="952" ht="15.75" customHeight="1" s="372"/>
    <row r="953" ht="15.75" customHeight="1" s="372"/>
    <row r="954" ht="15.75" customHeight="1" s="372"/>
    <row r="955" ht="15.75" customHeight="1" s="372"/>
    <row r="956" ht="15.75" customHeight="1" s="372"/>
    <row r="957" ht="15.75" customHeight="1" s="372"/>
    <row r="958" ht="15.75" customHeight="1" s="372"/>
    <row r="959" ht="15.75" customHeight="1" s="372"/>
    <row r="960" ht="15.75" customHeight="1" s="372"/>
    <row r="961" ht="15.75" customHeight="1" s="372"/>
    <row r="962" ht="15.75" customHeight="1" s="372"/>
    <row r="963" ht="15.75" customHeight="1" s="372"/>
    <row r="964" ht="15.75" customHeight="1" s="372"/>
    <row r="965" ht="15.75" customHeight="1" s="372"/>
    <row r="966" ht="15.75" customHeight="1" s="372"/>
    <row r="967" ht="15.75" customHeight="1" s="372"/>
    <row r="968" ht="15.75" customHeight="1" s="372"/>
    <row r="969" ht="15.75" customHeight="1" s="372"/>
    <row r="970" ht="15.75" customHeight="1" s="372"/>
    <row r="971" ht="15.75" customHeight="1" s="372"/>
    <row r="972" ht="15.75" customHeight="1" s="372"/>
    <row r="973" ht="15.75" customHeight="1" s="372"/>
    <row r="974" ht="15.75" customHeight="1" s="372"/>
    <row r="975" ht="15.75" customHeight="1" s="372"/>
    <row r="976" ht="15.75" customHeight="1" s="372"/>
    <row r="977" ht="15.75" customHeight="1" s="372"/>
    <row r="978" ht="15.75" customHeight="1" s="372"/>
    <row r="979" ht="15.75" customHeight="1" s="372"/>
    <row r="980" ht="15.75" customHeight="1" s="372"/>
    <row r="981" ht="15.75" customHeight="1" s="372"/>
    <row r="982" ht="15.75" customHeight="1" s="372"/>
    <row r="983" ht="15.75" customHeight="1" s="372"/>
    <row r="984" ht="15.75" customHeight="1" s="372"/>
    <row r="985" ht="15.75" customHeight="1" s="372"/>
    <row r="986" ht="15.75" customHeight="1" s="372"/>
    <row r="987" ht="15.75" customHeight="1" s="372"/>
    <row r="988" ht="15.75" customHeight="1" s="372"/>
    <row r="989" ht="15.75" customHeight="1" s="372"/>
    <row r="990" ht="15.75" customHeight="1" s="372"/>
    <row r="991" ht="15.75" customHeight="1" s="372"/>
    <row r="992" ht="15.75" customHeight="1" s="372"/>
    <row r="993" ht="15.75" customHeight="1" s="372"/>
    <row r="994" ht="15.75" customHeight="1" s="372"/>
    <row r="995" ht="15.75" customHeight="1" s="372"/>
    <row r="996" ht="15.75" customHeight="1" s="372"/>
    <row r="997" ht="15.75" customHeight="1" s="372"/>
    <row r="998" ht="15.75" customHeight="1" s="372"/>
    <row r="999" ht="15.75" customHeight="1" s="372"/>
    <row r="1000" ht="15.75" customHeight="1" s="372"/>
  </sheetData>
  <mergeCells count="7">
    <mergeCell ref="A8:D8"/>
    <mergeCell ref="H2:I2"/>
    <mergeCell ref="A1:M1"/>
    <mergeCell ref="E2:F2"/>
    <mergeCell ref="A2:D2"/>
    <mergeCell ref="A3:F3"/>
    <mergeCell ref="E8:F8"/>
  </mergeCells>
  <dataValidations count="3">
    <dataValidation sqref="D6:D7 D9:D32" showDropDown="0" showInputMessage="0" showErrorMessage="0" allowBlank="1" type="list">
      <formula1>"Observer,Participant,Leader"</formula1>
    </dataValidation>
    <dataValidation sqref="C6:C7 C9:C32" showDropDown="0" showInputMessage="0" showErrorMessage="0" allowBlank="1" type="list">
      <formula1>"Elementary,Middle,High,Central Office,Agency,Other"</formula1>
    </dataValidation>
    <dataValidation sqref="O6 O7 O9 O10 O11 O12 O13 O14 O15 O16 O17 O18 O19 O20 O21 O22 O23 O24 O25 O26 O27 O28 O29 O30 O31" showDropDown="0" showInputMessage="1" showErrorMessage="0" allowBlank="1" promptTitle="Completed" prompt="Choose Yes once you have finished this experience." type="list">
      <formula1>"Yes"</formula1>
    </dataValidation>
  </dataValidations>
  <pageMargins left="0.75" right="0.75" top="1" bottom="1" header="0" footer="0"/>
  <pageSetup orientation="portrait" paperSize="9"/>
  <legacyDrawing xmlns:r="http://schemas.openxmlformats.org/officeDocument/2006/relationships" r:id="anysvml"/>
</worksheet>
</file>

<file path=xl/worksheets/sheet8.xml><?xml version="1.0" encoding="utf-8"?>
<worksheet xmlns="http://schemas.openxmlformats.org/spreadsheetml/2006/main">
  <sheetPr>
    <tabColor rgb="FFFF00FF"/>
    <outlinePr summaryBelow="1" summaryRight="1"/>
    <pageSetUpPr/>
  </sheetPr>
  <dimension ref="A1:Z32"/>
  <sheetViews>
    <sheetView workbookViewId="0">
      <pane ySplit="5" topLeftCell="A6" activePane="bottomLeft" state="frozen"/>
      <selection pane="bottomLeft" activeCell="B7" sqref="B7"/>
    </sheetView>
  </sheetViews>
  <sheetFormatPr baseColWidth="8" defaultColWidth="14.43" defaultRowHeight="15" customHeight="1"/>
  <cols>
    <col width="12" customWidth="1" style="372" min="1" max="2"/>
    <col width="14" customWidth="1" style="372" min="3" max="3"/>
    <col width="10" customWidth="1" style="372" min="4" max="4"/>
    <col width="55" customWidth="1" style="372" min="5" max="5"/>
    <col width="8" customWidth="1" style="372" min="6" max="6"/>
    <col width="5" customWidth="1" style="372" min="7" max="12"/>
    <col width="28" customWidth="1" style="372" min="13" max="13"/>
    <col width="29.71" customWidth="1" style="372" min="14" max="14"/>
    <col width="12" customWidth="1" style="372" min="15" max="26"/>
  </cols>
  <sheetData>
    <row r="1" ht="39.75" customHeight="1" s="372">
      <c r="A1" s="157" t="inlineStr">
        <is>
          <t>INTERNSHIP LOG  |  7808 – School Finance  |  Semester 4</t>
        </is>
      </c>
    </row>
    <row r="2" ht="36" customHeight="1" s="372">
      <c r="A2" s="19" t="inlineStr">
        <is>
          <t>Name: Pat Example      Placement(s): Invented Elementary</t>
        </is>
      </c>
      <c r="B2" s="373" t="n"/>
      <c r="C2" s="373" t="n"/>
      <c r="D2" s="373" t="n"/>
      <c r="E2" s="21" t="inlineStr">
        <is>
          <t>Total Hours Logged</t>
        </is>
      </c>
      <c r="F2" s="373" t="n"/>
      <c r="G2" s="22">
        <f>SUM(F6:F200)</f>
        <v/>
      </c>
      <c r="H2" s="23" t="inlineStr">
        <is>
          <t>Remaining</t>
        </is>
      </c>
      <c r="I2" s="373" t="n"/>
      <c r="J2" s="24">
        <f>(32-G2)</f>
        <v/>
      </c>
    </row>
    <row r="3" ht="19.5" customHeight="1" s="372">
      <c r="A3" s="25" t="inlineStr">
        <is>
          <t>Hours by Competency (auto-calculated from your X marks below):</t>
        </is>
      </c>
      <c r="G3" s="26">
        <f>SUMIF($G$6:$G$200,"X",$F$6:$F$200)</f>
        <v/>
      </c>
      <c r="H3" s="27">
        <f>SUMIF($H$6:$H$200,"X",$F$6:$F$200)</f>
        <v/>
      </c>
      <c r="I3" s="28">
        <f>SUMIF($I$6:$I$200,"X",$F$6:$F$200)</f>
        <v/>
      </c>
      <c r="J3" s="29">
        <f>SUMIF($J$6:$J$200,"X",$F$6:$F$200)</f>
        <v/>
      </c>
      <c r="K3" s="30">
        <f>SUMIF($K$6:$K$200,"X",$F$6:$F$200)</f>
        <v/>
      </c>
      <c r="L3" s="31">
        <f>SUMIF($L$6:$L$200,"X",$F$6:$F$200)</f>
        <v/>
      </c>
      <c r="M3" s="32" t="inlineStr">
        <is>
          <t>← Competency hour totals</t>
        </is>
      </c>
    </row>
    <row r="4" ht="6" customHeight="1" s="372"/>
    <row r="5" ht="31.5" customHeight="1" s="372">
      <c r="A5" s="33" t="inlineStr">
        <is>
          <t>Type</t>
        </is>
      </c>
      <c r="B5" s="33" t="inlineStr">
        <is>
          <t>Date</t>
        </is>
      </c>
      <c r="C5" s="33" t="inlineStr">
        <is>
          <t>Location</t>
        </is>
      </c>
      <c r="D5" s="33" t="inlineStr">
        <is>
          <t>Role</t>
        </is>
      </c>
      <c r="E5" s="33" t="inlineStr">
        <is>
          <t>Experience Description</t>
        </is>
      </c>
      <c r="F5" s="33" t="inlineStr">
        <is>
          <t>Hrs</t>
        </is>
      </c>
      <c r="G5" s="34" t="inlineStr">
        <is>
          <t>①</t>
        </is>
      </c>
      <c r="H5" s="35" t="inlineStr">
        <is>
          <t>②</t>
        </is>
      </c>
      <c r="I5" s="36" t="inlineStr">
        <is>
          <t>③</t>
        </is>
      </c>
      <c r="J5" s="37" t="inlineStr">
        <is>
          <t>④</t>
        </is>
      </c>
      <c r="K5" s="38" t="inlineStr">
        <is>
          <t>⑤</t>
        </is>
      </c>
      <c r="L5" s="39" t="inlineStr">
        <is>
          <t>⑥</t>
        </is>
      </c>
      <c r="M5" s="33" t="inlineStr">
        <is>
          <t>Evidence / Notes</t>
        </is>
      </c>
      <c r="N5" s="40" t="inlineStr">
        <is>
          <t>Site name</t>
        </is>
      </c>
      <c r="O5" s="40" t="inlineStr">
        <is>
          <t>Completed</t>
        </is>
      </c>
    </row>
    <row r="6" ht="49.5" customHeight="1" s="372">
      <c r="A6" s="41" t="inlineStr">
        <is>
          <t>EMBEDDED</t>
        </is>
      </c>
      <c r="B6" s="414" t="n">
        <v>46279</v>
      </c>
      <c r="C6" s="43" t="inlineStr">
        <is>
          <t>Main Site</t>
        </is>
      </c>
      <c r="D6" s="44" t="inlineStr">
        <is>
          <t>Participant</t>
        </is>
      </c>
      <c r="E6" s="45" t="inlineStr">
        <is>
          <t>Embedded Experience: Budget Analysis Project – Case Study #4: Building a School Budget. Develop a comprehensive school budget using real-world data and present it to a mock school board.</t>
        </is>
      </c>
      <c r="F6" s="46" t="n">
        <v>15</v>
      </c>
      <c r="G6" s="47" t="n"/>
      <c r="H6" s="48" t="n"/>
      <c r="I6" s="164" t="inlineStr">
        <is>
          <t>X</t>
        </is>
      </c>
      <c r="J6" s="160" t="n"/>
      <c r="K6" s="51" t="n"/>
      <c r="L6" s="52" t="n"/>
      <c r="M6" s="53" t="inlineStr">
        <is>
          <t>Submit: Assignment</t>
        </is>
      </c>
      <c r="N6" s="54" t="n"/>
      <c r="O6" s="54" t="inlineStr">
        <is>
          <t>Yes</t>
        </is>
      </c>
      <c r="P6" s="54" t="n"/>
      <c r="Q6" s="54" t="n"/>
      <c r="R6" s="54" t="n"/>
      <c r="S6" s="54" t="n"/>
      <c r="T6" s="54" t="n"/>
      <c r="U6" s="54" t="n"/>
      <c r="V6" s="54" t="n"/>
      <c r="W6" s="54" t="n"/>
      <c r="X6" s="54" t="n"/>
      <c r="Y6" s="54" t="n"/>
      <c r="Z6" s="54" t="n"/>
    </row>
    <row r="7" ht="45" customHeight="1" s="372">
      <c r="A7" s="55" t="inlineStr">
        <is>
          <t>ALIGNED</t>
        </is>
      </c>
      <c r="B7" s="410" t="n">
        <v>46293</v>
      </c>
      <c r="C7" s="57" t="inlineStr">
        <is>
          <t>Main Site</t>
        </is>
      </c>
      <c r="D7" s="57" t="inlineStr">
        <is>
          <t>Participant</t>
        </is>
      </c>
      <c r="E7" s="75" t="inlineStr">
        <is>
          <t>Aligned Experience: School Improvement Collaboration: Work with the school improvement team to align resources (staffing, time, materials) with student achievement goals.</t>
        </is>
      </c>
      <c r="F7" s="59" t="n">
        <v>5</v>
      </c>
      <c r="G7" s="47" t="n"/>
      <c r="H7" s="48" t="n"/>
      <c r="I7" s="49" t="n"/>
      <c r="J7" s="50" t="inlineStr">
        <is>
          <t>X</t>
        </is>
      </c>
      <c r="K7" s="51" t="n"/>
      <c r="L7" s="52" t="n"/>
      <c r="M7" s="60" t="inlineStr">
        <is>
          <t>Submit: Resource Alignment Plan</t>
        </is>
      </c>
      <c r="N7" s="54" t="n"/>
      <c r="O7" s="54" t="inlineStr">
        <is>
          <t>Yes</t>
        </is>
      </c>
      <c r="P7" s="54" t="n"/>
      <c r="Q7" s="54" t="n"/>
      <c r="R7" s="54" t="n"/>
      <c r="S7" s="54" t="n"/>
      <c r="T7" s="54" t="n"/>
      <c r="U7" s="54" t="n"/>
      <c r="V7" s="54" t="n"/>
      <c r="W7" s="54" t="n"/>
      <c r="X7" s="54" t="n"/>
      <c r="Y7" s="54" t="n"/>
      <c r="Z7" s="54" t="n"/>
    </row>
    <row r="8" ht="45" customHeight="1" s="372">
      <c r="A8" s="55" t="inlineStr">
        <is>
          <t>ALIGNED</t>
        </is>
      </c>
      <c r="B8" s="56" t="n"/>
      <c r="C8" s="57" t="n"/>
      <c r="D8" s="57" t="n"/>
      <c r="E8" s="75" t="inlineStr">
        <is>
          <t>Aligned Experience: Review programs and practices for equity, fairness, and respect, and develop recommendations for improvement.</t>
        </is>
      </c>
      <c r="F8" s="59" t="n">
        <v>5</v>
      </c>
      <c r="G8" s="47" t="n"/>
      <c r="H8" s="48" t="n"/>
      <c r="I8" s="49" t="n"/>
      <c r="J8" s="160" t="n"/>
      <c r="K8" s="162" t="inlineStr">
        <is>
          <t>X</t>
        </is>
      </c>
      <c r="L8" s="52" t="n"/>
      <c r="M8" s="60" t="inlineStr">
        <is>
          <t>Submit: Resource Evaluation Report</t>
        </is>
      </c>
      <c r="N8" s="54" t="n"/>
      <c r="O8" s="54" t="n"/>
      <c r="P8" s="54" t="n"/>
      <c r="Q8" s="54" t="n"/>
      <c r="R8" s="54" t="n"/>
      <c r="S8" s="54" t="n"/>
      <c r="T8" s="54" t="n"/>
      <c r="U8" s="54" t="n"/>
      <c r="V8" s="54" t="n"/>
      <c r="W8" s="54" t="n"/>
      <c r="X8" s="54" t="n"/>
      <c r="Y8" s="54" t="n"/>
      <c r="Z8" s="54" t="n"/>
    </row>
    <row r="9" ht="27.75" customHeight="1" s="372">
      <c r="A9" s="374" t="inlineStr">
        <is>
          <t>⭐  CHOICE HOURS  —  7 hours needed this semester</t>
        </is>
      </c>
      <c r="B9" s="375" t="n"/>
      <c r="C9" s="375" t="n"/>
      <c r="D9" s="376" t="n"/>
      <c r="E9" s="377">
        <f>IF(SUMIF(A10:A59,"CHOICE",F10:F59)&gt;=7,"✅ Choice Hours Met!","⚠ Still need: "&amp;(7-SUMIF(A10:A59,"CHOICE",F10:F59))&amp;" more hours")</f>
        <v/>
      </c>
      <c r="F9" s="376" t="n"/>
      <c r="G9" s="65" t="inlineStr">
        <is>
          <t>1. I</t>
        </is>
      </c>
      <c r="H9" s="66" t="inlineStr">
        <is>
          <t>2. O</t>
        </is>
      </c>
      <c r="I9" s="67" t="inlineStr">
        <is>
          <t>3. O</t>
        </is>
      </c>
      <c r="J9" s="68" t="inlineStr">
        <is>
          <t>4. S</t>
        </is>
      </c>
      <c r="K9" s="69" t="inlineStr">
        <is>
          <t>5. P</t>
        </is>
      </c>
      <c r="L9" s="70" t="inlineStr">
        <is>
          <t>6. A</t>
        </is>
      </c>
      <c r="M9" s="71" t="inlineStr">
        <is>
          <t>No evidence required for choice hours</t>
        </is>
      </c>
      <c r="N9" s="54" t="n"/>
      <c r="O9" s="54" t="n"/>
      <c r="P9" s="54" t="n"/>
      <c r="Q9" s="54" t="n"/>
      <c r="R9" s="54" t="n"/>
      <c r="S9" s="54" t="n"/>
      <c r="T9" s="54" t="n"/>
      <c r="U9" s="54" t="n"/>
      <c r="V9" s="54" t="n"/>
      <c r="W9" s="54" t="n"/>
      <c r="X9" s="54" t="n"/>
      <c r="Y9" s="54" t="n"/>
      <c r="Z9" s="54" t="n"/>
    </row>
    <row r="10" ht="34.5" customHeight="1" s="372">
      <c r="A10" s="72" t="inlineStr">
        <is>
          <t>CHOICE</t>
        </is>
      </c>
      <c r="B10" s="411" t="n">
        <v>46300</v>
      </c>
      <c r="C10" s="87" t="inlineStr">
        <is>
          <t>Elementary</t>
        </is>
      </c>
      <c r="D10" s="87" t="inlineStr">
        <is>
          <t>Leader</t>
        </is>
      </c>
      <c r="E10" s="152" t="inlineStr">
        <is>
          <t>Help with budget</t>
        </is>
      </c>
      <c r="F10" s="153" t="n">
        <v>2</v>
      </c>
      <c r="G10" s="84" t="n"/>
      <c r="H10" s="154" t="n"/>
      <c r="I10" s="85" t="inlineStr">
        <is>
          <t>X</t>
        </is>
      </c>
      <c r="J10" s="80" t="n"/>
      <c r="K10" s="81" t="n"/>
      <c r="L10" s="82" t="n"/>
      <c r="M10" s="87" t="n"/>
      <c r="N10" s="54" t="n"/>
      <c r="O10" s="54" t="inlineStr">
        <is>
          <t>Yes</t>
        </is>
      </c>
      <c r="P10" s="54" t="n"/>
      <c r="Q10" s="54" t="n"/>
      <c r="R10" s="54" t="n"/>
      <c r="S10" s="54" t="n"/>
      <c r="T10" s="54" t="n"/>
      <c r="U10" s="54" t="n"/>
      <c r="V10" s="54" t="n"/>
      <c r="W10" s="54" t="n"/>
      <c r="X10" s="54" t="n"/>
      <c r="Y10" s="54" t="n"/>
      <c r="Z10" s="54" t="n"/>
    </row>
    <row r="11" ht="34.5" customHeight="1" s="372">
      <c r="A11" s="72" t="inlineStr">
        <is>
          <t>CHOICE</t>
        </is>
      </c>
      <c r="B11" s="411" t="n">
        <v>46303</v>
      </c>
      <c r="C11" s="87" t="inlineStr">
        <is>
          <t>Central Office</t>
        </is>
      </c>
      <c r="D11" s="87" t="inlineStr">
        <is>
          <t>Observer</t>
        </is>
      </c>
      <c r="E11" s="152" t="inlineStr">
        <is>
          <t>Lead a culture change initiative for the whole school with the leadership team and create an action plan</t>
        </is>
      </c>
      <c r="F11" s="153" t="n">
        <v>3</v>
      </c>
      <c r="G11" s="84" t="n"/>
      <c r="H11" s="154" t="n"/>
      <c r="I11" s="85" t="n"/>
      <c r="J11" s="80" t="n"/>
      <c r="K11" s="81" t="inlineStr">
        <is>
          <t>X</t>
        </is>
      </c>
      <c r="L11" s="82" t="n"/>
      <c r="M11" s="87" t="n"/>
      <c r="N11" s="54" t="n"/>
      <c r="O11" s="54" t="inlineStr">
        <is>
          <t>Yes</t>
        </is>
      </c>
      <c r="P11" s="54" t="n"/>
      <c r="Q11" s="54" t="n"/>
      <c r="R11" s="54" t="n"/>
      <c r="S11" s="54" t="n"/>
      <c r="T11" s="54" t="n"/>
      <c r="U11" s="54" t="n"/>
      <c r="V11" s="54" t="n"/>
      <c r="W11" s="54" t="n"/>
      <c r="X11" s="54" t="n"/>
      <c r="Y11" s="54" t="n"/>
      <c r="Z11" s="54" t="n"/>
    </row>
    <row r="12" ht="34.5" customHeight="1" s="372">
      <c r="A12" s="72" t="inlineStr">
        <is>
          <t>CHOICE</t>
        </is>
      </c>
      <c r="B12" s="411" t="n">
        <v>46307</v>
      </c>
      <c r="C12" s="87" t="inlineStr">
        <is>
          <t>Middle</t>
        </is>
      </c>
      <c r="D12" s="87" t="inlineStr">
        <is>
          <t>Participant</t>
        </is>
      </c>
      <c r="E12" s="152" t="inlineStr">
        <is>
          <t>Attended finance committee</t>
        </is>
      </c>
      <c r="F12" s="153" t="n">
        <v>4</v>
      </c>
      <c r="G12" s="84" t="n"/>
      <c r="H12" s="154" t="n"/>
      <c r="I12" s="85" t="n"/>
      <c r="J12" s="80" t="n"/>
      <c r="K12" s="81" t="n"/>
      <c r="L12" s="82" t="inlineStr">
        <is>
          <t>X</t>
        </is>
      </c>
      <c r="M12" s="87" t="n"/>
      <c r="N12" s="54" t="n"/>
      <c r="O12" s="54" t="n"/>
      <c r="P12" s="54" t="n"/>
      <c r="Q12" s="54" t="n"/>
      <c r="R12" s="54" t="n"/>
      <c r="S12" s="54" t="n"/>
      <c r="T12" s="54" t="n"/>
      <c r="U12" s="54" t="n"/>
      <c r="V12" s="54" t="n"/>
      <c r="W12" s="54" t="n"/>
      <c r="X12" s="54" t="n"/>
      <c r="Y12" s="54" t="n"/>
      <c r="Z12" s="54" t="n"/>
    </row>
    <row r="13" ht="34.5" customHeight="1" s="372">
      <c r="A13" s="72" t="inlineStr">
        <is>
          <t>CHOICE</t>
        </is>
      </c>
      <c r="B13" s="87" t="n"/>
      <c r="C13" s="87" t="n"/>
      <c r="D13" s="87" t="n"/>
      <c r="E13" s="152" t="inlineStr">
        <is>
          <t>Copy and paste choice hours here. No activity may be more than three hours</t>
        </is>
      </c>
      <c r="F13" s="153" t="n"/>
      <c r="G13" s="84" t="n"/>
      <c r="H13" s="154" t="n"/>
      <c r="I13" s="85" t="n"/>
      <c r="J13" s="80" t="n"/>
      <c r="K13" s="81" t="n"/>
      <c r="L13" s="82" t="n"/>
      <c r="M13" s="87" t="n"/>
      <c r="N13" s="54" t="n"/>
      <c r="O13" s="54" t="n"/>
      <c r="P13" s="54" t="n"/>
      <c r="Q13" s="54" t="n"/>
      <c r="R13" s="54" t="n"/>
      <c r="S13" s="54" t="n"/>
      <c r="T13" s="54" t="n"/>
      <c r="U13" s="54" t="n"/>
      <c r="V13" s="54" t="n"/>
      <c r="W13" s="54" t="n"/>
      <c r="X13" s="54" t="n"/>
      <c r="Y13" s="54" t="n"/>
      <c r="Z13" s="54" t="n"/>
    </row>
    <row r="14" ht="34.5" customHeight="1" s="372">
      <c r="A14" s="72" t="inlineStr">
        <is>
          <t>CHOICE</t>
        </is>
      </c>
      <c r="B14" s="87" t="n"/>
      <c r="C14" s="87" t="n"/>
      <c r="D14" s="87" t="n"/>
      <c r="E14" s="152" t="n"/>
      <c r="F14" s="153" t="n"/>
      <c r="G14" s="84" t="n"/>
      <c r="H14" s="154" t="n"/>
      <c r="I14" s="85" t="n"/>
      <c r="J14" s="80" t="n"/>
      <c r="K14" s="81" t="n"/>
      <c r="L14" s="82" t="n"/>
      <c r="M14" s="87" t="n"/>
      <c r="N14" s="54" t="n"/>
      <c r="O14" s="54" t="n"/>
      <c r="P14" s="54" t="n"/>
      <c r="Q14" s="54" t="n"/>
      <c r="R14" s="54" t="n"/>
      <c r="S14" s="54" t="n"/>
      <c r="T14" s="54" t="n"/>
      <c r="U14" s="54" t="n"/>
      <c r="V14" s="54" t="n"/>
      <c r="W14" s="54" t="n"/>
      <c r="X14" s="54" t="n"/>
      <c r="Y14" s="54" t="n"/>
      <c r="Z14" s="54" t="n"/>
    </row>
    <row r="15" ht="34.5" customHeight="1" s="372">
      <c r="A15" s="94" t="inlineStr">
        <is>
          <t>CHOICE</t>
        </is>
      </c>
      <c r="B15" s="95" t="n"/>
      <c r="C15" s="95" t="n"/>
      <c r="D15" s="95" t="n"/>
      <c r="E15" s="96" t="n"/>
      <c r="F15" s="97" t="n"/>
      <c r="G15" s="98" t="n"/>
      <c r="H15" s="99" t="n"/>
      <c r="I15" s="100" t="n"/>
      <c r="J15" s="101" t="n"/>
      <c r="K15" s="102" t="n"/>
      <c r="L15" s="103" t="n"/>
      <c r="M15" s="95" t="n"/>
      <c r="N15" s="54" t="n"/>
      <c r="O15" s="54" t="n"/>
    </row>
    <row r="16" ht="34.5" customHeight="1" s="372">
      <c r="A16" s="104" t="inlineStr">
        <is>
          <t>CHOICE</t>
        </is>
      </c>
      <c r="B16" s="105" t="n"/>
      <c r="C16" s="105" t="n"/>
      <c r="D16" s="105" t="n"/>
      <c r="E16" s="106" t="n"/>
      <c r="F16" s="107" t="n"/>
      <c r="G16" s="108" t="n"/>
      <c r="H16" s="109" t="n"/>
      <c r="I16" s="110" t="n"/>
      <c r="J16" s="111" t="n"/>
      <c r="K16" s="112" t="n"/>
      <c r="L16" s="113" t="n"/>
      <c r="M16" s="105" t="n"/>
    </row>
    <row r="17" ht="34.5" customHeight="1" s="372">
      <c r="A17" s="104" t="inlineStr">
        <is>
          <t>CHOICE</t>
        </is>
      </c>
      <c r="B17" s="105" t="n"/>
      <c r="C17" s="105" t="n"/>
      <c r="D17" s="105" t="n"/>
      <c r="E17" s="106" t="n"/>
      <c r="F17" s="107" t="n"/>
      <c r="G17" s="108" t="n"/>
      <c r="H17" s="109" t="n"/>
      <c r="I17" s="110" t="n"/>
      <c r="J17" s="111" t="n"/>
      <c r="K17" s="112" t="n"/>
      <c r="L17" s="113" t="n"/>
      <c r="M17" s="105" t="n"/>
    </row>
    <row r="18" ht="34.5" customHeight="1" s="372">
      <c r="A18" s="104" t="inlineStr">
        <is>
          <t>CHOICE</t>
        </is>
      </c>
      <c r="B18" s="105" t="n"/>
      <c r="C18" s="105" t="n"/>
      <c r="D18" s="105" t="n"/>
      <c r="E18" s="106" t="n"/>
      <c r="F18" s="107" t="n"/>
      <c r="G18" s="108" t="n"/>
      <c r="H18" s="109" t="n"/>
      <c r="I18" s="110" t="n"/>
      <c r="J18" s="111" t="n"/>
      <c r="K18" s="112" t="n"/>
      <c r="L18" s="113" t="n"/>
      <c r="M18" s="105" t="n"/>
    </row>
    <row r="19" ht="34.5" customHeight="1" s="372">
      <c r="A19" s="104" t="inlineStr">
        <is>
          <t>CHOICE</t>
        </is>
      </c>
      <c r="B19" s="105" t="n"/>
      <c r="C19" s="105" t="n"/>
      <c r="D19" s="105" t="n"/>
      <c r="E19" s="106" t="n"/>
      <c r="F19" s="107" t="n"/>
      <c r="G19" s="108" t="n"/>
      <c r="H19" s="109" t="n"/>
      <c r="I19" s="110" t="n"/>
      <c r="J19" s="111" t="n"/>
      <c r="K19" s="112" t="n"/>
      <c r="L19" s="113" t="n"/>
      <c r="M19" s="105" t="n"/>
    </row>
    <row r="20" ht="34.5" customHeight="1" s="372">
      <c r="A20" s="104" t="inlineStr">
        <is>
          <t>CHOICE</t>
        </is>
      </c>
      <c r="B20" s="105" t="n"/>
      <c r="C20" s="105" t="n"/>
      <c r="D20" s="105" t="n"/>
      <c r="E20" s="106" t="n"/>
      <c r="F20" s="107" t="n"/>
      <c r="G20" s="108" t="n"/>
      <c r="H20" s="109" t="n"/>
      <c r="I20" s="110" t="n"/>
      <c r="J20" s="111" t="n"/>
      <c r="K20" s="112" t="n"/>
      <c r="L20" s="113" t="n"/>
      <c r="M20" s="105" t="n"/>
    </row>
    <row r="21" ht="34.5" customHeight="1" s="372">
      <c r="A21" s="104" t="inlineStr">
        <is>
          <t>CHOICE</t>
        </is>
      </c>
      <c r="B21" s="105" t="n"/>
      <c r="C21" s="105" t="n"/>
      <c r="D21" s="105" t="n"/>
      <c r="E21" s="106" t="n"/>
      <c r="F21" s="107" t="n"/>
      <c r="G21" s="108" t="n"/>
      <c r="H21" s="109" t="n"/>
      <c r="I21" s="110" t="n"/>
      <c r="J21" s="111" t="n"/>
      <c r="K21" s="112" t="n"/>
      <c r="L21" s="113" t="n"/>
      <c r="M21" s="105" t="n"/>
    </row>
    <row r="22" ht="24.75" customHeight="1" s="372">
      <c r="A22" s="114" t="inlineStr">
        <is>
          <t>CHOICE</t>
        </is>
      </c>
      <c r="B22" s="105" t="n"/>
      <c r="C22" s="105" t="n"/>
      <c r="D22" s="105" t="n"/>
      <c r="E22" s="105" t="n"/>
      <c r="F22" s="105" t="n"/>
      <c r="G22" s="105" t="n"/>
      <c r="H22" s="105" t="n"/>
      <c r="I22" s="105" t="n"/>
      <c r="J22" s="105" t="n"/>
      <c r="K22" s="105" t="n"/>
      <c r="L22" s="105" t="n"/>
      <c r="M22" s="105" t="n"/>
    </row>
    <row r="23" ht="24.75" customHeight="1" s="372">
      <c r="A23" s="114" t="inlineStr">
        <is>
          <t>CHOICE</t>
        </is>
      </c>
      <c r="B23" s="105" t="n"/>
      <c r="C23" s="105" t="n"/>
      <c r="D23" s="105" t="n"/>
      <c r="E23" s="105" t="n"/>
      <c r="F23" s="105" t="n"/>
      <c r="G23" s="105" t="n"/>
      <c r="H23" s="105" t="n"/>
      <c r="I23" s="105" t="n"/>
      <c r="J23" s="105" t="n"/>
      <c r="K23" s="105" t="n"/>
      <c r="L23" s="105" t="n"/>
      <c r="M23" s="105" t="n"/>
    </row>
    <row r="24" ht="24.75" customHeight="1" s="372">
      <c r="A24" s="114" t="inlineStr">
        <is>
          <t>CHOICE</t>
        </is>
      </c>
      <c r="B24" s="105" t="n"/>
      <c r="C24" s="105" t="n"/>
      <c r="D24" s="105" t="n"/>
      <c r="E24" s="105" t="n"/>
      <c r="F24" s="105" t="n"/>
      <c r="G24" s="105" t="n"/>
      <c r="H24" s="105" t="n"/>
      <c r="I24" s="105" t="n"/>
      <c r="J24" s="105" t="n"/>
      <c r="K24" s="105" t="n"/>
      <c r="L24" s="105" t="n"/>
      <c r="M24" s="105" t="n"/>
    </row>
    <row r="25" ht="24.75" customHeight="1" s="372">
      <c r="A25" s="114" t="inlineStr">
        <is>
          <t>CHOICE</t>
        </is>
      </c>
      <c r="B25" s="105" t="n"/>
      <c r="C25" s="105" t="n"/>
      <c r="D25" s="105" t="n"/>
      <c r="E25" s="105" t="n"/>
      <c r="F25" s="105" t="n"/>
      <c r="G25" s="105" t="n"/>
      <c r="H25" s="105" t="n"/>
      <c r="I25" s="105" t="n"/>
      <c r="J25" s="105" t="n"/>
      <c r="K25" s="105" t="n"/>
      <c r="L25" s="105" t="n"/>
      <c r="M25" s="105" t="n"/>
    </row>
    <row r="26" ht="24.75" customHeight="1" s="372">
      <c r="A26" s="114" t="inlineStr">
        <is>
          <t>CHOICE</t>
        </is>
      </c>
      <c r="B26" s="105" t="n"/>
      <c r="C26" s="105" t="n"/>
      <c r="D26" s="105" t="n"/>
      <c r="E26" s="105" t="n"/>
      <c r="F26" s="105" t="n"/>
      <c r="G26" s="105" t="n"/>
      <c r="H26" s="105" t="n"/>
      <c r="I26" s="105" t="n"/>
      <c r="J26" s="105" t="n"/>
      <c r="K26" s="105" t="n"/>
      <c r="L26" s="105" t="n"/>
      <c r="M26" s="105" t="n"/>
    </row>
    <row r="27" ht="24.75" customHeight="1" s="372">
      <c r="A27" s="114" t="inlineStr">
        <is>
          <t>CHOICE</t>
        </is>
      </c>
      <c r="B27" s="105" t="n"/>
      <c r="C27" s="105" t="n"/>
      <c r="D27" s="105" t="n"/>
      <c r="E27" s="105" t="n"/>
      <c r="F27" s="105" t="n"/>
      <c r="G27" s="105" t="n"/>
      <c r="H27" s="105" t="n"/>
      <c r="I27" s="105" t="n"/>
      <c r="J27" s="105" t="n"/>
      <c r="K27" s="105" t="n"/>
      <c r="L27" s="105" t="n"/>
      <c r="M27" s="105" t="n"/>
    </row>
    <row r="28" ht="24.75" customHeight="1" s="372">
      <c r="A28" s="114" t="inlineStr">
        <is>
          <t>CHOICE</t>
        </is>
      </c>
      <c r="B28" s="105" t="n"/>
      <c r="C28" s="105" t="n"/>
      <c r="D28" s="105" t="n"/>
      <c r="E28" s="105" t="n"/>
      <c r="F28" s="105" t="n"/>
      <c r="G28" s="105" t="n"/>
      <c r="H28" s="105" t="n"/>
      <c r="I28" s="105" t="n"/>
      <c r="J28" s="105" t="n"/>
      <c r="K28" s="105" t="n"/>
      <c r="L28" s="105" t="n"/>
      <c r="M28" s="105" t="n"/>
    </row>
    <row r="29" ht="24.75" customHeight="1" s="372">
      <c r="A29" s="114" t="inlineStr">
        <is>
          <t>CHOICE</t>
        </is>
      </c>
      <c r="B29" s="105" t="n"/>
      <c r="C29" s="105" t="n"/>
      <c r="D29" s="105" t="n"/>
      <c r="E29" s="105" t="n"/>
      <c r="F29" s="105" t="n"/>
      <c r="G29" s="105" t="n"/>
      <c r="H29" s="105" t="n"/>
      <c r="I29" s="105" t="n"/>
      <c r="J29" s="105" t="n"/>
      <c r="K29" s="105" t="n"/>
      <c r="L29" s="105" t="n"/>
      <c r="M29" s="105" t="n"/>
    </row>
    <row r="30" ht="24.75" customHeight="1" s="372">
      <c r="A30" s="114" t="inlineStr">
        <is>
          <t>CHOICE</t>
        </is>
      </c>
      <c r="B30" s="105" t="n"/>
      <c r="C30" s="105" t="n"/>
      <c r="D30" s="105" t="n"/>
      <c r="E30" s="105" t="n"/>
      <c r="F30" s="105" t="n"/>
      <c r="G30" s="105" t="n"/>
      <c r="H30" s="105" t="n"/>
      <c r="I30" s="105" t="n"/>
      <c r="J30" s="105" t="n"/>
      <c r="K30" s="105" t="n"/>
      <c r="L30" s="105" t="n"/>
      <c r="M30" s="105" t="n"/>
    </row>
    <row r="31" ht="24.75" customHeight="1" s="372">
      <c r="A31" s="114" t="inlineStr">
        <is>
          <t>CHOICE</t>
        </is>
      </c>
      <c r="B31" s="105" t="n"/>
      <c r="C31" s="105" t="n"/>
      <c r="D31" s="105" t="n"/>
      <c r="E31" s="105" t="n"/>
      <c r="F31" s="105" t="n"/>
      <c r="G31" s="105" t="n"/>
      <c r="H31" s="105" t="n"/>
      <c r="I31" s="105" t="n"/>
      <c r="J31" s="105" t="n"/>
      <c r="K31" s="105" t="n"/>
      <c r="L31" s="105" t="n"/>
      <c r="M31" s="105" t="n"/>
    </row>
    <row r="32" ht="15.75" customHeight="1" s="372">
      <c r="C32" s="115" t="n"/>
      <c r="D32" s="115" t="n"/>
    </row>
    <row r="33" ht="15.75" customHeight="1" s="372"/>
    <row r="34" ht="15.75" customHeight="1" s="372"/>
    <row r="35" ht="15.75" customHeight="1" s="372"/>
    <row r="36" ht="15.75" customHeight="1" s="372"/>
    <row r="37" ht="15.75" customHeight="1" s="372"/>
    <row r="38" ht="15.75" customHeight="1" s="372"/>
    <row r="39" ht="15.75" customHeight="1" s="372"/>
    <row r="40" ht="15.75" customHeight="1" s="372"/>
    <row r="41" ht="15.75" customHeight="1" s="372"/>
    <row r="42" ht="15.75" customHeight="1" s="372"/>
    <row r="43" ht="15.75" customHeight="1" s="372"/>
    <row r="44" ht="15.75" customHeight="1" s="372"/>
    <row r="45" ht="15.75" customHeight="1" s="372"/>
    <row r="46" ht="15.75" customHeight="1" s="372"/>
    <row r="47" ht="15.75" customHeight="1" s="372"/>
    <row r="48" ht="15.75" customHeight="1" s="372"/>
    <row r="49" ht="15.75" customHeight="1" s="372"/>
    <row r="50" ht="15.75" customHeight="1" s="372"/>
    <row r="51" ht="15.75" customHeight="1" s="372"/>
    <row r="52" ht="15.75" customHeight="1" s="372"/>
    <row r="53" ht="15.75" customHeight="1" s="372"/>
    <row r="54" ht="15.75" customHeight="1" s="372"/>
    <row r="55" ht="15.75" customHeight="1" s="372"/>
    <row r="56" ht="15.75" customHeight="1" s="372"/>
    <row r="57" ht="15.75" customHeight="1" s="372"/>
    <row r="58" ht="15.75" customHeight="1" s="372"/>
    <row r="59" ht="15.75" customHeight="1" s="372"/>
    <row r="60" ht="15.75" customHeight="1" s="372"/>
    <row r="61" ht="15.75" customHeight="1" s="372"/>
    <row r="62" ht="15.75" customHeight="1" s="372"/>
    <row r="63" ht="15.75" customHeight="1" s="372"/>
    <row r="64" ht="15.75" customHeight="1" s="372"/>
    <row r="65" ht="15.75" customHeight="1" s="372"/>
    <row r="66" ht="15.75" customHeight="1" s="372"/>
    <row r="67" ht="15.75" customHeight="1" s="372"/>
    <row r="68" ht="15.75" customHeight="1" s="372"/>
    <row r="69" ht="15.75" customHeight="1" s="372"/>
    <row r="70" ht="15.75" customHeight="1" s="372"/>
    <row r="71" ht="15.75" customHeight="1" s="372"/>
    <row r="72" ht="15.75" customHeight="1" s="372"/>
    <row r="73" ht="15.75" customHeight="1" s="372"/>
    <row r="74" ht="15.75" customHeight="1" s="372"/>
    <row r="75" ht="15.75" customHeight="1" s="372"/>
    <row r="76" ht="15.75" customHeight="1" s="372"/>
    <row r="77" ht="15.75" customHeight="1" s="372"/>
    <row r="78" ht="15.75" customHeight="1" s="372"/>
    <row r="79" ht="15.75" customHeight="1" s="372"/>
    <row r="80" ht="15.75" customHeight="1" s="372"/>
    <row r="81" ht="15.75" customHeight="1" s="372"/>
    <row r="82" ht="15.75" customHeight="1" s="372"/>
    <row r="83" ht="15.75" customHeight="1" s="372"/>
    <row r="84" ht="15.75" customHeight="1" s="372"/>
    <row r="85" ht="15.75" customHeight="1" s="372"/>
    <row r="86" ht="15.75" customHeight="1" s="372"/>
    <row r="87" ht="15.75" customHeight="1" s="372"/>
    <row r="88" ht="15.75" customHeight="1" s="372"/>
    <row r="89" ht="15.75" customHeight="1" s="372"/>
    <row r="90" ht="15.75" customHeight="1" s="372"/>
    <row r="91" ht="15.75" customHeight="1" s="372"/>
    <row r="92" ht="15.75" customHeight="1" s="372"/>
    <row r="93" ht="15.75" customHeight="1" s="372"/>
    <row r="94" ht="15.75" customHeight="1" s="372"/>
    <row r="95" ht="15.75" customHeight="1" s="372"/>
    <row r="96" ht="15.75" customHeight="1" s="372"/>
    <row r="97" ht="15.75" customHeight="1" s="372"/>
    <row r="98" ht="15.75" customHeight="1" s="372"/>
    <row r="99" ht="15.75" customHeight="1" s="372"/>
    <row r="100" ht="15.75" customHeight="1" s="372"/>
    <row r="101" ht="15.75" customHeight="1" s="372"/>
    <row r="102" ht="15.75" customHeight="1" s="372"/>
    <row r="103" ht="15.75" customHeight="1" s="372"/>
    <row r="104" ht="15.75" customHeight="1" s="372"/>
    <row r="105" ht="15.75" customHeight="1" s="372"/>
    <row r="106" ht="15.75" customHeight="1" s="372"/>
    <row r="107" ht="15.75" customHeight="1" s="372"/>
    <row r="108" ht="15.75" customHeight="1" s="372"/>
    <row r="109" ht="15.75" customHeight="1" s="372"/>
    <row r="110" ht="15.75" customHeight="1" s="372"/>
    <row r="111" ht="15.75" customHeight="1" s="372"/>
    <row r="112" ht="15.75" customHeight="1" s="372"/>
    <row r="113" ht="15.75" customHeight="1" s="372"/>
    <row r="114" ht="15.75" customHeight="1" s="372"/>
    <row r="115" ht="15.75" customHeight="1" s="372"/>
    <row r="116" ht="15.75" customHeight="1" s="372"/>
    <row r="117" ht="15.75" customHeight="1" s="372"/>
    <row r="118" ht="15.75" customHeight="1" s="372"/>
    <row r="119" ht="15.75" customHeight="1" s="372"/>
    <row r="120" ht="15.75" customHeight="1" s="372"/>
    <row r="121" ht="15.75" customHeight="1" s="372"/>
    <row r="122" ht="15.75" customHeight="1" s="372"/>
    <row r="123" ht="15.75" customHeight="1" s="372"/>
    <row r="124" ht="15.75" customHeight="1" s="372"/>
    <row r="125" ht="15.75" customHeight="1" s="372"/>
    <row r="126" ht="15.75" customHeight="1" s="372"/>
    <row r="127" ht="15.75" customHeight="1" s="372"/>
    <row r="128" ht="15.75" customHeight="1" s="372"/>
    <row r="129" ht="15.75" customHeight="1" s="372"/>
    <row r="130" ht="15.75" customHeight="1" s="372"/>
    <row r="131" ht="15.75" customHeight="1" s="372"/>
    <row r="132" ht="15.75" customHeight="1" s="372"/>
    <row r="133" ht="15.75" customHeight="1" s="372"/>
    <row r="134" ht="15.75" customHeight="1" s="372"/>
    <row r="135" ht="15.75" customHeight="1" s="372"/>
    <row r="136" ht="15.75" customHeight="1" s="372"/>
    <row r="137" ht="15.75" customHeight="1" s="372"/>
    <row r="138" ht="15.75" customHeight="1" s="372"/>
    <row r="139" ht="15.75" customHeight="1" s="372"/>
    <row r="140" ht="15.75" customHeight="1" s="372"/>
    <row r="141" ht="15.75" customHeight="1" s="372"/>
    <row r="142" ht="15.75" customHeight="1" s="372"/>
    <row r="143" ht="15.75" customHeight="1" s="372"/>
    <row r="144" ht="15.75" customHeight="1" s="372"/>
    <row r="145" ht="15.75" customHeight="1" s="372"/>
    <row r="146" ht="15.75" customHeight="1" s="372"/>
    <row r="147" ht="15.75" customHeight="1" s="372"/>
    <row r="148" ht="15.75" customHeight="1" s="372"/>
    <row r="149" ht="15.75" customHeight="1" s="372"/>
    <row r="150" ht="15.75" customHeight="1" s="372"/>
    <row r="151" ht="15.75" customHeight="1" s="372"/>
    <row r="152" ht="15.75" customHeight="1" s="372"/>
    <row r="153" ht="15.75" customHeight="1" s="372"/>
    <row r="154" ht="15.75" customHeight="1" s="372"/>
    <row r="155" ht="15.75" customHeight="1" s="372"/>
    <row r="156" ht="15.75" customHeight="1" s="372"/>
    <row r="157" ht="15.75" customHeight="1" s="372"/>
    <row r="158" ht="15.75" customHeight="1" s="372"/>
    <row r="159" ht="15.75" customHeight="1" s="372"/>
    <row r="160" ht="15.75" customHeight="1" s="372"/>
    <row r="161" ht="15.75" customHeight="1" s="372"/>
    <row r="162" ht="15.75" customHeight="1" s="372"/>
    <row r="163" ht="15.75" customHeight="1" s="372"/>
    <row r="164" ht="15.75" customHeight="1" s="372"/>
    <row r="165" ht="15.75" customHeight="1" s="372"/>
    <row r="166" ht="15.75" customHeight="1" s="372"/>
    <row r="167" ht="15.75" customHeight="1" s="372"/>
    <row r="168" ht="15.75" customHeight="1" s="372"/>
    <row r="169" ht="15.75" customHeight="1" s="372"/>
    <row r="170" ht="15.75" customHeight="1" s="372"/>
    <row r="171" ht="15.75" customHeight="1" s="372"/>
    <row r="172" ht="15.75" customHeight="1" s="372"/>
    <row r="173" ht="15.75" customHeight="1" s="372"/>
    <row r="174" ht="15.75" customHeight="1" s="372"/>
    <row r="175" ht="15.75" customHeight="1" s="372"/>
    <row r="176" ht="15.75" customHeight="1" s="372"/>
    <row r="177" ht="15.75" customHeight="1" s="372"/>
    <row r="178" ht="15.75" customHeight="1" s="372"/>
    <row r="179" ht="15.75" customHeight="1" s="372"/>
    <row r="180" ht="15.75" customHeight="1" s="372"/>
    <row r="181" ht="15.75" customHeight="1" s="372"/>
    <row r="182" ht="15.75" customHeight="1" s="372"/>
    <row r="183" ht="15.75" customHeight="1" s="372"/>
    <row r="184" ht="15.75" customHeight="1" s="372"/>
    <row r="185" ht="15.75" customHeight="1" s="372"/>
    <row r="186" ht="15.75" customHeight="1" s="372"/>
    <row r="187" ht="15.75" customHeight="1" s="372"/>
    <row r="188" ht="15.75" customHeight="1" s="372"/>
    <row r="189" ht="15.75" customHeight="1" s="372"/>
    <row r="190" ht="15.75" customHeight="1" s="372"/>
    <row r="191" ht="15.75" customHeight="1" s="372"/>
    <row r="192" ht="15.75" customHeight="1" s="372"/>
    <row r="193" ht="15.75" customHeight="1" s="372"/>
    <row r="194" ht="15.75" customHeight="1" s="372"/>
    <row r="195" ht="15.75" customHeight="1" s="372"/>
    <row r="196" ht="15.75" customHeight="1" s="372"/>
    <row r="197" ht="15.75" customHeight="1" s="372"/>
    <row r="198" ht="15.75" customHeight="1" s="372"/>
    <row r="199" ht="15.75" customHeight="1" s="372"/>
    <row r="200" ht="15.75" customHeight="1" s="372"/>
    <row r="201" ht="15.75" customHeight="1" s="372"/>
    <row r="202" ht="15.75" customHeight="1" s="372"/>
    <row r="203" ht="15.75" customHeight="1" s="372"/>
    <row r="204" ht="15.75" customHeight="1" s="372"/>
    <row r="205" ht="15.75" customHeight="1" s="372"/>
    <row r="206" ht="15.75" customHeight="1" s="372"/>
    <row r="207" ht="15.75" customHeight="1" s="372"/>
    <row r="208" ht="15.75" customHeight="1" s="372"/>
    <row r="209" ht="15.75" customHeight="1" s="372"/>
    <row r="210" ht="15.75" customHeight="1" s="372"/>
    <row r="211" ht="15.75" customHeight="1" s="372"/>
    <row r="212" ht="15.75" customHeight="1" s="372"/>
    <row r="213" ht="15.75" customHeight="1" s="372"/>
    <row r="214" ht="15.75" customHeight="1" s="372"/>
    <row r="215" ht="15.75" customHeight="1" s="372"/>
    <row r="216" ht="15.75" customHeight="1" s="372"/>
    <row r="217" ht="15.75" customHeight="1" s="372"/>
    <row r="218" ht="15.75" customHeight="1" s="372"/>
    <row r="219" ht="15.75" customHeight="1" s="372"/>
    <row r="220" ht="15.75" customHeight="1" s="372"/>
    <row r="221" ht="15.75" customHeight="1" s="372"/>
    <row r="222" ht="15.75" customHeight="1" s="372"/>
    <row r="223" ht="15.75" customHeight="1" s="372"/>
    <row r="224" ht="15.75" customHeight="1" s="372"/>
    <row r="225" ht="15.75" customHeight="1" s="372"/>
    <row r="226" ht="15.75" customHeight="1" s="372"/>
    <row r="227" ht="15.75" customHeight="1" s="372"/>
    <row r="228" ht="15.75" customHeight="1" s="372"/>
    <row r="229" ht="15.75" customHeight="1" s="372"/>
    <row r="230" ht="15.75" customHeight="1" s="372"/>
    <row r="231" ht="15.75" customHeight="1" s="372"/>
    <row r="232" ht="15.75" customHeight="1" s="372"/>
    <row r="233" ht="15.75" customHeight="1" s="372"/>
    <row r="234" ht="15.75" customHeight="1" s="372"/>
    <row r="235" ht="15.75" customHeight="1" s="372"/>
    <row r="236" ht="15.75" customHeight="1" s="372"/>
    <row r="237" ht="15.75" customHeight="1" s="372"/>
    <row r="238" ht="15.75" customHeight="1" s="372"/>
    <row r="239" ht="15.75" customHeight="1" s="372"/>
    <row r="240" ht="15.75" customHeight="1" s="372"/>
    <row r="241" ht="15.75" customHeight="1" s="372"/>
    <row r="242" ht="15.75" customHeight="1" s="372"/>
    <row r="243" ht="15.75" customHeight="1" s="372"/>
    <row r="244" ht="15.75" customHeight="1" s="372"/>
    <row r="245" ht="15.75" customHeight="1" s="372"/>
    <row r="246" ht="15.75" customHeight="1" s="372"/>
    <row r="247" ht="15.75" customHeight="1" s="372"/>
    <row r="248" ht="15.75" customHeight="1" s="372"/>
    <row r="249" ht="15.75" customHeight="1" s="372"/>
    <row r="250" ht="15.75" customHeight="1" s="372"/>
    <row r="251" ht="15.75" customHeight="1" s="372"/>
    <row r="252" ht="15.75" customHeight="1" s="372"/>
    <row r="253" ht="15.75" customHeight="1" s="372"/>
    <row r="254" ht="15.75" customHeight="1" s="372"/>
    <row r="255" ht="15.75" customHeight="1" s="372"/>
    <row r="256" ht="15.75" customHeight="1" s="372"/>
    <row r="257" ht="15.75" customHeight="1" s="372"/>
    <row r="258" ht="15.75" customHeight="1" s="372"/>
    <row r="259" ht="15.75" customHeight="1" s="372"/>
    <row r="260" ht="15.75" customHeight="1" s="372"/>
    <row r="261" ht="15.75" customHeight="1" s="372"/>
    <row r="262" ht="15.75" customHeight="1" s="372"/>
    <row r="263" ht="15.75" customHeight="1" s="372"/>
    <row r="264" ht="15.75" customHeight="1" s="372"/>
    <row r="265" ht="15.75" customHeight="1" s="372"/>
    <row r="266" ht="15.75" customHeight="1" s="372"/>
    <row r="267" ht="15.75" customHeight="1" s="372"/>
    <row r="268" ht="15.75" customHeight="1" s="372"/>
    <row r="269" ht="15.75" customHeight="1" s="372"/>
    <row r="270" ht="15.75" customHeight="1" s="372"/>
    <row r="271" ht="15.75" customHeight="1" s="372"/>
    <row r="272" ht="15.75" customHeight="1" s="372"/>
    <row r="273" ht="15.75" customHeight="1" s="372"/>
    <row r="274" ht="15.75" customHeight="1" s="372"/>
    <row r="275" ht="15.75" customHeight="1" s="372"/>
    <row r="276" ht="15.75" customHeight="1" s="372"/>
    <row r="277" ht="15.75" customHeight="1" s="372"/>
    <row r="278" ht="15.75" customHeight="1" s="372"/>
    <row r="279" ht="15.75" customHeight="1" s="372"/>
    <row r="280" ht="15.75" customHeight="1" s="372"/>
    <row r="281" ht="15.75" customHeight="1" s="372"/>
    <row r="282" ht="15.75" customHeight="1" s="372"/>
    <row r="283" ht="15.75" customHeight="1" s="372"/>
    <row r="284" ht="15.75" customHeight="1" s="372"/>
    <row r="285" ht="15.75" customHeight="1" s="372"/>
    <row r="286" ht="15.75" customHeight="1" s="372"/>
    <row r="287" ht="15.75" customHeight="1" s="372"/>
    <row r="288" ht="15.75" customHeight="1" s="372"/>
    <row r="289" ht="15.75" customHeight="1" s="372"/>
    <row r="290" ht="15.75" customHeight="1" s="372"/>
    <row r="291" ht="15.75" customHeight="1" s="372"/>
    <row r="292" ht="15.75" customHeight="1" s="372"/>
    <row r="293" ht="15.75" customHeight="1" s="372"/>
    <row r="294" ht="15.75" customHeight="1" s="372"/>
    <row r="295" ht="15.75" customHeight="1" s="372"/>
    <row r="296" ht="15.75" customHeight="1" s="372"/>
    <row r="297" ht="15.75" customHeight="1" s="372"/>
    <row r="298" ht="15.75" customHeight="1" s="372"/>
    <row r="299" ht="15.75" customHeight="1" s="372"/>
    <row r="300" ht="15.75" customHeight="1" s="372"/>
    <row r="301" ht="15.75" customHeight="1" s="372"/>
    <row r="302" ht="15.75" customHeight="1" s="372"/>
    <row r="303" ht="15.75" customHeight="1" s="372"/>
    <row r="304" ht="15.75" customHeight="1" s="372"/>
    <row r="305" ht="15.75" customHeight="1" s="372"/>
    <row r="306" ht="15.75" customHeight="1" s="372"/>
    <row r="307" ht="15.75" customHeight="1" s="372"/>
    <row r="308" ht="15.75" customHeight="1" s="372"/>
    <row r="309" ht="15.75" customHeight="1" s="372"/>
    <row r="310" ht="15.75" customHeight="1" s="372"/>
    <row r="311" ht="15.75" customHeight="1" s="372"/>
    <row r="312" ht="15.75" customHeight="1" s="372"/>
    <row r="313" ht="15.75" customHeight="1" s="372"/>
    <row r="314" ht="15.75" customHeight="1" s="372"/>
    <row r="315" ht="15.75" customHeight="1" s="372"/>
    <row r="316" ht="15.75" customHeight="1" s="372"/>
    <row r="317" ht="15.75" customHeight="1" s="372"/>
    <row r="318" ht="15.75" customHeight="1" s="372"/>
    <row r="319" ht="15.75" customHeight="1" s="372"/>
    <row r="320" ht="15.75" customHeight="1" s="372"/>
    <row r="321" ht="15.75" customHeight="1" s="372"/>
    <row r="322" ht="15.75" customHeight="1" s="372"/>
    <row r="323" ht="15.75" customHeight="1" s="372"/>
    <row r="324" ht="15.75" customHeight="1" s="372"/>
    <row r="325" ht="15.75" customHeight="1" s="372"/>
    <row r="326" ht="15.75" customHeight="1" s="372"/>
    <row r="327" ht="15.75" customHeight="1" s="372"/>
    <row r="328" ht="15.75" customHeight="1" s="372"/>
    <row r="329" ht="15.75" customHeight="1" s="372"/>
    <row r="330" ht="15.75" customHeight="1" s="372"/>
    <row r="331" ht="15.75" customHeight="1" s="372"/>
    <row r="332" ht="15.75" customHeight="1" s="372"/>
    <row r="333" ht="15.75" customHeight="1" s="372"/>
    <row r="334" ht="15.75" customHeight="1" s="372"/>
    <row r="335" ht="15.75" customHeight="1" s="372"/>
    <row r="336" ht="15.75" customHeight="1" s="372"/>
    <row r="337" ht="15.75" customHeight="1" s="372"/>
    <row r="338" ht="15.75" customHeight="1" s="372"/>
    <row r="339" ht="15.75" customHeight="1" s="372"/>
    <row r="340" ht="15.75" customHeight="1" s="372"/>
    <row r="341" ht="15.75" customHeight="1" s="372"/>
    <row r="342" ht="15.75" customHeight="1" s="372"/>
    <row r="343" ht="15.75" customHeight="1" s="372"/>
    <row r="344" ht="15.75" customHeight="1" s="372"/>
    <row r="345" ht="15.75" customHeight="1" s="372"/>
    <row r="346" ht="15.75" customHeight="1" s="372"/>
    <row r="347" ht="15.75" customHeight="1" s="372"/>
    <row r="348" ht="15.75" customHeight="1" s="372"/>
    <row r="349" ht="15.75" customHeight="1" s="372"/>
    <row r="350" ht="15.75" customHeight="1" s="372"/>
    <row r="351" ht="15.75" customHeight="1" s="372"/>
    <row r="352" ht="15.75" customHeight="1" s="372"/>
    <row r="353" ht="15.75" customHeight="1" s="372"/>
    <row r="354" ht="15.75" customHeight="1" s="372"/>
    <row r="355" ht="15.75" customHeight="1" s="372"/>
    <row r="356" ht="15.75" customHeight="1" s="372"/>
    <row r="357" ht="15.75" customHeight="1" s="372"/>
    <row r="358" ht="15.75" customHeight="1" s="372"/>
    <row r="359" ht="15.75" customHeight="1" s="372"/>
    <row r="360" ht="15.75" customHeight="1" s="372"/>
    <row r="361" ht="15.75" customHeight="1" s="372"/>
    <row r="362" ht="15.75" customHeight="1" s="372"/>
    <row r="363" ht="15.75" customHeight="1" s="372"/>
    <row r="364" ht="15.75" customHeight="1" s="372"/>
    <row r="365" ht="15.75" customHeight="1" s="372"/>
    <row r="366" ht="15.75" customHeight="1" s="372"/>
    <row r="367" ht="15.75" customHeight="1" s="372"/>
    <row r="368" ht="15.75" customHeight="1" s="372"/>
    <row r="369" ht="15.75" customHeight="1" s="372"/>
    <row r="370" ht="15.75" customHeight="1" s="372"/>
    <row r="371" ht="15.75" customHeight="1" s="372"/>
    <row r="372" ht="15.75" customHeight="1" s="372"/>
    <row r="373" ht="15.75" customHeight="1" s="372"/>
    <row r="374" ht="15.75" customHeight="1" s="372"/>
    <row r="375" ht="15.75" customHeight="1" s="372"/>
    <row r="376" ht="15.75" customHeight="1" s="372"/>
    <row r="377" ht="15.75" customHeight="1" s="372"/>
    <row r="378" ht="15.75" customHeight="1" s="372"/>
    <row r="379" ht="15.75" customHeight="1" s="372"/>
    <row r="380" ht="15.75" customHeight="1" s="372"/>
    <row r="381" ht="15.75" customHeight="1" s="372"/>
    <row r="382" ht="15.75" customHeight="1" s="372"/>
    <row r="383" ht="15.75" customHeight="1" s="372"/>
    <row r="384" ht="15.75" customHeight="1" s="372"/>
    <row r="385" ht="15.75" customHeight="1" s="372"/>
    <row r="386" ht="15.75" customHeight="1" s="372"/>
    <row r="387" ht="15.75" customHeight="1" s="372"/>
    <row r="388" ht="15.75" customHeight="1" s="372"/>
    <row r="389" ht="15.75" customHeight="1" s="372"/>
    <row r="390" ht="15.75" customHeight="1" s="372"/>
    <row r="391" ht="15.75" customHeight="1" s="372"/>
    <row r="392" ht="15.75" customHeight="1" s="372"/>
    <row r="393" ht="15.75" customHeight="1" s="372"/>
    <row r="394" ht="15.75" customHeight="1" s="372"/>
    <row r="395" ht="15.75" customHeight="1" s="372"/>
    <row r="396" ht="15.75" customHeight="1" s="372"/>
    <row r="397" ht="15.75" customHeight="1" s="372"/>
    <row r="398" ht="15.75" customHeight="1" s="372"/>
    <row r="399" ht="15.75" customHeight="1" s="372"/>
    <row r="400" ht="15.75" customHeight="1" s="372"/>
    <row r="401" ht="15.75" customHeight="1" s="372"/>
    <row r="402" ht="15.75" customHeight="1" s="372"/>
    <row r="403" ht="15.75" customHeight="1" s="372"/>
    <row r="404" ht="15.75" customHeight="1" s="372"/>
    <row r="405" ht="15.75" customHeight="1" s="372"/>
    <row r="406" ht="15.75" customHeight="1" s="372"/>
    <row r="407" ht="15.75" customHeight="1" s="372"/>
    <row r="408" ht="15.75" customHeight="1" s="372"/>
    <row r="409" ht="15.75" customHeight="1" s="372"/>
    <row r="410" ht="15.75" customHeight="1" s="372"/>
    <row r="411" ht="15.75" customHeight="1" s="372"/>
    <row r="412" ht="15.75" customHeight="1" s="372"/>
    <row r="413" ht="15.75" customHeight="1" s="372"/>
    <row r="414" ht="15.75" customHeight="1" s="372"/>
    <row r="415" ht="15.75" customHeight="1" s="372"/>
    <row r="416" ht="15.75" customHeight="1" s="372"/>
    <row r="417" ht="15.75" customHeight="1" s="372"/>
    <row r="418" ht="15.75" customHeight="1" s="372"/>
    <row r="419" ht="15.75" customHeight="1" s="372"/>
    <row r="420" ht="15.75" customHeight="1" s="372"/>
    <row r="421" ht="15.75" customHeight="1" s="372"/>
    <row r="422" ht="15.75" customHeight="1" s="372"/>
    <row r="423" ht="15.75" customHeight="1" s="372"/>
    <row r="424" ht="15.75" customHeight="1" s="372"/>
    <row r="425" ht="15.75" customHeight="1" s="372"/>
    <row r="426" ht="15.75" customHeight="1" s="372"/>
    <row r="427" ht="15.75" customHeight="1" s="372"/>
    <row r="428" ht="15.75" customHeight="1" s="372"/>
    <row r="429" ht="15.75" customHeight="1" s="372"/>
    <row r="430" ht="15.75" customHeight="1" s="372"/>
    <row r="431" ht="15.75" customHeight="1" s="372"/>
    <row r="432" ht="15.75" customHeight="1" s="372"/>
    <row r="433" ht="15.75" customHeight="1" s="372"/>
    <row r="434" ht="15.75" customHeight="1" s="372"/>
    <row r="435" ht="15.75" customHeight="1" s="372"/>
    <row r="436" ht="15.75" customHeight="1" s="372"/>
    <row r="437" ht="15.75" customHeight="1" s="372"/>
    <row r="438" ht="15.75" customHeight="1" s="372"/>
    <row r="439" ht="15.75" customHeight="1" s="372"/>
    <row r="440" ht="15.75" customHeight="1" s="372"/>
    <row r="441" ht="15.75" customHeight="1" s="372"/>
    <row r="442" ht="15.75" customHeight="1" s="372"/>
    <row r="443" ht="15.75" customHeight="1" s="372"/>
    <row r="444" ht="15.75" customHeight="1" s="372"/>
    <row r="445" ht="15.75" customHeight="1" s="372"/>
    <row r="446" ht="15.75" customHeight="1" s="372"/>
    <row r="447" ht="15.75" customHeight="1" s="372"/>
    <row r="448" ht="15.75" customHeight="1" s="372"/>
    <row r="449" ht="15.75" customHeight="1" s="372"/>
    <row r="450" ht="15.75" customHeight="1" s="372"/>
    <row r="451" ht="15.75" customHeight="1" s="372"/>
    <row r="452" ht="15.75" customHeight="1" s="372"/>
    <row r="453" ht="15.75" customHeight="1" s="372"/>
    <row r="454" ht="15.75" customHeight="1" s="372"/>
    <row r="455" ht="15.75" customHeight="1" s="372"/>
    <row r="456" ht="15.75" customHeight="1" s="372"/>
    <row r="457" ht="15.75" customHeight="1" s="372"/>
    <row r="458" ht="15.75" customHeight="1" s="372"/>
    <row r="459" ht="15.75" customHeight="1" s="372"/>
    <row r="460" ht="15.75" customHeight="1" s="372"/>
    <row r="461" ht="15.75" customHeight="1" s="372"/>
    <row r="462" ht="15.75" customHeight="1" s="372"/>
    <row r="463" ht="15.75" customHeight="1" s="372"/>
    <row r="464" ht="15.75" customHeight="1" s="372"/>
    <row r="465" ht="15.75" customHeight="1" s="372"/>
    <row r="466" ht="15.75" customHeight="1" s="372"/>
    <row r="467" ht="15.75" customHeight="1" s="372"/>
    <row r="468" ht="15.75" customHeight="1" s="372"/>
    <row r="469" ht="15.75" customHeight="1" s="372"/>
    <row r="470" ht="15.75" customHeight="1" s="372"/>
    <row r="471" ht="15.75" customHeight="1" s="372"/>
    <row r="472" ht="15.75" customHeight="1" s="372"/>
    <row r="473" ht="15.75" customHeight="1" s="372"/>
    <row r="474" ht="15.75" customHeight="1" s="372"/>
    <row r="475" ht="15.75" customHeight="1" s="372"/>
    <row r="476" ht="15.75" customHeight="1" s="372"/>
    <row r="477" ht="15.75" customHeight="1" s="372"/>
    <row r="478" ht="15.75" customHeight="1" s="372"/>
    <row r="479" ht="15.75" customHeight="1" s="372"/>
    <row r="480" ht="15.75" customHeight="1" s="372"/>
    <row r="481" ht="15.75" customHeight="1" s="372"/>
    <row r="482" ht="15.75" customHeight="1" s="372"/>
    <row r="483" ht="15.75" customHeight="1" s="372"/>
    <row r="484" ht="15.75" customHeight="1" s="372"/>
    <row r="485" ht="15.75" customHeight="1" s="372"/>
    <row r="486" ht="15.75" customHeight="1" s="372"/>
    <row r="487" ht="15.75" customHeight="1" s="372"/>
    <row r="488" ht="15.75" customHeight="1" s="372"/>
    <row r="489" ht="15.75" customHeight="1" s="372"/>
    <row r="490" ht="15.75" customHeight="1" s="372"/>
    <row r="491" ht="15.75" customHeight="1" s="372"/>
    <row r="492" ht="15.75" customHeight="1" s="372"/>
    <row r="493" ht="15.75" customHeight="1" s="372"/>
    <row r="494" ht="15.75" customHeight="1" s="372"/>
    <row r="495" ht="15.75" customHeight="1" s="372"/>
    <row r="496" ht="15.75" customHeight="1" s="372"/>
    <row r="497" ht="15.75" customHeight="1" s="372"/>
    <row r="498" ht="15.75" customHeight="1" s="372"/>
    <row r="499" ht="15.75" customHeight="1" s="372"/>
    <row r="500" ht="15.75" customHeight="1" s="372"/>
    <row r="501" ht="15.75" customHeight="1" s="372"/>
    <row r="502" ht="15.75" customHeight="1" s="372"/>
    <row r="503" ht="15.75" customHeight="1" s="372"/>
    <row r="504" ht="15.75" customHeight="1" s="372"/>
    <row r="505" ht="15.75" customHeight="1" s="372"/>
    <row r="506" ht="15.75" customHeight="1" s="372"/>
    <row r="507" ht="15.75" customHeight="1" s="372"/>
    <row r="508" ht="15.75" customHeight="1" s="372"/>
    <row r="509" ht="15.75" customHeight="1" s="372"/>
    <row r="510" ht="15.75" customHeight="1" s="372"/>
    <row r="511" ht="15.75" customHeight="1" s="372"/>
    <row r="512" ht="15.75" customHeight="1" s="372"/>
    <row r="513" ht="15.75" customHeight="1" s="372"/>
    <row r="514" ht="15.75" customHeight="1" s="372"/>
    <row r="515" ht="15.75" customHeight="1" s="372"/>
    <row r="516" ht="15.75" customHeight="1" s="372"/>
    <row r="517" ht="15.75" customHeight="1" s="372"/>
    <row r="518" ht="15.75" customHeight="1" s="372"/>
    <row r="519" ht="15.75" customHeight="1" s="372"/>
    <row r="520" ht="15.75" customHeight="1" s="372"/>
    <row r="521" ht="15.75" customHeight="1" s="372"/>
    <row r="522" ht="15.75" customHeight="1" s="372"/>
    <row r="523" ht="15.75" customHeight="1" s="372"/>
    <row r="524" ht="15.75" customHeight="1" s="372"/>
    <row r="525" ht="15.75" customHeight="1" s="372"/>
    <row r="526" ht="15.75" customHeight="1" s="372"/>
    <row r="527" ht="15.75" customHeight="1" s="372"/>
    <row r="528" ht="15.75" customHeight="1" s="372"/>
    <row r="529" ht="15.75" customHeight="1" s="372"/>
    <row r="530" ht="15.75" customHeight="1" s="372"/>
    <row r="531" ht="15.75" customHeight="1" s="372"/>
    <row r="532" ht="15.75" customHeight="1" s="372"/>
    <row r="533" ht="15.75" customHeight="1" s="372"/>
    <row r="534" ht="15.75" customHeight="1" s="372"/>
    <row r="535" ht="15.75" customHeight="1" s="372"/>
    <row r="536" ht="15.75" customHeight="1" s="372"/>
    <row r="537" ht="15.75" customHeight="1" s="372"/>
    <row r="538" ht="15.75" customHeight="1" s="372"/>
    <row r="539" ht="15.75" customHeight="1" s="372"/>
    <row r="540" ht="15.75" customHeight="1" s="372"/>
    <row r="541" ht="15.75" customHeight="1" s="372"/>
    <row r="542" ht="15.75" customHeight="1" s="372"/>
    <row r="543" ht="15.75" customHeight="1" s="372"/>
    <row r="544" ht="15.75" customHeight="1" s="372"/>
    <row r="545" ht="15.75" customHeight="1" s="372"/>
    <row r="546" ht="15.75" customHeight="1" s="372"/>
    <row r="547" ht="15.75" customHeight="1" s="372"/>
    <row r="548" ht="15.75" customHeight="1" s="372"/>
    <row r="549" ht="15.75" customHeight="1" s="372"/>
    <row r="550" ht="15.75" customHeight="1" s="372"/>
    <row r="551" ht="15.75" customHeight="1" s="372"/>
    <row r="552" ht="15.75" customHeight="1" s="372"/>
    <row r="553" ht="15.75" customHeight="1" s="372"/>
    <row r="554" ht="15.75" customHeight="1" s="372"/>
    <row r="555" ht="15.75" customHeight="1" s="372"/>
    <row r="556" ht="15.75" customHeight="1" s="372"/>
    <row r="557" ht="15.75" customHeight="1" s="372"/>
    <row r="558" ht="15.75" customHeight="1" s="372"/>
    <row r="559" ht="15.75" customHeight="1" s="372"/>
    <row r="560" ht="15.75" customHeight="1" s="372"/>
    <row r="561" ht="15.75" customHeight="1" s="372"/>
    <row r="562" ht="15.75" customHeight="1" s="372"/>
    <row r="563" ht="15.75" customHeight="1" s="372"/>
    <row r="564" ht="15.75" customHeight="1" s="372"/>
    <row r="565" ht="15.75" customHeight="1" s="372"/>
    <row r="566" ht="15.75" customHeight="1" s="372"/>
    <row r="567" ht="15.75" customHeight="1" s="372"/>
    <row r="568" ht="15.75" customHeight="1" s="372"/>
    <row r="569" ht="15.75" customHeight="1" s="372"/>
    <row r="570" ht="15.75" customHeight="1" s="372"/>
    <row r="571" ht="15.75" customHeight="1" s="372"/>
    <row r="572" ht="15.75" customHeight="1" s="372"/>
    <row r="573" ht="15.75" customHeight="1" s="372"/>
    <row r="574" ht="15.75" customHeight="1" s="372"/>
    <row r="575" ht="15.75" customHeight="1" s="372"/>
    <row r="576" ht="15.75" customHeight="1" s="372"/>
    <row r="577" ht="15.75" customHeight="1" s="372"/>
    <row r="578" ht="15.75" customHeight="1" s="372"/>
    <row r="579" ht="15.75" customHeight="1" s="372"/>
    <row r="580" ht="15.75" customHeight="1" s="372"/>
    <row r="581" ht="15.75" customHeight="1" s="372"/>
    <row r="582" ht="15.75" customHeight="1" s="372"/>
    <row r="583" ht="15.75" customHeight="1" s="372"/>
    <row r="584" ht="15.75" customHeight="1" s="372"/>
    <row r="585" ht="15.75" customHeight="1" s="372"/>
    <row r="586" ht="15.75" customHeight="1" s="372"/>
    <row r="587" ht="15.75" customHeight="1" s="372"/>
    <row r="588" ht="15.75" customHeight="1" s="372"/>
    <row r="589" ht="15.75" customHeight="1" s="372"/>
    <row r="590" ht="15.75" customHeight="1" s="372"/>
    <row r="591" ht="15.75" customHeight="1" s="372"/>
    <row r="592" ht="15.75" customHeight="1" s="372"/>
    <row r="593" ht="15.75" customHeight="1" s="372"/>
    <row r="594" ht="15.75" customHeight="1" s="372"/>
    <row r="595" ht="15.75" customHeight="1" s="372"/>
    <row r="596" ht="15.75" customHeight="1" s="372"/>
    <row r="597" ht="15.75" customHeight="1" s="372"/>
    <row r="598" ht="15.75" customHeight="1" s="372"/>
    <row r="599" ht="15.75" customHeight="1" s="372"/>
    <row r="600" ht="15.75" customHeight="1" s="372"/>
    <row r="601" ht="15.75" customHeight="1" s="372"/>
    <row r="602" ht="15.75" customHeight="1" s="372"/>
    <row r="603" ht="15.75" customHeight="1" s="372"/>
    <row r="604" ht="15.75" customHeight="1" s="372"/>
    <row r="605" ht="15.75" customHeight="1" s="372"/>
    <row r="606" ht="15.75" customHeight="1" s="372"/>
    <row r="607" ht="15.75" customHeight="1" s="372"/>
    <row r="608" ht="15.75" customHeight="1" s="372"/>
    <row r="609" ht="15.75" customHeight="1" s="372"/>
    <row r="610" ht="15.75" customHeight="1" s="372"/>
    <row r="611" ht="15.75" customHeight="1" s="372"/>
    <row r="612" ht="15.75" customHeight="1" s="372"/>
    <row r="613" ht="15.75" customHeight="1" s="372"/>
    <row r="614" ht="15.75" customHeight="1" s="372"/>
    <row r="615" ht="15.75" customHeight="1" s="372"/>
    <row r="616" ht="15.75" customHeight="1" s="372"/>
    <row r="617" ht="15.75" customHeight="1" s="372"/>
    <row r="618" ht="15.75" customHeight="1" s="372"/>
    <row r="619" ht="15.75" customHeight="1" s="372"/>
    <row r="620" ht="15.75" customHeight="1" s="372"/>
    <row r="621" ht="15.75" customHeight="1" s="372"/>
    <row r="622" ht="15.75" customHeight="1" s="372"/>
    <row r="623" ht="15.75" customHeight="1" s="372"/>
    <row r="624" ht="15.75" customHeight="1" s="372"/>
    <row r="625" ht="15.75" customHeight="1" s="372"/>
    <row r="626" ht="15.75" customHeight="1" s="372"/>
    <row r="627" ht="15.75" customHeight="1" s="372"/>
    <row r="628" ht="15.75" customHeight="1" s="372"/>
    <row r="629" ht="15.75" customHeight="1" s="372"/>
    <row r="630" ht="15.75" customHeight="1" s="372"/>
    <row r="631" ht="15.75" customHeight="1" s="372"/>
    <row r="632" ht="15.75" customHeight="1" s="372"/>
    <row r="633" ht="15.75" customHeight="1" s="372"/>
    <row r="634" ht="15.75" customHeight="1" s="372"/>
    <row r="635" ht="15.75" customHeight="1" s="372"/>
    <row r="636" ht="15.75" customHeight="1" s="372"/>
    <row r="637" ht="15.75" customHeight="1" s="372"/>
    <row r="638" ht="15.75" customHeight="1" s="372"/>
    <row r="639" ht="15.75" customHeight="1" s="372"/>
    <row r="640" ht="15.75" customHeight="1" s="372"/>
    <row r="641" ht="15.75" customHeight="1" s="372"/>
    <row r="642" ht="15.75" customHeight="1" s="372"/>
    <row r="643" ht="15.75" customHeight="1" s="372"/>
    <row r="644" ht="15.75" customHeight="1" s="372"/>
    <row r="645" ht="15.75" customHeight="1" s="372"/>
    <row r="646" ht="15.75" customHeight="1" s="372"/>
    <row r="647" ht="15.75" customHeight="1" s="372"/>
    <row r="648" ht="15.75" customHeight="1" s="372"/>
    <row r="649" ht="15.75" customHeight="1" s="372"/>
    <row r="650" ht="15.75" customHeight="1" s="372"/>
    <row r="651" ht="15.75" customHeight="1" s="372"/>
    <row r="652" ht="15.75" customHeight="1" s="372"/>
    <row r="653" ht="15.75" customHeight="1" s="372"/>
    <row r="654" ht="15.75" customHeight="1" s="372"/>
    <row r="655" ht="15.75" customHeight="1" s="372"/>
    <row r="656" ht="15.75" customHeight="1" s="372"/>
    <row r="657" ht="15.75" customHeight="1" s="372"/>
    <row r="658" ht="15.75" customHeight="1" s="372"/>
    <row r="659" ht="15.75" customHeight="1" s="372"/>
    <row r="660" ht="15.75" customHeight="1" s="372"/>
    <row r="661" ht="15.75" customHeight="1" s="372"/>
    <row r="662" ht="15.75" customHeight="1" s="372"/>
    <row r="663" ht="15.75" customHeight="1" s="372"/>
    <row r="664" ht="15.75" customHeight="1" s="372"/>
    <row r="665" ht="15.75" customHeight="1" s="372"/>
    <row r="666" ht="15.75" customHeight="1" s="372"/>
    <row r="667" ht="15.75" customHeight="1" s="372"/>
    <row r="668" ht="15.75" customHeight="1" s="372"/>
    <row r="669" ht="15.75" customHeight="1" s="372"/>
    <row r="670" ht="15.75" customHeight="1" s="372"/>
    <row r="671" ht="15.75" customHeight="1" s="372"/>
    <row r="672" ht="15.75" customHeight="1" s="372"/>
    <row r="673" ht="15.75" customHeight="1" s="372"/>
    <row r="674" ht="15.75" customHeight="1" s="372"/>
    <row r="675" ht="15.75" customHeight="1" s="372"/>
    <row r="676" ht="15.75" customHeight="1" s="372"/>
    <row r="677" ht="15.75" customHeight="1" s="372"/>
    <row r="678" ht="15.75" customHeight="1" s="372"/>
    <row r="679" ht="15.75" customHeight="1" s="372"/>
    <row r="680" ht="15.75" customHeight="1" s="372"/>
    <row r="681" ht="15.75" customHeight="1" s="372"/>
    <row r="682" ht="15.75" customHeight="1" s="372"/>
    <row r="683" ht="15.75" customHeight="1" s="372"/>
    <row r="684" ht="15.75" customHeight="1" s="372"/>
    <row r="685" ht="15.75" customHeight="1" s="372"/>
    <row r="686" ht="15.75" customHeight="1" s="372"/>
    <row r="687" ht="15.75" customHeight="1" s="372"/>
    <row r="688" ht="15.75" customHeight="1" s="372"/>
    <row r="689" ht="15.75" customHeight="1" s="372"/>
    <row r="690" ht="15.75" customHeight="1" s="372"/>
    <row r="691" ht="15.75" customHeight="1" s="372"/>
    <row r="692" ht="15.75" customHeight="1" s="372"/>
    <row r="693" ht="15.75" customHeight="1" s="372"/>
    <row r="694" ht="15.75" customHeight="1" s="372"/>
    <row r="695" ht="15.75" customHeight="1" s="372"/>
    <row r="696" ht="15.75" customHeight="1" s="372"/>
    <row r="697" ht="15.75" customHeight="1" s="372"/>
    <row r="698" ht="15.75" customHeight="1" s="372"/>
    <row r="699" ht="15.75" customHeight="1" s="372"/>
    <row r="700" ht="15.75" customHeight="1" s="372"/>
    <row r="701" ht="15.75" customHeight="1" s="372"/>
    <row r="702" ht="15.75" customHeight="1" s="372"/>
    <row r="703" ht="15.75" customHeight="1" s="372"/>
    <row r="704" ht="15.75" customHeight="1" s="372"/>
    <row r="705" ht="15.75" customHeight="1" s="372"/>
    <row r="706" ht="15.75" customHeight="1" s="372"/>
    <row r="707" ht="15.75" customHeight="1" s="372"/>
    <row r="708" ht="15.75" customHeight="1" s="372"/>
    <row r="709" ht="15.75" customHeight="1" s="372"/>
    <row r="710" ht="15.75" customHeight="1" s="372"/>
    <row r="711" ht="15.75" customHeight="1" s="372"/>
    <row r="712" ht="15.75" customHeight="1" s="372"/>
    <row r="713" ht="15.75" customHeight="1" s="372"/>
    <row r="714" ht="15.75" customHeight="1" s="372"/>
    <row r="715" ht="15.75" customHeight="1" s="372"/>
    <row r="716" ht="15.75" customHeight="1" s="372"/>
    <row r="717" ht="15.75" customHeight="1" s="372"/>
    <row r="718" ht="15.75" customHeight="1" s="372"/>
    <row r="719" ht="15.75" customHeight="1" s="372"/>
    <row r="720" ht="15.75" customHeight="1" s="372"/>
    <row r="721" ht="15.75" customHeight="1" s="372"/>
    <row r="722" ht="15.75" customHeight="1" s="372"/>
    <row r="723" ht="15.75" customHeight="1" s="372"/>
    <row r="724" ht="15.75" customHeight="1" s="372"/>
    <row r="725" ht="15.75" customHeight="1" s="372"/>
    <row r="726" ht="15.75" customHeight="1" s="372"/>
    <row r="727" ht="15.75" customHeight="1" s="372"/>
    <row r="728" ht="15.75" customHeight="1" s="372"/>
    <row r="729" ht="15.75" customHeight="1" s="372"/>
    <row r="730" ht="15.75" customHeight="1" s="372"/>
    <row r="731" ht="15.75" customHeight="1" s="372"/>
    <row r="732" ht="15.75" customHeight="1" s="372"/>
    <row r="733" ht="15.75" customHeight="1" s="372"/>
    <row r="734" ht="15.75" customHeight="1" s="372"/>
    <row r="735" ht="15.75" customHeight="1" s="372"/>
    <row r="736" ht="15.75" customHeight="1" s="372"/>
    <row r="737" ht="15.75" customHeight="1" s="372"/>
    <row r="738" ht="15.75" customHeight="1" s="372"/>
    <row r="739" ht="15.75" customHeight="1" s="372"/>
    <row r="740" ht="15.75" customHeight="1" s="372"/>
    <row r="741" ht="15.75" customHeight="1" s="372"/>
    <row r="742" ht="15.75" customHeight="1" s="372"/>
    <row r="743" ht="15.75" customHeight="1" s="372"/>
    <row r="744" ht="15.75" customHeight="1" s="372"/>
    <row r="745" ht="15.75" customHeight="1" s="372"/>
    <row r="746" ht="15.75" customHeight="1" s="372"/>
    <row r="747" ht="15.75" customHeight="1" s="372"/>
    <row r="748" ht="15.75" customHeight="1" s="372"/>
    <row r="749" ht="15.75" customHeight="1" s="372"/>
    <row r="750" ht="15.75" customHeight="1" s="372"/>
    <row r="751" ht="15.75" customHeight="1" s="372"/>
    <row r="752" ht="15.75" customHeight="1" s="372"/>
    <row r="753" ht="15.75" customHeight="1" s="372"/>
    <row r="754" ht="15.75" customHeight="1" s="372"/>
    <row r="755" ht="15.75" customHeight="1" s="372"/>
    <row r="756" ht="15.75" customHeight="1" s="372"/>
    <row r="757" ht="15.75" customHeight="1" s="372"/>
    <row r="758" ht="15.75" customHeight="1" s="372"/>
    <row r="759" ht="15.75" customHeight="1" s="372"/>
    <row r="760" ht="15.75" customHeight="1" s="372"/>
    <row r="761" ht="15.75" customHeight="1" s="372"/>
    <row r="762" ht="15.75" customHeight="1" s="372"/>
    <row r="763" ht="15.75" customHeight="1" s="372"/>
    <row r="764" ht="15.75" customHeight="1" s="372"/>
    <row r="765" ht="15.75" customHeight="1" s="372"/>
    <row r="766" ht="15.75" customHeight="1" s="372"/>
    <row r="767" ht="15.75" customHeight="1" s="372"/>
    <row r="768" ht="15.75" customHeight="1" s="372"/>
    <row r="769" ht="15.75" customHeight="1" s="372"/>
    <row r="770" ht="15.75" customHeight="1" s="372"/>
    <row r="771" ht="15.75" customHeight="1" s="372"/>
    <row r="772" ht="15.75" customHeight="1" s="372"/>
    <row r="773" ht="15.75" customHeight="1" s="372"/>
    <row r="774" ht="15.75" customHeight="1" s="372"/>
    <row r="775" ht="15.75" customHeight="1" s="372"/>
    <row r="776" ht="15.75" customHeight="1" s="372"/>
    <row r="777" ht="15.75" customHeight="1" s="372"/>
    <row r="778" ht="15.75" customHeight="1" s="372"/>
    <row r="779" ht="15.75" customHeight="1" s="372"/>
    <row r="780" ht="15.75" customHeight="1" s="372"/>
    <row r="781" ht="15.75" customHeight="1" s="372"/>
    <row r="782" ht="15.75" customHeight="1" s="372"/>
    <row r="783" ht="15.75" customHeight="1" s="372"/>
    <row r="784" ht="15.75" customHeight="1" s="372"/>
    <row r="785" ht="15.75" customHeight="1" s="372"/>
    <row r="786" ht="15.75" customHeight="1" s="372"/>
    <row r="787" ht="15.75" customHeight="1" s="372"/>
    <row r="788" ht="15.75" customHeight="1" s="372"/>
    <row r="789" ht="15.75" customHeight="1" s="372"/>
    <row r="790" ht="15.75" customHeight="1" s="372"/>
    <row r="791" ht="15.75" customHeight="1" s="372"/>
    <row r="792" ht="15.75" customHeight="1" s="372"/>
    <row r="793" ht="15.75" customHeight="1" s="372"/>
    <row r="794" ht="15.75" customHeight="1" s="372"/>
    <row r="795" ht="15.75" customHeight="1" s="372"/>
    <row r="796" ht="15.75" customHeight="1" s="372"/>
    <row r="797" ht="15.75" customHeight="1" s="372"/>
    <row r="798" ht="15.75" customHeight="1" s="372"/>
    <row r="799" ht="15.75" customHeight="1" s="372"/>
    <row r="800" ht="15.75" customHeight="1" s="372"/>
    <row r="801" ht="15.75" customHeight="1" s="372"/>
    <row r="802" ht="15.75" customHeight="1" s="372"/>
    <row r="803" ht="15.75" customHeight="1" s="372"/>
    <row r="804" ht="15.75" customHeight="1" s="372"/>
    <row r="805" ht="15.75" customHeight="1" s="372"/>
    <row r="806" ht="15.75" customHeight="1" s="372"/>
    <row r="807" ht="15.75" customHeight="1" s="372"/>
    <row r="808" ht="15.75" customHeight="1" s="372"/>
    <row r="809" ht="15.75" customHeight="1" s="372"/>
    <row r="810" ht="15.75" customHeight="1" s="372"/>
    <row r="811" ht="15.75" customHeight="1" s="372"/>
    <row r="812" ht="15.75" customHeight="1" s="372"/>
    <row r="813" ht="15.75" customHeight="1" s="372"/>
    <row r="814" ht="15.75" customHeight="1" s="372"/>
    <row r="815" ht="15.75" customHeight="1" s="372"/>
    <row r="816" ht="15.75" customHeight="1" s="372"/>
    <row r="817" ht="15.75" customHeight="1" s="372"/>
    <row r="818" ht="15.75" customHeight="1" s="372"/>
    <row r="819" ht="15.75" customHeight="1" s="372"/>
    <row r="820" ht="15.75" customHeight="1" s="372"/>
    <row r="821" ht="15.75" customHeight="1" s="372"/>
    <row r="822" ht="15.75" customHeight="1" s="372"/>
    <row r="823" ht="15.75" customHeight="1" s="372"/>
    <row r="824" ht="15.75" customHeight="1" s="372"/>
    <row r="825" ht="15.75" customHeight="1" s="372"/>
    <row r="826" ht="15.75" customHeight="1" s="372"/>
    <row r="827" ht="15.75" customHeight="1" s="372"/>
    <row r="828" ht="15.75" customHeight="1" s="372"/>
    <row r="829" ht="15.75" customHeight="1" s="372"/>
    <row r="830" ht="15.75" customHeight="1" s="372"/>
    <row r="831" ht="15.75" customHeight="1" s="372"/>
    <row r="832" ht="15.75" customHeight="1" s="372"/>
    <row r="833" ht="15.75" customHeight="1" s="372"/>
    <row r="834" ht="15.75" customHeight="1" s="372"/>
    <row r="835" ht="15.75" customHeight="1" s="372"/>
    <row r="836" ht="15.75" customHeight="1" s="372"/>
    <row r="837" ht="15.75" customHeight="1" s="372"/>
    <row r="838" ht="15.75" customHeight="1" s="372"/>
    <row r="839" ht="15.75" customHeight="1" s="372"/>
    <row r="840" ht="15.75" customHeight="1" s="372"/>
    <row r="841" ht="15.75" customHeight="1" s="372"/>
    <row r="842" ht="15.75" customHeight="1" s="372"/>
    <row r="843" ht="15.75" customHeight="1" s="372"/>
    <row r="844" ht="15.75" customHeight="1" s="372"/>
    <row r="845" ht="15.75" customHeight="1" s="372"/>
    <row r="846" ht="15.75" customHeight="1" s="372"/>
    <row r="847" ht="15.75" customHeight="1" s="372"/>
    <row r="848" ht="15.75" customHeight="1" s="372"/>
    <row r="849" ht="15.75" customHeight="1" s="372"/>
    <row r="850" ht="15.75" customHeight="1" s="372"/>
    <row r="851" ht="15.75" customHeight="1" s="372"/>
    <row r="852" ht="15.75" customHeight="1" s="372"/>
    <row r="853" ht="15.75" customHeight="1" s="372"/>
    <row r="854" ht="15.75" customHeight="1" s="372"/>
    <row r="855" ht="15.75" customHeight="1" s="372"/>
    <row r="856" ht="15.75" customHeight="1" s="372"/>
    <row r="857" ht="15.75" customHeight="1" s="372"/>
    <row r="858" ht="15.75" customHeight="1" s="372"/>
    <row r="859" ht="15.75" customHeight="1" s="372"/>
    <row r="860" ht="15.75" customHeight="1" s="372"/>
    <row r="861" ht="15.75" customHeight="1" s="372"/>
    <row r="862" ht="15.75" customHeight="1" s="372"/>
    <row r="863" ht="15.75" customHeight="1" s="372"/>
    <row r="864" ht="15.75" customHeight="1" s="372"/>
    <row r="865" ht="15.75" customHeight="1" s="372"/>
    <row r="866" ht="15.75" customHeight="1" s="372"/>
    <row r="867" ht="15.75" customHeight="1" s="372"/>
    <row r="868" ht="15.75" customHeight="1" s="372"/>
    <row r="869" ht="15.75" customHeight="1" s="372"/>
    <row r="870" ht="15.75" customHeight="1" s="372"/>
    <row r="871" ht="15.75" customHeight="1" s="372"/>
    <row r="872" ht="15.75" customHeight="1" s="372"/>
    <row r="873" ht="15.75" customHeight="1" s="372"/>
    <row r="874" ht="15.75" customHeight="1" s="372"/>
    <row r="875" ht="15.75" customHeight="1" s="372"/>
    <row r="876" ht="15.75" customHeight="1" s="372"/>
    <row r="877" ht="15.75" customHeight="1" s="372"/>
    <row r="878" ht="15.75" customHeight="1" s="372"/>
    <row r="879" ht="15.75" customHeight="1" s="372"/>
    <row r="880" ht="15.75" customHeight="1" s="372"/>
    <row r="881" ht="15.75" customHeight="1" s="372"/>
    <row r="882" ht="15.75" customHeight="1" s="372"/>
    <row r="883" ht="15.75" customHeight="1" s="372"/>
    <row r="884" ht="15.75" customHeight="1" s="372"/>
    <row r="885" ht="15.75" customHeight="1" s="372"/>
    <row r="886" ht="15.75" customHeight="1" s="372"/>
    <row r="887" ht="15.75" customHeight="1" s="372"/>
    <row r="888" ht="15.75" customHeight="1" s="372"/>
    <row r="889" ht="15.75" customHeight="1" s="372"/>
    <row r="890" ht="15.75" customHeight="1" s="372"/>
    <row r="891" ht="15.75" customHeight="1" s="372"/>
    <row r="892" ht="15.75" customHeight="1" s="372"/>
    <row r="893" ht="15.75" customHeight="1" s="372"/>
    <row r="894" ht="15.75" customHeight="1" s="372"/>
    <row r="895" ht="15.75" customHeight="1" s="372"/>
    <row r="896" ht="15.75" customHeight="1" s="372"/>
    <row r="897" ht="15.75" customHeight="1" s="372"/>
    <row r="898" ht="15.75" customHeight="1" s="372"/>
    <row r="899" ht="15.75" customHeight="1" s="372"/>
    <row r="900" ht="15.75" customHeight="1" s="372"/>
    <row r="901" ht="15.75" customHeight="1" s="372"/>
    <row r="902" ht="15.75" customHeight="1" s="372"/>
    <row r="903" ht="15.75" customHeight="1" s="372"/>
    <row r="904" ht="15.75" customHeight="1" s="372"/>
    <row r="905" ht="15.75" customHeight="1" s="372"/>
    <row r="906" ht="15.75" customHeight="1" s="372"/>
    <row r="907" ht="15.75" customHeight="1" s="372"/>
    <row r="908" ht="15.75" customHeight="1" s="372"/>
    <row r="909" ht="15.75" customHeight="1" s="372"/>
    <row r="910" ht="15.75" customHeight="1" s="372"/>
    <row r="911" ht="15.75" customHeight="1" s="372"/>
    <row r="912" ht="15.75" customHeight="1" s="372"/>
    <row r="913" ht="15.75" customHeight="1" s="372"/>
    <row r="914" ht="15.75" customHeight="1" s="372"/>
    <row r="915" ht="15.75" customHeight="1" s="372"/>
    <row r="916" ht="15.75" customHeight="1" s="372"/>
    <row r="917" ht="15.75" customHeight="1" s="372"/>
    <row r="918" ht="15.75" customHeight="1" s="372"/>
    <row r="919" ht="15.75" customHeight="1" s="372"/>
    <row r="920" ht="15.75" customHeight="1" s="372"/>
    <row r="921" ht="15.75" customHeight="1" s="372"/>
    <row r="922" ht="15.75" customHeight="1" s="372"/>
    <row r="923" ht="15.75" customHeight="1" s="372"/>
    <row r="924" ht="15.75" customHeight="1" s="372"/>
    <row r="925" ht="15.75" customHeight="1" s="372"/>
    <row r="926" ht="15.75" customHeight="1" s="372"/>
    <row r="927" ht="15.75" customHeight="1" s="372"/>
    <row r="928" ht="15.75" customHeight="1" s="372"/>
    <row r="929" ht="15.75" customHeight="1" s="372"/>
    <row r="930" ht="15.75" customHeight="1" s="372"/>
    <row r="931" ht="15.75" customHeight="1" s="372"/>
    <row r="932" ht="15.75" customHeight="1" s="372"/>
    <row r="933" ht="15.75" customHeight="1" s="372"/>
    <row r="934" ht="15.75" customHeight="1" s="372"/>
    <row r="935" ht="15.75" customHeight="1" s="372"/>
    <row r="936" ht="15.75" customHeight="1" s="372"/>
    <row r="937" ht="15.75" customHeight="1" s="372"/>
    <row r="938" ht="15.75" customHeight="1" s="372"/>
    <row r="939" ht="15.75" customHeight="1" s="372"/>
    <row r="940" ht="15.75" customHeight="1" s="372"/>
    <row r="941" ht="15.75" customHeight="1" s="372"/>
    <row r="942" ht="15.75" customHeight="1" s="372"/>
    <row r="943" ht="15.75" customHeight="1" s="372"/>
    <row r="944" ht="15.75" customHeight="1" s="372"/>
    <row r="945" ht="15.75" customHeight="1" s="372"/>
    <row r="946" ht="15.75" customHeight="1" s="372"/>
    <row r="947" ht="15.75" customHeight="1" s="372"/>
    <row r="948" ht="15.75" customHeight="1" s="372"/>
    <row r="949" ht="15.75" customHeight="1" s="372"/>
    <row r="950" ht="15.75" customHeight="1" s="372"/>
    <row r="951" ht="15.75" customHeight="1" s="372"/>
    <row r="952" ht="15.75" customHeight="1" s="372"/>
    <row r="953" ht="15.75" customHeight="1" s="372"/>
    <row r="954" ht="15.75" customHeight="1" s="372"/>
    <row r="955" ht="15.75" customHeight="1" s="372"/>
    <row r="956" ht="15.75" customHeight="1" s="372"/>
    <row r="957" ht="15.75" customHeight="1" s="372"/>
    <row r="958" ht="15.75" customHeight="1" s="372"/>
    <row r="959" ht="15.75" customHeight="1" s="372"/>
    <row r="960" ht="15.75" customHeight="1" s="372"/>
    <row r="961" ht="15.75" customHeight="1" s="372"/>
    <row r="962" ht="15.75" customHeight="1" s="372"/>
    <row r="963" ht="15.75" customHeight="1" s="372"/>
    <row r="964" ht="15.75" customHeight="1" s="372"/>
    <row r="965" ht="15.75" customHeight="1" s="372"/>
    <row r="966" ht="15.75" customHeight="1" s="372"/>
    <row r="967" ht="15.75" customHeight="1" s="372"/>
    <row r="968" ht="15.75" customHeight="1" s="372"/>
    <row r="969" ht="15.75" customHeight="1" s="372"/>
    <row r="970" ht="15.75" customHeight="1" s="372"/>
    <row r="971" ht="15.75" customHeight="1" s="372"/>
    <row r="972" ht="15.75" customHeight="1" s="372"/>
    <row r="973" ht="15.75" customHeight="1" s="372"/>
    <row r="974" ht="15.75" customHeight="1" s="372"/>
    <row r="975" ht="15.75" customHeight="1" s="372"/>
    <row r="976" ht="15.75" customHeight="1" s="372"/>
    <row r="977" ht="15.75" customHeight="1" s="372"/>
    <row r="978" ht="15.75" customHeight="1" s="372"/>
    <row r="979" ht="15.75" customHeight="1" s="372"/>
    <row r="980" ht="15.75" customHeight="1" s="372"/>
    <row r="981" ht="15.75" customHeight="1" s="372"/>
    <row r="982" ht="15.75" customHeight="1" s="372"/>
    <row r="983" ht="15.75" customHeight="1" s="372"/>
    <row r="984" ht="15.75" customHeight="1" s="372"/>
    <row r="985" ht="15.75" customHeight="1" s="372"/>
    <row r="986" ht="15.75" customHeight="1" s="372"/>
    <row r="987" ht="15.75" customHeight="1" s="372"/>
    <row r="988" ht="15.75" customHeight="1" s="372"/>
    <row r="989" ht="15.75" customHeight="1" s="372"/>
    <row r="990" ht="15.75" customHeight="1" s="372"/>
    <row r="991" ht="15.75" customHeight="1" s="372"/>
    <row r="992" ht="15.75" customHeight="1" s="372"/>
    <row r="993" ht="15.75" customHeight="1" s="372"/>
    <row r="994" ht="15.75" customHeight="1" s="372"/>
    <row r="995" ht="15.75" customHeight="1" s="372"/>
    <row r="996" ht="15.75" customHeight="1" s="372"/>
    <row r="997" ht="15.75" customHeight="1" s="372"/>
    <row r="998" ht="15.75" customHeight="1" s="372"/>
    <row r="999" ht="15.75" customHeight="1" s="372"/>
    <row r="1000" ht="15.75" customHeight="1" s="372"/>
  </sheetData>
  <mergeCells count="7">
    <mergeCell ref="A9:D9"/>
    <mergeCell ref="H2:I2"/>
    <mergeCell ref="A1:M1"/>
    <mergeCell ref="E2:F2"/>
    <mergeCell ref="A2:D2"/>
    <mergeCell ref="A3:F3"/>
    <mergeCell ref="E9:F9"/>
  </mergeCells>
  <dataValidations count="3">
    <dataValidation sqref="D6:D8 D10:D32" showDropDown="0" showInputMessage="0" showErrorMessage="0" allowBlank="1" type="list">
      <formula1>"Observer,Participant,Leader"</formula1>
    </dataValidation>
    <dataValidation sqref="C6:C8 C10:C32" showDropDown="0" showInputMessage="0" showErrorMessage="0" allowBlank="1" type="list">
      <formula1>"Elementary,Middle,High,Central Office,Agency,Other"</formula1>
    </dataValidation>
    <dataValidation sqref="O6 O7 O8 O10 O11 O12 O13 O14 O15 O16 O17 O18 O19 O20 O21 O22 O23 O24 O25 O26 O27 O28 O29 O30 O31" showDropDown="0" showInputMessage="1" showErrorMessage="0" allowBlank="1" promptTitle="Completed" prompt="Choose Yes once you have finished this experience." type="list">
      <formula1>"Yes"</formula1>
    </dataValidation>
  </dataValidations>
  <pageMargins left="0.75" right="0.75" top="1" bottom="1" header="0" footer="0"/>
  <pageSetup orientation="portrait" paperSize="9"/>
</worksheet>
</file>

<file path=xl/worksheets/sheet9.xml><?xml version="1.0" encoding="utf-8"?>
<worksheet xmlns="http://schemas.openxmlformats.org/spreadsheetml/2006/main">
  <sheetPr>
    <tabColor rgb="FFFF00FF"/>
    <outlinePr summaryBelow="1" summaryRight="1"/>
    <pageSetUpPr/>
  </sheetPr>
  <dimension ref="A1:Z30"/>
  <sheetViews>
    <sheetView workbookViewId="0">
      <pane ySplit="5" topLeftCell="A6" activePane="bottomLeft" state="frozen"/>
      <selection pane="bottomLeft" activeCell="B7" sqref="B7"/>
    </sheetView>
  </sheetViews>
  <sheetFormatPr baseColWidth="8" defaultColWidth="14.43" defaultRowHeight="15" customHeight="1"/>
  <cols>
    <col width="12" customWidth="1" style="372" min="1" max="2"/>
    <col width="14" customWidth="1" style="372" min="3" max="3"/>
    <col width="10" customWidth="1" style="372" min="4" max="4"/>
    <col width="55" customWidth="1" style="372" min="5" max="5"/>
    <col width="8" customWidth="1" style="372" min="6" max="6"/>
    <col width="5" customWidth="1" style="372" min="7" max="12"/>
    <col width="28" customWidth="1" style="372" min="13" max="13"/>
    <col width="29.71" customWidth="1" style="372" min="14" max="14"/>
    <col width="12" customWidth="1" style="372" min="15" max="26"/>
  </cols>
  <sheetData>
    <row r="1" ht="39.75" customHeight="1" s="372">
      <c r="A1" s="157" t="inlineStr">
        <is>
          <t>INTERNSHIP LOG  |  7805 – Cultivating Professional Capacity  |  Semester 4</t>
        </is>
      </c>
    </row>
    <row r="2" ht="36" customHeight="1" s="372">
      <c r="A2" s="19" t="inlineStr">
        <is>
          <t>Name: Pat Example      Placement(s): Invented Elementary</t>
        </is>
      </c>
      <c r="B2" s="373" t="n"/>
      <c r="C2" s="373" t="n"/>
      <c r="D2" s="373" t="n"/>
      <c r="E2" s="21" t="inlineStr">
        <is>
          <t>Total Hours Logged</t>
        </is>
      </c>
      <c r="F2" s="373" t="n"/>
      <c r="G2" s="22">
        <f>SUM(F6:F200)</f>
        <v/>
      </c>
      <c r="H2" s="23" t="inlineStr">
        <is>
          <t>Remaining</t>
        </is>
      </c>
      <c r="I2" s="373" t="n"/>
      <c r="J2" s="24">
        <f>(32-G2)</f>
        <v/>
      </c>
    </row>
    <row r="3" ht="19.5" customHeight="1" s="372">
      <c r="A3" s="25" t="inlineStr">
        <is>
          <t>Hours by Competency (auto-calculated from your X marks below):</t>
        </is>
      </c>
      <c r="G3" s="26">
        <f>SUMIF($G$6:$G$200,"X",$F$6:$F$200)</f>
        <v/>
      </c>
      <c r="H3" s="27">
        <f>SUMIF($H$6:$H$200,"X",$F$6:$F$200)</f>
        <v/>
      </c>
      <c r="I3" s="28">
        <f>SUMIF($I$6:$I$200,"X",$F$6:$F$200)</f>
        <v/>
      </c>
      <c r="J3" s="29">
        <f>SUMIF($J$6:$J$200,"X",$F$6:$F$200)</f>
        <v/>
      </c>
      <c r="K3" s="30">
        <f>SUMIF($K$6:$K$200,"X",$F$6:$F$200)</f>
        <v/>
      </c>
      <c r="L3" s="31">
        <f>SUMIF($L$6:$L$200,"X",$F$6:$F$200)</f>
        <v/>
      </c>
      <c r="M3" s="32" t="inlineStr">
        <is>
          <t>← Competency hour totals</t>
        </is>
      </c>
    </row>
    <row r="4" ht="6" customHeight="1" s="372"/>
    <row r="5" ht="31.5" customHeight="1" s="372">
      <c r="A5" s="33" t="inlineStr">
        <is>
          <t>Type</t>
        </is>
      </c>
      <c r="B5" s="33" t="inlineStr">
        <is>
          <t>Date</t>
        </is>
      </c>
      <c r="C5" s="33" t="inlineStr">
        <is>
          <t>Location</t>
        </is>
      </c>
      <c r="D5" s="33" t="inlineStr">
        <is>
          <t>Role</t>
        </is>
      </c>
      <c r="E5" s="33" t="inlineStr">
        <is>
          <t>Experience Description</t>
        </is>
      </c>
      <c r="F5" s="33" t="inlineStr">
        <is>
          <t>Hrs</t>
        </is>
      </c>
      <c r="G5" s="34" t="inlineStr">
        <is>
          <t>①</t>
        </is>
      </c>
      <c r="H5" s="35" t="inlineStr">
        <is>
          <t>②</t>
        </is>
      </c>
      <c r="I5" s="36" t="inlineStr">
        <is>
          <t>③</t>
        </is>
      </c>
      <c r="J5" s="37" t="inlineStr">
        <is>
          <t>④</t>
        </is>
      </c>
      <c r="K5" s="38" t="inlineStr">
        <is>
          <t>⑤</t>
        </is>
      </c>
      <c r="L5" s="39" t="inlineStr">
        <is>
          <t>⑥</t>
        </is>
      </c>
      <c r="M5" s="33" t="inlineStr">
        <is>
          <t>Evidence / Notes</t>
        </is>
      </c>
      <c r="N5" s="40" t="inlineStr">
        <is>
          <t>Site name</t>
        </is>
      </c>
      <c r="O5" s="40" t="inlineStr">
        <is>
          <t>Completed</t>
        </is>
      </c>
    </row>
    <row r="6" ht="49.5" customHeight="1" s="372">
      <c r="A6" s="41" t="inlineStr">
        <is>
          <t>EMBEDDED</t>
        </is>
      </c>
      <c r="B6" s="158" t="n"/>
      <c r="C6" s="43" t="inlineStr">
        <is>
          <t>Main Site</t>
        </is>
      </c>
      <c r="D6" s="44" t="n"/>
      <c r="E6" s="45" t="inlineStr">
        <is>
          <t>Embedded Experience: HR Roadmap – Capacity Roadmap: A cumulative project developed throughout the course focused on building and sustaining human capital capacity in your school or division.</t>
        </is>
      </c>
      <c r="F6" s="46" t="n">
        <v>15</v>
      </c>
      <c r="G6" s="47" t="n"/>
      <c r="H6" s="48" t="n"/>
      <c r="I6" s="49" t="n"/>
      <c r="J6" s="160" t="n"/>
      <c r="K6" s="162" t="inlineStr">
        <is>
          <t>X</t>
        </is>
      </c>
      <c r="L6" s="52" t="n"/>
      <c r="M6" s="53" t="inlineStr">
        <is>
          <t>Submit: Assignment</t>
        </is>
      </c>
      <c r="N6" s="54" t="n"/>
      <c r="O6" s="54" t="n"/>
      <c r="P6" s="54" t="n"/>
      <c r="Q6" s="54" t="n"/>
      <c r="R6" s="54" t="n"/>
      <c r="S6" s="54" t="n"/>
      <c r="T6" s="54" t="n"/>
      <c r="U6" s="54" t="n"/>
      <c r="V6" s="54" t="n"/>
      <c r="W6" s="54" t="n"/>
      <c r="X6" s="54" t="n"/>
      <c r="Y6" s="54" t="n"/>
      <c r="Z6" s="54" t="n"/>
    </row>
    <row r="7" ht="45" customHeight="1" s="372">
      <c r="A7" s="55" t="inlineStr">
        <is>
          <t>ALIGNED</t>
        </is>
      </c>
      <c r="B7" s="56" t="n"/>
      <c r="C7" s="57" t="n"/>
      <c r="D7" s="57" t="n"/>
      <c r="E7" s="75" t="inlineStr">
        <is>
          <t>Aligned Experience: Participate in/observe the hiring of a teacher, instructional coach, or school instructional support professional.</t>
        </is>
      </c>
      <c r="F7" s="59" t="n">
        <v>5</v>
      </c>
      <c r="G7" s="47" t="n"/>
      <c r="H7" s="48" t="n"/>
      <c r="I7" s="164" t="inlineStr">
        <is>
          <t>X</t>
        </is>
      </c>
      <c r="J7" s="160" t="n"/>
      <c r="K7" s="51" t="n"/>
      <c r="L7" s="52" t="n"/>
      <c r="M7" s="60" t="inlineStr">
        <is>
          <t>Submit: Journal – Competency 3</t>
        </is>
      </c>
      <c r="N7" s="54" t="n"/>
      <c r="O7" s="54" t="n"/>
      <c r="P7" s="54" t="n"/>
      <c r="Q7" s="54" t="n"/>
      <c r="R7" s="54" t="n"/>
      <c r="S7" s="54" t="n"/>
      <c r="T7" s="54" t="n"/>
      <c r="U7" s="54" t="n"/>
      <c r="V7" s="54" t="n"/>
      <c r="W7" s="54" t="n"/>
      <c r="X7" s="54" t="n"/>
      <c r="Y7" s="54" t="n"/>
      <c r="Z7" s="54" t="n"/>
    </row>
    <row r="8" ht="45" customHeight="1" s="372">
      <c r="A8" s="55" t="inlineStr">
        <is>
          <t>ALIGNED</t>
        </is>
      </c>
      <c r="B8" s="56" t="n"/>
      <c r="C8" s="57" t="n"/>
      <c r="D8" s="57" t="n"/>
      <c r="E8" s="75" t="inlineStr">
        <is>
          <t>Aligned Experience: Interview or Shadow a Non-Instructional Leader: Interview or shadow a non-instructional leader to understand their role in supporting school operations.</t>
        </is>
      </c>
      <c r="F8" s="59" t="n">
        <v>5</v>
      </c>
      <c r="G8" s="47" t="n"/>
      <c r="H8" s="48" t="n"/>
      <c r="I8" s="164" t="inlineStr">
        <is>
          <t>X</t>
        </is>
      </c>
      <c r="J8" s="160" t="n"/>
      <c r="K8" s="51" t="n"/>
      <c r="L8" s="52" t="n"/>
      <c r="M8" s="60" t="inlineStr">
        <is>
          <t>Submit: Interview or Observation Notes</t>
        </is>
      </c>
      <c r="N8" s="54" t="n"/>
      <c r="O8" s="54" t="n"/>
      <c r="P8" s="54" t="n"/>
      <c r="Q8" s="54" t="n"/>
      <c r="R8" s="54" t="n"/>
      <c r="S8" s="54" t="n"/>
      <c r="T8" s="54" t="n"/>
      <c r="U8" s="54" t="n"/>
      <c r="V8" s="54" t="n"/>
      <c r="W8" s="54" t="n"/>
      <c r="X8" s="54" t="n"/>
      <c r="Y8" s="54" t="n"/>
      <c r="Z8" s="54" t="n"/>
    </row>
    <row r="9" ht="27.75" customHeight="1" s="372">
      <c r="A9" s="374" t="inlineStr">
        <is>
          <t>⭐  CHOICE HOURS  —  7 hours needed this semester</t>
        </is>
      </c>
      <c r="B9" s="375" t="n"/>
      <c r="C9" s="375" t="n"/>
      <c r="D9" s="376" t="n"/>
      <c r="E9" s="377">
        <f>IF(SUMIF(A10:A59,"CHOICE",F10:F59)&gt;=7,"✅ Choice Hours Met!","⚠ Still need: "&amp;(7-SUMIF(A10:A59,"CHOICE",F10:F59))&amp;" more hours")</f>
        <v/>
      </c>
      <c r="F9" s="376" t="n"/>
      <c r="G9" s="65" t="inlineStr">
        <is>
          <t>1. I</t>
        </is>
      </c>
      <c r="H9" s="66" t="inlineStr">
        <is>
          <t>2. O</t>
        </is>
      </c>
      <c r="I9" s="67" t="inlineStr">
        <is>
          <t>3. O</t>
        </is>
      </c>
      <c r="J9" s="68" t="inlineStr">
        <is>
          <t>4. S</t>
        </is>
      </c>
      <c r="K9" s="69" t="inlineStr">
        <is>
          <t>5. P</t>
        </is>
      </c>
      <c r="L9" s="70" t="inlineStr">
        <is>
          <t>6. A</t>
        </is>
      </c>
      <c r="M9" s="71" t="inlineStr">
        <is>
          <t>No evidence required for choice hours</t>
        </is>
      </c>
      <c r="N9" s="54" t="n"/>
      <c r="O9" s="54" t="n"/>
      <c r="P9" s="54" t="n"/>
      <c r="Q9" s="54" t="n"/>
      <c r="R9" s="54" t="n"/>
      <c r="S9" s="54" t="n"/>
      <c r="T9" s="54" t="n"/>
      <c r="U9" s="54" t="n"/>
      <c r="V9" s="54" t="n"/>
      <c r="W9" s="54" t="n"/>
      <c r="X9" s="54" t="n"/>
      <c r="Y9" s="54" t="n"/>
      <c r="Z9" s="54" t="n"/>
    </row>
    <row r="10" ht="34.5" customHeight="1" s="372">
      <c r="A10" s="72" t="inlineStr">
        <is>
          <t>CHOICE</t>
        </is>
      </c>
      <c r="B10" s="165" t="n"/>
      <c r="C10" s="87" t="n"/>
      <c r="D10" s="87" t="n"/>
      <c r="E10" s="166" t="n"/>
      <c r="F10" s="153" t="n"/>
      <c r="G10" s="84" t="n"/>
      <c r="H10" s="154" t="n"/>
      <c r="I10" s="85" t="n"/>
      <c r="J10" s="80" t="n"/>
      <c r="K10" s="81" t="n"/>
      <c r="L10" s="82" t="n"/>
      <c r="M10" s="87" t="n"/>
      <c r="N10" s="54" t="n"/>
      <c r="O10" s="54" t="n"/>
      <c r="P10" s="54" t="n"/>
      <c r="Q10" s="54" t="n"/>
      <c r="R10" s="54" t="n"/>
      <c r="S10" s="54" t="n"/>
      <c r="T10" s="54" t="n"/>
      <c r="U10" s="54" t="n"/>
      <c r="V10" s="54" t="n"/>
      <c r="W10" s="54" t="n"/>
      <c r="X10" s="54" t="n"/>
      <c r="Y10" s="54" t="n"/>
      <c r="Z10" s="54" t="n"/>
    </row>
    <row r="11" ht="34.5" customHeight="1" s="372">
      <c r="A11" s="72" t="inlineStr">
        <is>
          <t>CHOICE</t>
        </is>
      </c>
      <c r="B11" s="87" t="n"/>
      <c r="C11" s="87" t="n"/>
      <c r="D11" s="87" t="n"/>
      <c r="E11" s="152" t="n"/>
      <c r="F11" s="153" t="n"/>
      <c r="G11" s="84" t="n"/>
      <c r="H11" s="154" t="n"/>
      <c r="I11" s="85" t="n"/>
      <c r="J11" s="80" t="n"/>
      <c r="K11" s="81" t="n"/>
      <c r="L11" s="82" t="n"/>
      <c r="M11" s="87" t="n"/>
      <c r="N11" s="54" t="n"/>
      <c r="O11" s="54" t="n"/>
      <c r="P11" s="54" t="n"/>
      <c r="Q11" s="54" t="n"/>
      <c r="R11" s="54" t="n"/>
      <c r="S11" s="54" t="n"/>
      <c r="T11" s="54" t="n"/>
      <c r="U11" s="54" t="n"/>
      <c r="V11" s="54" t="n"/>
      <c r="W11" s="54" t="n"/>
      <c r="X11" s="54" t="n"/>
      <c r="Y11" s="54" t="n"/>
      <c r="Z11" s="54" t="n"/>
    </row>
    <row r="12" ht="34.5" customHeight="1" s="372">
      <c r="A12" s="72" t="inlineStr">
        <is>
          <t>CHOICE</t>
        </is>
      </c>
      <c r="B12" s="87" t="n"/>
      <c r="C12" s="87" t="n"/>
      <c r="D12" s="87" t="n"/>
      <c r="E12" s="152" t="n"/>
      <c r="F12" s="153" t="n"/>
      <c r="G12" s="84" t="n"/>
      <c r="H12" s="154" t="n"/>
      <c r="I12" s="85" t="n"/>
      <c r="J12" s="80" t="n"/>
      <c r="K12" s="81" t="n"/>
      <c r="L12" s="82" t="n"/>
      <c r="M12" s="87" t="n"/>
      <c r="N12" s="54" t="n"/>
      <c r="O12" s="54" t="n"/>
      <c r="P12" s="54" t="n"/>
      <c r="Q12" s="54" t="n"/>
      <c r="R12" s="54" t="n"/>
      <c r="S12" s="54" t="n"/>
      <c r="T12" s="54" t="n"/>
      <c r="U12" s="54" t="n"/>
      <c r="V12" s="54" t="n"/>
      <c r="W12" s="54" t="n"/>
      <c r="X12" s="54" t="n"/>
      <c r="Y12" s="54" t="n"/>
      <c r="Z12" s="54" t="n"/>
    </row>
    <row r="13" ht="34.5" customHeight="1" s="372">
      <c r="A13" s="72" t="inlineStr">
        <is>
          <t>CHOICE</t>
        </is>
      </c>
      <c r="B13" s="87" t="n"/>
      <c r="C13" s="87" t="n"/>
      <c r="D13" s="87" t="n"/>
      <c r="E13" s="152" t="n"/>
      <c r="F13" s="153" t="n"/>
      <c r="G13" s="84" t="n"/>
      <c r="H13" s="154" t="n"/>
      <c r="I13" s="85" t="n"/>
      <c r="J13" s="80" t="n"/>
      <c r="K13" s="81" t="n"/>
      <c r="L13" s="82" t="n"/>
      <c r="M13" s="87" t="n"/>
      <c r="N13" s="54" t="n"/>
      <c r="O13" s="54" t="n"/>
      <c r="P13" s="54" t="n"/>
      <c r="Q13" s="54" t="n"/>
      <c r="R13" s="54" t="n"/>
      <c r="S13" s="54" t="n"/>
      <c r="T13" s="54" t="n"/>
      <c r="U13" s="54" t="n"/>
      <c r="V13" s="54" t="n"/>
      <c r="W13" s="54" t="n"/>
      <c r="X13" s="54" t="n"/>
      <c r="Y13" s="54" t="n"/>
      <c r="Z13" s="54" t="n"/>
    </row>
    <row r="14" ht="34.5" customHeight="1" s="372">
      <c r="A14" s="72" t="inlineStr">
        <is>
          <t>CHOICE</t>
        </is>
      </c>
      <c r="B14" s="87" t="n"/>
      <c r="C14" s="87" t="n"/>
      <c r="D14" s="87" t="n"/>
      <c r="E14" s="152" t="n"/>
      <c r="F14" s="153" t="n"/>
      <c r="G14" s="84" t="n"/>
      <c r="H14" s="154" t="n"/>
      <c r="I14" s="85" t="n"/>
      <c r="J14" s="80" t="n"/>
      <c r="K14" s="81" t="n"/>
      <c r="L14" s="82" t="n"/>
      <c r="M14" s="87" t="n"/>
      <c r="N14" s="54" t="n"/>
      <c r="O14" s="54" t="n"/>
      <c r="P14" s="54" t="n"/>
      <c r="Q14" s="54" t="n"/>
      <c r="R14" s="54" t="n"/>
      <c r="S14" s="54" t="n"/>
      <c r="T14" s="54" t="n"/>
      <c r="U14" s="54" t="n"/>
      <c r="V14" s="54" t="n"/>
      <c r="W14" s="54" t="n"/>
      <c r="X14" s="54" t="n"/>
      <c r="Y14" s="54" t="n"/>
      <c r="Z14" s="54" t="n"/>
    </row>
    <row r="15" ht="34.5" customHeight="1" s="372">
      <c r="A15" s="72" t="inlineStr">
        <is>
          <t>CHOICE</t>
        </is>
      </c>
      <c r="B15" s="87" t="n"/>
      <c r="C15" s="87" t="n"/>
      <c r="D15" s="87" t="n"/>
      <c r="E15" s="152" t="n"/>
      <c r="F15" s="153" t="n"/>
      <c r="G15" s="84" t="n"/>
      <c r="H15" s="154" t="n"/>
      <c r="I15" s="85" t="n"/>
      <c r="J15" s="80" t="n"/>
      <c r="K15" s="81" t="n"/>
      <c r="L15" s="82" t="n"/>
      <c r="M15" s="87" t="n"/>
      <c r="N15" s="54" t="n"/>
      <c r="O15" s="54" t="n"/>
      <c r="P15" s="54" t="n"/>
      <c r="Q15" s="54" t="n"/>
      <c r="R15" s="54" t="n"/>
      <c r="S15" s="54" t="n"/>
      <c r="T15" s="54" t="n"/>
      <c r="U15" s="54" t="n"/>
      <c r="V15" s="54" t="n"/>
      <c r="W15" s="54" t="n"/>
      <c r="X15" s="54" t="n"/>
      <c r="Y15" s="54" t="n"/>
      <c r="Z15" s="54" t="n"/>
    </row>
    <row r="16" ht="34.5" customHeight="1" s="372">
      <c r="A16" s="72" t="inlineStr">
        <is>
          <t>CHOICE</t>
        </is>
      </c>
      <c r="B16" s="87" t="n"/>
      <c r="C16" s="87" t="n"/>
      <c r="D16" s="87" t="n"/>
      <c r="E16" s="152" t="n"/>
      <c r="F16" s="153" t="n"/>
      <c r="G16" s="84" t="n"/>
      <c r="H16" s="154" t="n"/>
      <c r="I16" s="85" t="n"/>
      <c r="J16" s="80" t="n"/>
      <c r="K16" s="81" t="n"/>
      <c r="L16" s="82" t="n"/>
      <c r="M16" s="87" t="n"/>
      <c r="P16" s="54" t="n"/>
      <c r="Q16" s="54" t="n"/>
      <c r="R16" s="54" t="n"/>
      <c r="S16" s="54" t="n"/>
      <c r="T16" s="54" t="n"/>
      <c r="U16" s="54" t="n"/>
      <c r="V16" s="54" t="n"/>
      <c r="W16" s="54" t="n"/>
      <c r="X16" s="54" t="n"/>
      <c r="Y16" s="54" t="n"/>
      <c r="Z16" s="54" t="n"/>
    </row>
    <row r="17" ht="34.5" customHeight="1" s="372">
      <c r="A17" s="94" t="inlineStr">
        <is>
          <t>CHOICE</t>
        </is>
      </c>
      <c r="B17" s="95" t="n"/>
      <c r="C17" s="95" t="n"/>
      <c r="D17" s="95" t="n"/>
      <c r="E17" s="96" t="n"/>
      <c r="F17" s="97" t="n"/>
      <c r="G17" s="98" t="n"/>
      <c r="H17" s="99" t="n"/>
      <c r="I17" s="100" t="n"/>
      <c r="J17" s="101" t="n"/>
      <c r="K17" s="102" t="n"/>
      <c r="L17" s="103" t="n"/>
      <c r="M17" s="95" t="n"/>
    </row>
    <row r="18" ht="34.5" customHeight="1" s="372">
      <c r="A18" s="104" t="inlineStr">
        <is>
          <t>CHOICE</t>
        </is>
      </c>
      <c r="B18" s="105" t="n"/>
      <c r="C18" s="105" t="n"/>
      <c r="D18" s="105" t="n"/>
      <c r="E18" s="106" t="n"/>
      <c r="F18" s="107" t="n"/>
      <c r="G18" s="108" t="n"/>
      <c r="H18" s="109" t="n"/>
      <c r="I18" s="110" t="n"/>
      <c r="J18" s="111" t="n"/>
      <c r="K18" s="112" t="n"/>
      <c r="L18" s="113" t="n"/>
      <c r="M18" s="105" t="n"/>
    </row>
    <row r="19" ht="34.5" customHeight="1" s="372">
      <c r="A19" s="104" t="inlineStr">
        <is>
          <t>CHOICE</t>
        </is>
      </c>
      <c r="B19" s="105" t="n"/>
      <c r="C19" s="105" t="n"/>
      <c r="D19" s="105" t="n"/>
      <c r="E19" s="106" t="n"/>
      <c r="F19" s="107" t="n"/>
      <c r="G19" s="108" t="n"/>
      <c r="H19" s="109" t="n"/>
      <c r="I19" s="110" t="n"/>
      <c r="J19" s="111" t="n"/>
      <c r="K19" s="112" t="n"/>
      <c r="L19" s="113" t="n"/>
      <c r="M19" s="105" t="n"/>
    </row>
    <row r="20" ht="24.75" customHeight="1" s="372">
      <c r="A20" s="114" t="inlineStr">
        <is>
          <t>CHOICE</t>
        </is>
      </c>
      <c r="B20" s="105" t="n"/>
      <c r="C20" s="105" t="n"/>
      <c r="D20" s="105" t="n"/>
      <c r="E20" s="105" t="n"/>
      <c r="F20" s="105" t="n"/>
      <c r="G20" s="105" t="n"/>
      <c r="H20" s="105" t="n"/>
      <c r="I20" s="105" t="n"/>
      <c r="J20" s="105" t="n"/>
      <c r="K20" s="105" t="n"/>
      <c r="L20" s="105" t="n"/>
      <c r="M20" s="105" t="n"/>
    </row>
    <row r="21" ht="24.75" customHeight="1" s="372">
      <c r="A21" s="114" t="inlineStr">
        <is>
          <t>CHOICE</t>
        </is>
      </c>
      <c r="B21" s="105" t="n"/>
      <c r="C21" s="105" t="n"/>
      <c r="D21" s="105" t="n"/>
      <c r="E21" s="105" t="n"/>
      <c r="F21" s="105" t="n"/>
      <c r="G21" s="105" t="n"/>
      <c r="H21" s="105" t="n"/>
      <c r="I21" s="105" t="n"/>
      <c r="J21" s="105" t="n"/>
      <c r="K21" s="105" t="n"/>
      <c r="L21" s="105" t="n"/>
      <c r="M21" s="105" t="n"/>
    </row>
    <row r="22" ht="24.75" customHeight="1" s="372">
      <c r="A22" s="114" t="inlineStr">
        <is>
          <t>CHOICE</t>
        </is>
      </c>
      <c r="B22" s="105" t="n"/>
      <c r="C22" s="105" t="n"/>
      <c r="D22" s="105" t="n"/>
      <c r="E22" s="105" t="n"/>
      <c r="F22" s="105" t="n"/>
      <c r="G22" s="105" t="n"/>
      <c r="H22" s="105" t="n"/>
      <c r="I22" s="105" t="n"/>
      <c r="J22" s="105" t="n"/>
      <c r="K22" s="105" t="n"/>
      <c r="L22" s="105" t="n"/>
      <c r="M22" s="105" t="n"/>
    </row>
    <row r="23" ht="24.75" customHeight="1" s="372">
      <c r="A23" s="114" t="inlineStr">
        <is>
          <t>CHOICE</t>
        </is>
      </c>
      <c r="B23" s="105" t="n"/>
      <c r="C23" s="105" t="n"/>
      <c r="D23" s="105" t="n"/>
      <c r="E23" s="105" t="n"/>
      <c r="F23" s="105" t="n"/>
      <c r="G23" s="105" t="n"/>
      <c r="H23" s="105" t="n"/>
      <c r="I23" s="105" t="n"/>
      <c r="J23" s="105" t="n"/>
      <c r="K23" s="105" t="n"/>
      <c r="L23" s="105" t="n"/>
      <c r="M23" s="105" t="n"/>
    </row>
    <row r="24" ht="24.75" customHeight="1" s="372">
      <c r="A24" s="114" t="inlineStr">
        <is>
          <t>CHOICE</t>
        </is>
      </c>
      <c r="B24" s="105" t="n"/>
      <c r="C24" s="105" t="n"/>
      <c r="D24" s="105" t="n"/>
      <c r="E24" s="105" t="n"/>
      <c r="F24" s="105" t="n"/>
      <c r="G24" s="105" t="n"/>
      <c r="H24" s="105" t="n"/>
      <c r="I24" s="105" t="n"/>
      <c r="J24" s="105" t="n"/>
      <c r="K24" s="105" t="n"/>
      <c r="L24" s="105" t="n"/>
      <c r="M24" s="105" t="n"/>
    </row>
    <row r="25" ht="24.75" customHeight="1" s="372">
      <c r="A25" s="114" t="inlineStr">
        <is>
          <t>CHOICE</t>
        </is>
      </c>
      <c r="B25" s="105" t="n"/>
      <c r="C25" s="105" t="n"/>
      <c r="D25" s="105" t="n"/>
      <c r="E25" s="105" t="n"/>
      <c r="F25" s="105" t="n"/>
      <c r="G25" s="105" t="n"/>
      <c r="H25" s="105" t="n"/>
      <c r="I25" s="105" t="n"/>
      <c r="J25" s="105" t="n"/>
      <c r="K25" s="105" t="n"/>
      <c r="L25" s="105" t="n"/>
      <c r="M25" s="105" t="n"/>
    </row>
    <row r="26" ht="24.75" customHeight="1" s="372">
      <c r="A26" s="114" t="inlineStr">
        <is>
          <t>CHOICE</t>
        </is>
      </c>
      <c r="B26" s="105" t="n"/>
      <c r="C26" s="105" t="n"/>
      <c r="D26" s="105" t="n"/>
      <c r="E26" s="105" t="n"/>
      <c r="F26" s="105" t="n"/>
      <c r="G26" s="105" t="n"/>
      <c r="H26" s="105" t="n"/>
      <c r="I26" s="105" t="n"/>
      <c r="J26" s="105" t="n"/>
      <c r="K26" s="105" t="n"/>
      <c r="L26" s="105" t="n"/>
      <c r="M26" s="105" t="n"/>
    </row>
    <row r="27" ht="24.75" customHeight="1" s="372">
      <c r="A27" s="114" t="inlineStr">
        <is>
          <t>CHOICE</t>
        </is>
      </c>
      <c r="B27" s="105" t="n"/>
      <c r="C27" s="105" t="n"/>
      <c r="D27" s="105" t="n"/>
      <c r="E27" s="105" t="n"/>
      <c r="F27" s="105" t="n"/>
      <c r="G27" s="105" t="n"/>
      <c r="H27" s="105" t="n"/>
      <c r="I27" s="105" t="n"/>
      <c r="J27" s="105" t="n"/>
      <c r="K27" s="105" t="n"/>
      <c r="L27" s="105" t="n"/>
      <c r="M27" s="105" t="n"/>
    </row>
    <row r="28" ht="24.75" customHeight="1" s="372">
      <c r="A28" s="114" t="inlineStr">
        <is>
          <t>CHOICE</t>
        </is>
      </c>
      <c r="B28" s="105" t="n"/>
      <c r="C28" s="105" t="n"/>
      <c r="D28" s="105" t="n"/>
      <c r="E28" s="105" t="n"/>
      <c r="F28" s="105" t="n"/>
      <c r="G28" s="105" t="n"/>
      <c r="H28" s="105" t="n"/>
      <c r="I28" s="105" t="n"/>
      <c r="J28" s="105" t="n"/>
      <c r="K28" s="105" t="n"/>
      <c r="L28" s="105" t="n"/>
      <c r="M28" s="105" t="n"/>
    </row>
    <row r="29" ht="24.75" customHeight="1" s="372">
      <c r="A29" s="114" t="inlineStr">
        <is>
          <t>CHOICE</t>
        </is>
      </c>
      <c r="B29" s="105" t="n"/>
      <c r="C29" s="105" t="n"/>
      <c r="D29" s="105" t="n"/>
      <c r="E29" s="105" t="n"/>
      <c r="F29" s="105" t="n"/>
      <c r="G29" s="105" t="n"/>
      <c r="H29" s="105" t="n"/>
      <c r="I29" s="105" t="n"/>
      <c r="J29" s="105" t="n"/>
      <c r="K29" s="105" t="n"/>
      <c r="L29" s="105" t="n"/>
      <c r="M29" s="105" t="n"/>
    </row>
    <row r="30" ht="15.75" customHeight="1" s="372">
      <c r="C30" s="115" t="n"/>
      <c r="D30" s="115" t="n"/>
    </row>
    <row r="31" ht="15.75" customHeight="1" s="372"/>
    <row r="32" ht="15.75" customHeight="1" s="372"/>
    <row r="33" ht="15.75" customHeight="1" s="372"/>
    <row r="34" ht="15.75" customHeight="1" s="372"/>
    <row r="35" ht="15.75" customHeight="1" s="372"/>
    <row r="36" ht="15.75" customHeight="1" s="372"/>
    <row r="37" ht="15.75" customHeight="1" s="372"/>
    <row r="38" ht="15.75" customHeight="1" s="372"/>
    <row r="39" ht="15.75" customHeight="1" s="372"/>
    <row r="40" ht="15.75" customHeight="1" s="372"/>
    <row r="41" ht="15.75" customHeight="1" s="372"/>
    <row r="42" ht="15.75" customHeight="1" s="372"/>
    <row r="43" ht="15.75" customHeight="1" s="372"/>
    <row r="44" ht="15.75" customHeight="1" s="372"/>
    <row r="45" ht="15.75" customHeight="1" s="372"/>
    <row r="46" ht="15.75" customHeight="1" s="372"/>
    <row r="47" ht="15.75" customHeight="1" s="372"/>
    <row r="48" ht="15.75" customHeight="1" s="372"/>
    <row r="49" ht="15.75" customHeight="1" s="372"/>
    <row r="50" ht="15.75" customHeight="1" s="372"/>
    <row r="51" ht="15.75" customHeight="1" s="372"/>
    <row r="52" ht="15.75" customHeight="1" s="372"/>
    <row r="53" ht="15.75" customHeight="1" s="372"/>
    <row r="54" ht="15.75" customHeight="1" s="372"/>
    <row r="55" ht="15.75" customHeight="1" s="372"/>
    <row r="56" ht="15.75" customHeight="1" s="372"/>
    <row r="57" ht="15.75" customHeight="1" s="372"/>
    <row r="58" ht="15.75" customHeight="1" s="372"/>
    <row r="59" ht="15.75" customHeight="1" s="372"/>
    <row r="60" ht="15.75" customHeight="1" s="372"/>
    <row r="61" ht="15.75" customHeight="1" s="372"/>
    <row r="62" ht="15.75" customHeight="1" s="372"/>
    <row r="63" ht="15.75" customHeight="1" s="372"/>
    <row r="64" ht="15.75" customHeight="1" s="372"/>
    <row r="65" ht="15.75" customHeight="1" s="372"/>
    <row r="66" ht="15.75" customHeight="1" s="372"/>
    <row r="67" ht="15.75" customHeight="1" s="372"/>
    <row r="68" ht="15.75" customHeight="1" s="372"/>
    <row r="69" ht="15.75" customHeight="1" s="372"/>
    <row r="70" ht="15.75" customHeight="1" s="372"/>
    <row r="71" ht="15.75" customHeight="1" s="372"/>
    <row r="72" ht="15.75" customHeight="1" s="372"/>
    <row r="73" ht="15.75" customHeight="1" s="372"/>
    <row r="74" ht="15.75" customHeight="1" s="372"/>
    <row r="75" ht="15.75" customHeight="1" s="372"/>
    <row r="76" ht="15.75" customHeight="1" s="372"/>
    <row r="77" ht="15.75" customHeight="1" s="372"/>
    <row r="78" ht="15.75" customHeight="1" s="372"/>
    <row r="79" ht="15.75" customHeight="1" s="372"/>
    <row r="80" ht="15.75" customHeight="1" s="372"/>
    <row r="81" ht="15.75" customHeight="1" s="372"/>
    <row r="82" ht="15.75" customHeight="1" s="372"/>
    <row r="83" ht="15.75" customHeight="1" s="372"/>
    <row r="84" ht="15.75" customHeight="1" s="372"/>
    <row r="85" ht="15.75" customHeight="1" s="372"/>
    <row r="86" ht="15.75" customHeight="1" s="372"/>
    <row r="87" ht="15.75" customHeight="1" s="372"/>
    <row r="88" ht="15.75" customHeight="1" s="372"/>
    <row r="89" ht="15.75" customHeight="1" s="372"/>
    <row r="90" ht="15.75" customHeight="1" s="372"/>
    <row r="91" ht="15.75" customHeight="1" s="372"/>
    <row r="92" ht="15.75" customHeight="1" s="372"/>
    <row r="93" ht="15.75" customHeight="1" s="372"/>
    <row r="94" ht="15.75" customHeight="1" s="372"/>
    <row r="95" ht="15.75" customHeight="1" s="372"/>
    <row r="96" ht="15.75" customHeight="1" s="372"/>
    <row r="97" ht="15.75" customHeight="1" s="372"/>
    <row r="98" ht="15.75" customHeight="1" s="372"/>
    <row r="99" ht="15.75" customHeight="1" s="372"/>
    <row r="100" ht="15.75" customHeight="1" s="372"/>
    <row r="101" ht="15.75" customHeight="1" s="372"/>
    <row r="102" ht="15.75" customHeight="1" s="372"/>
    <row r="103" ht="15.75" customHeight="1" s="372"/>
    <row r="104" ht="15.75" customHeight="1" s="372"/>
    <row r="105" ht="15.75" customHeight="1" s="372"/>
    <row r="106" ht="15.75" customHeight="1" s="372"/>
    <row r="107" ht="15.75" customHeight="1" s="372"/>
    <row r="108" ht="15.75" customHeight="1" s="372"/>
    <row r="109" ht="15.75" customHeight="1" s="372"/>
    <row r="110" ht="15.75" customHeight="1" s="372"/>
    <row r="111" ht="15.75" customHeight="1" s="372"/>
    <row r="112" ht="15.75" customHeight="1" s="372"/>
    <row r="113" ht="15.75" customHeight="1" s="372"/>
    <row r="114" ht="15.75" customHeight="1" s="372"/>
    <row r="115" ht="15.75" customHeight="1" s="372"/>
    <row r="116" ht="15.75" customHeight="1" s="372"/>
    <row r="117" ht="15.75" customHeight="1" s="372"/>
    <row r="118" ht="15.75" customHeight="1" s="372"/>
    <row r="119" ht="15.75" customHeight="1" s="372"/>
    <row r="120" ht="15.75" customHeight="1" s="372"/>
    <row r="121" ht="15.75" customHeight="1" s="372"/>
    <row r="122" ht="15.75" customHeight="1" s="372"/>
    <row r="123" ht="15.75" customHeight="1" s="372"/>
    <row r="124" ht="15.75" customHeight="1" s="372"/>
    <row r="125" ht="15.75" customHeight="1" s="372"/>
    <row r="126" ht="15.75" customHeight="1" s="372"/>
    <row r="127" ht="15.75" customHeight="1" s="372"/>
    <row r="128" ht="15.75" customHeight="1" s="372"/>
    <row r="129" ht="15.75" customHeight="1" s="372"/>
    <row r="130" ht="15.75" customHeight="1" s="372"/>
    <row r="131" ht="15.75" customHeight="1" s="372"/>
    <row r="132" ht="15.75" customHeight="1" s="372"/>
    <row r="133" ht="15.75" customHeight="1" s="372"/>
    <row r="134" ht="15.75" customHeight="1" s="372"/>
    <row r="135" ht="15.75" customHeight="1" s="372"/>
    <row r="136" ht="15.75" customHeight="1" s="372"/>
    <row r="137" ht="15.75" customHeight="1" s="372"/>
    <row r="138" ht="15.75" customHeight="1" s="372"/>
    <row r="139" ht="15.75" customHeight="1" s="372"/>
    <row r="140" ht="15.75" customHeight="1" s="372"/>
    <row r="141" ht="15.75" customHeight="1" s="372"/>
    <row r="142" ht="15.75" customHeight="1" s="372"/>
    <row r="143" ht="15.75" customHeight="1" s="372"/>
    <row r="144" ht="15.75" customHeight="1" s="372"/>
    <row r="145" ht="15.75" customHeight="1" s="372"/>
    <row r="146" ht="15.75" customHeight="1" s="372"/>
    <row r="147" ht="15.75" customHeight="1" s="372"/>
    <row r="148" ht="15.75" customHeight="1" s="372"/>
    <row r="149" ht="15.75" customHeight="1" s="372"/>
    <row r="150" ht="15.75" customHeight="1" s="372"/>
    <row r="151" ht="15.75" customHeight="1" s="372"/>
    <row r="152" ht="15.75" customHeight="1" s="372"/>
    <row r="153" ht="15.75" customHeight="1" s="372"/>
    <row r="154" ht="15.75" customHeight="1" s="372"/>
    <row r="155" ht="15.75" customHeight="1" s="372"/>
    <row r="156" ht="15.75" customHeight="1" s="372"/>
    <row r="157" ht="15.75" customHeight="1" s="372"/>
    <row r="158" ht="15.75" customHeight="1" s="372"/>
    <row r="159" ht="15.75" customHeight="1" s="372"/>
    <row r="160" ht="15.75" customHeight="1" s="372"/>
    <row r="161" ht="15.75" customHeight="1" s="372"/>
    <row r="162" ht="15.75" customHeight="1" s="372"/>
    <row r="163" ht="15.75" customHeight="1" s="372"/>
    <row r="164" ht="15.75" customHeight="1" s="372"/>
    <row r="165" ht="15.75" customHeight="1" s="372"/>
    <row r="166" ht="15.75" customHeight="1" s="372"/>
    <row r="167" ht="15.75" customHeight="1" s="372"/>
    <row r="168" ht="15.75" customHeight="1" s="372"/>
    <row r="169" ht="15.75" customHeight="1" s="372"/>
    <row r="170" ht="15.75" customHeight="1" s="372"/>
    <row r="171" ht="15.75" customHeight="1" s="372"/>
    <row r="172" ht="15.75" customHeight="1" s="372"/>
    <row r="173" ht="15.75" customHeight="1" s="372"/>
    <row r="174" ht="15.75" customHeight="1" s="372"/>
    <row r="175" ht="15.75" customHeight="1" s="372"/>
    <row r="176" ht="15.75" customHeight="1" s="372"/>
    <row r="177" ht="15.75" customHeight="1" s="372"/>
    <row r="178" ht="15.75" customHeight="1" s="372"/>
    <row r="179" ht="15.75" customHeight="1" s="372"/>
    <row r="180" ht="15.75" customHeight="1" s="372"/>
    <row r="181" ht="15.75" customHeight="1" s="372"/>
    <row r="182" ht="15.75" customHeight="1" s="372"/>
    <row r="183" ht="15.75" customHeight="1" s="372"/>
    <row r="184" ht="15.75" customHeight="1" s="372"/>
    <row r="185" ht="15.75" customHeight="1" s="372"/>
    <row r="186" ht="15.75" customHeight="1" s="372"/>
    <row r="187" ht="15.75" customHeight="1" s="372"/>
    <row r="188" ht="15.75" customHeight="1" s="372"/>
    <row r="189" ht="15.75" customHeight="1" s="372"/>
    <row r="190" ht="15.75" customHeight="1" s="372"/>
    <row r="191" ht="15.75" customHeight="1" s="372"/>
    <row r="192" ht="15.75" customHeight="1" s="372"/>
    <row r="193" ht="15.75" customHeight="1" s="372"/>
    <row r="194" ht="15.75" customHeight="1" s="372"/>
    <row r="195" ht="15.75" customHeight="1" s="372"/>
    <row r="196" ht="15.75" customHeight="1" s="372"/>
    <row r="197" ht="15.75" customHeight="1" s="372"/>
    <row r="198" ht="15.75" customHeight="1" s="372"/>
    <row r="199" ht="15.75" customHeight="1" s="372"/>
    <row r="200" ht="15.75" customHeight="1" s="372"/>
    <row r="201" ht="15.75" customHeight="1" s="372"/>
    <row r="202" ht="15.75" customHeight="1" s="372"/>
    <row r="203" ht="15.75" customHeight="1" s="372"/>
    <row r="204" ht="15.75" customHeight="1" s="372"/>
    <row r="205" ht="15.75" customHeight="1" s="372"/>
    <row r="206" ht="15.75" customHeight="1" s="372"/>
    <row r="207" ht="15.75" customHeight="1" s="372"/>
    <row r="208" ht="15.75" customHeight="1" s="372"/>
    <row r="209" ht="15.75" customHeight="1" s="372"/>
    <row r="210" ht="15.75" customHeight="1" s="372"/>
    <row r="211" ht="15.75" customHeight="1" s="372"/>
    <row r="212" ht="15.75" customHeight="1" s="372"/>
    <row r="213" ht="15.75" customHeight="1" s="372"/>
    <row r="214" ht="15.75" customHeight="1" s="372"/>
    <row r="215" ht="15.75" customHeight="1" s="372"/>
    <row r="216" ht="15.75" customHeight="1" s="372"/>
    <row r="217" ht="15.75" customHeight="1" s="372"/>
    <row r="218" ht="15.75" customHeight="1" s="372"/>
    <row r="219" ht="15.75" customHeight="1" s="372"/>
    <row r="220" ht="15.75" customHeight="1" s="372"/>
    <row r="221" ht="15.75" customHeight="1" s="372"/>
    <row r="222" ht="15.75" customHeight="1" s="372"/>
    <row r="223" ht="15.75" customHeight="1" s="372"/>
    <row r="224" ht="15.75" customHeight="1" s="372"/>
    <row r="225" ht="15.75" customHeight="1" s="372"/>
    <row r="226" ht="15.75" customHeight="1" s="372"/>
    <row r="227" ht="15.75" customHeight="1" s="372"/>
    <row r="228" ht="15.75" customHeight="1" s="372"/>
    <row r="229" ht="15.75" customHeight="1" s="372"/>
    <row r="230" ht="15.75" customHeight="1" s="372"/>
    <row r="231" ht="15.75" customHeight="1" s="372"/>
    <row r="232" ht="15.75" customHeight="1" s="372"/>
    <row r="233" ht="15.75" customHeight="1" s="372"/>
    <row r="234" ht="15.75" customHeight="1" s="372"/>
    <row r="235" ht="15.75" customHeight="1" s="372"/>
    <row r="236" ht="15.75" customHeight="1" s="372"/>
    <row r="237" ht="15.75" customHeight="1" s="372"/>
    <row r="238" ht="15.75" customHeight="1" s="372"/>
    <row r="239" ht="15.75" customHeight="1" s="372"/>
    <row r="240" ht="15.75" customHeight="1" s="372"/>
    <row r="241" ht="15.75" customHeight="1" s="372"/>
    <row r="242" ht="15.75" customHeight="1" s="372"/>
    <row r="243" ht="15.75" customHeight="1" s="372"/>
    <row r="244" ht="15.75" customHeight="1" s="372"/>
    <row r="245" ht="15.75" customHeight="1" s="372"/>
    <row r="246" ht="15.75" customHeight="1" s="372"/>
    <row r="247" ht="15.75" customHeight="1" s="372"/>
    <row r="248" ht="15.75" customHeight="1" s="372"/>
    <row r="249" ht="15.75" customHeight="1" s="372"/>
    <row r="250" ht="15.75" customHeight="1" s="372"/>
    <row r="251" ht="15.75" customHeight="1" s="372"/>
    <row r="252" ht="15.75" customHeight="1" s="372"/>
    <row r="253" ht="15.75" customHeight="1" s="372"/>
    <row r="254" ht="15.75" customHeight="1" s="372"/>
    <row r="255" ht="15.75" customHeight="1" s="372"/>
    <row r="256" ht="15.75" customHeight="1" s="372"/>
    <row r="257" ht="15.75" customHeight="1" s="372"/>
    <row r="258" ht="15.75" customHeight="1" s="372"/>
    <row r="259" ht="15.75" customHeight="1" s="372"/>
    <row r="260" ht="15.75" customHeight="1" s="372"/>
    <row r="261" ht="15.75" customHeight="1" s="372"/>
    <row r="262" ht="15.75" customHeight="1" s="372"/>
    <row r="263" ht="15.75" customHeight="1" s="372"/>
    <row r="264" ht="15.75" customHeight="1" s="372"/>
    <row r="265" ht="15.75" customHeight="1" s="372"/>
    <row r="266" ht="15.75" customHeight="1" s="372"/>
    <row r="267" ht="15.75" customHeight="1" s="372"/>
    <row r="268" ht="15.75" customHeight="1" s="372"/>
    <row r="269" ht="15.75" customHeight="1" s="372"/>
    <row r="270" ht="15.75" customHeight="1" s="372"/>
    <row r="271" ht="15.75" customHeight="1" s="372"/>
    <row r="272" ht="15.75" customHeight="1" s="372"/>
    <row r="273" ht="15.75" customHeight="1" s="372"/>
    <row r="274" ht="15.75" customHeight="1" s="372"/>
    <row r="275" ht="15.75" customHeight="1" s="372"/>
    <row r="276" ht="15.75" customHeight="1" s="372"/>
    <row r="277" ht="15.75" customHeight="1" s="372"/>
    <row r="278" ht="15.75" customHeight="1" s="372"/>
    <row r="279" ht="15.75" customHeight="1" s="372"/>
    <row r="280" ht="15.75" customHeight="1" s="372"/>
    <row r="281" ht="15.75" customHeight="1" s="372"/>
    <row r="282" ht="15.75" customHeight="1" s="372"/>
    <row r="283" ht="15.75" customHeight="1" s="372"/>
    <row r="284" ht="15.75" customHeight="1" s="372"/>
    <row r="285" ht="15.75" customHeight="1" s="372"/>
    <row r="286" ht="15.75" customHeight="1" s="372"/>
    <row r="287" ht="15.75" customHeight="1" s="372"/>
    <row r="288" ht="15.75" customHeight="1" s="372"/>
    <row r="289" ht="15.75" customHeight="1" s="372"/>
    <row r="290" ht="15.75" customHeight="1" s="372"/>
    <row r="291" ht="15.75" customHeight="1" s="372"/>
    <row r="292" ht="15.75" customHeight="1" s="372"/>
    <row r="293" ht="15.75" customHeight="1" s="372"/>
    <row r="294" ht="15.75" customHeight="1" s="372"/>
    <row r="295" ht="15.75" customHeight="1" s="372"/>
    <row r="296" ht="15.75" customHeight="1" s="372"/>
    <row r="297" ht="15.75" customHeight="1" s="372"/>
    <row r="298" ht="15.75" customHeight="1" s="372"/>
    <row r="299" ht="15.75" customHeight="1" s="372"/>
    <row r="300" ht="15.75" customHeight="1" s="372"/>
    <row r="301" ht="15.75" customHeight="1" s="372"/>
    <row r="302" ht="15.75" customHeight="1" s="372"/>
    <row r="303" ht="15.75" customHeight="1" s="372"/>
    <row r="304" ht="15.75" customHeight="1" s="372"/>
    <row r="305" ht="15.75" customHeight="1" s="372"/>
    <row r="306" ht="15.75" customHeight="1" s="372"/>
    <row r="307" ht="15.75" customHeight="1" s="372"/>
    <row r="308" ht="15.75" customHeight="1" s="372"/>
    <row r="309" ht="15.75" customHeight="1" s="372"/>
    <row r="310" ht="15.75" customHeight="1" s="372"/>
    <row r="311" ht="15.75" customHeight="1" s="372"/>
    <row r="312" ht="15.75" customHeight="1" s="372"/>
    <row r="313" ht="15.75" customHeight="1" s="372"/>
    <row r="314" ht="15.75" customHeight="1" s="372"/>
    <row r="315" ht="15.75" customHeight="1" s="372"/>
    <row r="316" ht="15.75" customHeight="1" s="372"/>
    <row r="317" ht="15.75" customHeight="1" s="372"/>
    <row r="318" ht="15.75" customHeight="1" s="372"/>
    <row r="319" ht="15.75" customHeight="1" s="372"/>
    <row r="320" ht="15.75" customHeight="1" s="372"/>
    <row r="321" ht="15.75" customHeight="1" s="372"/>
    <row r="322" ht="15.75" customHeight="1" s="372"/>
    <row r="323" ht="15.75" customHeight="1" s="372"/>
    <row r="324" ht="15.75" customHeight="1" s="372"/>
    <row r="325" ht="15.75" customHeight="1" s="372"/>
    <row r="326" ht="15.75" customHeight="1" s="372"/>
    <row r="327" ht="15.75" customHeight="1" s="372"/>
    <row r="328" ht="15.75" customHeight="1" s="372"/>
    <row r="329" ht="15.75" customHeight="1" s="372"/>
    <row r="330" ht="15.75" customHeight="1" s="372"/>
    <row r="331" ht="15.75" customHeight="1" s="372"/>
    <row r="332" ht="15.75" customHeight="1" s="372"/>
    <row r="333" ht="15.75" customHeight="1" s="372"/>
    <row r="334" ht="15.75" customHeight="1" s="372"/>
    <row r="335" ht="15.75" customHeight="1" s="372"/>
    <row r="336" ht="15.75" customHeight="1" s="372"/>
    <row r="337" ht="15.75" customHeight="1" s="372"/>
    <row r="338" ht="15.75" customHeight="1" s="372"/>
    <row r="339" ht="15.75" customHeight="1" s="372"/>
    <row r="340" ht="15.75" customHeight="1" s="372"/>
    <row r="341" ht="15.75" customHeight="1" s="372"/>
    <row r="342" ht="15.75" customHeight="1" s="372"/>
    <row r="343" ht="15.75" customHeight="1" s="372"/>
    <row r="344" ht="15.75" customHeight="1" s="372"/>
    <row r="345" ht="15.75" customHeight="1" s="372"/>
    <row r="346" ht="15.75" customHeight="1" s="372"/>
    <row r="347" ht="15.75" customHeight="1" s="372"/>
    <row r="348" ht="15.75" customHeight="1" s="372"/>
    <row r="349" ht="15.75" customHeight="1" s="372"/>
    <row r="350" ht="15.75" customHeight="1" s="372"/>
    <row r="351" ht="15.75" customHeight="1" s="372"/>
    <row r="352" ht="15.75" customHeight="1" s="372"/>
    <row r="353" ht="15.75" customHeight="1" s="372"/>
    <row r="354" ht="15.75" customHeight="1" s="372"/>
    <row r="355" ht="15.75" customHeight="1" s="372"/>
    <row r="356" ht="15.75" customHeight="1" s="372"/>
    <row r="357" ht="15.75" customHeight="1" s="372"/>
    <row r="358" ht="15.75" customHeight="1" s="372"/>
    <row r="359" ht="15.75" customHeight="1" s="372"/>
    <row r="360" ht="15.75" customHeight="1" s="372"/>
    <row r="361" ht="15.75" customHeight="1" s="372"/>
    <row r="362" ht="15.75" customHeight="1" s="372"/>
    <row r="363" ht="15.75" customHeight="1" s="372"/>
    <row r="364" ht="15.75" customHeight="1" s="372"/>
    <row r="365" ht="15.75" customHeight="1" s="372"/>
    <row r="366" ht="15.75" customHeight="1" s="372"/>
    <row r="367" ht="15.75" customHeight="1" s="372"/>
    <row r="368" ht="15.75" customHeight="1" s="372"/>
    <row r="369" ht="15.75" customHeight="1" s="372"/>
    <row r="370" ht="15.75" customHeight="1" s="372"/>
    <row r="371" ht="15.75" customHeight="1" s="372"/>
    <row r="372" ht="15.75" customHeight="1" s="372"/>
    <row r="373" ht="15.75" customHeight="1" s="372"/>
    <row r="374" ht="15.75" customHeight="1" s="372"/>
    <row r="375" ht="15.75" customHeight="1" s="372"/>
    <row r="376" ht="15.75" customHeight="1" s="372"/>
    <row r="377" ht="15.75" customHeight="1" s="372"/>
    <row r="378" ht="15.75" customHeight="1" s="372"/>
    <row r="379" ht="15.75" customHeight="1" s="372"/>
    <row r="380" ht="15.75" customHeight="1" s="372"/>
    <row r="381" ht="15.75" customHeight="1" s="372"/>
    <row r="382" ht="15.75" customHeight="1" s="372"/>
    <row r="383" ht="15.75" customHeight="1" s="372"/>
    <row r="384" ht="15.75" customHeight="1" s="372"/>
    <row r="385" ht="15.75" customHeight="1" s="372"/>
    <row r="386" ht="15.75" customHeight="1" s="372"/>
    <row r="387" ht="15.75" customHeight="1" s="372"/>
    <row r="388" ht="15.75" customHeight="1" s="372"/>
    <row r="389" ht="15.75" customHeight="1" s="372"/>
    <row r="390" ht="15.75" customHeight="1" s="372"/>
    <row r="391" ht="15.75" customHeight="1" s="372"/>
    <row r="392" ht="15.75" customHeight="1" s="372"/>
    <row r="393" ht="15.75" customHeight="1" s="372"/>
    <row r="394" ht="15.75" customHeight="1" s="372"/>
    <row r="395" ht="15.75" customHeight="1" s="372"/>
    <row r="396" ht="15.75" customHeight="1" s="372"/>
    <row r="397" ht="15.75" customHeight="1" s="372"/>
    <row r="398" ht="15.75" customHeight="1" s="372"/>
    <row r="399" ht="15.75" customHeight="1" s="372"/>
    <row r="400" ht="15.75" customHeight="1" s="372"/>
    <row r="401" ht="15.75" customHeight="1" s="372"/>
    <row r="402" ht="15.75" customHeight="1" s="372"/>
    <row r="403" ht="15.75" customHeight="1" s="372"/>
    <row r="404" ht="15.75" customHeight="1" s="372"/>
    <row r="405" ht="15.75" customHeight="1" s="372"/>
    <row r="406" ht="15.75" customHeight="1" s="372"/>
    <row r="407" ht="15.75" customHeight="1" s="372"/>
    <row r="408" ht="15.75" customHeight="1" s="372"/>
    <row r="409" ht="15.75" customHeight="1" s="372"/>
    <row r="410" ht="15.75" customHeight="1" s="372"/>
    <row r="411" ht="15.75" customHeight="1" s="372"/>
    <row r="412" ht="15.75" customHeight="1" s="372"/>
    <row r="413" ht="15.75" customHeight="1" s="372"/>
    <row r="414" ht="15.75" customHeight="1" s="372"/>
    <row r="415" ht="15.75" customHeight="1" s="372"/>
    <row r="416" ht="15.75" customHeight="1" s="372"/>
    <row r="417" ht="15.75" customHeight="1" s="372"/>
    <row r="418" ht="15.75" customHeight="1" s="372"/>
    <row r="419" ht="15.75" customHeight="1" s="372"/>
    <row r="420" ht="15.75" customHeight="1" s="372"/>
    <row r="421" ht="15.75" customHeight="1" s="372"/>
    <row r="422" ht="15.75" customHeight="1" s="372"/>
    <row r="423" ht="15.75" customHeight="1" s="372"/>
    <row r="424" ht="15.75" customHeight="1" s="372"/>
    <row r="425" ht="15.75" customHeight="1" s="372"/>
    <row r="426" ht="15.75" customHeight="1" s="372"/>
    <row r="427" ht="15.75" customHeight="1" s="372"/>
    <row r="428" ht="15.75" customHeight="1" s="372"/>
    <row r="429" ht="15.75" customHeight="1" s="372"/>
    <row r="430" ht="15.75" customHeight="1" s="372"/>
    <row r="431" ht="15.75" customHeight="1" s="372"/>
    <row r="432" ht="15.75" customHeight="1" s="372"/>
    <row r="433" ht="15.75" customHeight="1" s="372"/>
    <row r="434" ht="15.75" customHeight="1" s="372"/>
    <row r="435" ht="15.75" customHeight="1" s="372"/>
    <row r="436" ht="15.75" customHeight="1" s="372"/>
    <row r="437" ht="15.75" customHeight="1" s="372"/>
    <row r="438" ht="15.75" customHeight="1" s="372"/>
    <row r="439" ht="15.75" customHeight="1" s="372"/>
    <row r="440" ht="15.75" customHeight="1" s="372"/>
    <row r="441" ht="15.75" customHeight="1" s="372"/>
    <row r="442" ht="15.75" customHeight="1" s="372"/>
    <row r="443" ht="15.75" customHeight="1" s="372"/>
    <row r="444" ht="15.75" customHeight="1" s="372"/>
    <row r="445" ht="15.75" customHeight="1" s="372"/>
    <row r="446" ht="15.75" customHeight="1" s="372"/>
    <row r="447" ht="15.75" customHeight="1" s="372"/>
    <row r="448" ht="15.75" customHeight="1" s="372"/>
    <row r="449" ht="15.75" customHeight="1" s="372"/>
    <row r="450" ht="15.75" customHeight="1" s="372"/>
    <row r="451" ht="15.75" customHeight="1" s="372"/>
    <row r="452" ht="15.75" customHeight="1" s="372"/>
    <row r="453" ht="15.75" customHeight="1" s="372"/>
    <row r="454" ht="15.75" customHeight="1" s="372"/>
    <row r="455" ht="15.75" customHeight="1" s="372"/>
    <row r="456" ht="15.75" customHeight="1" s="372"/>
    <row r="457" ht="15.75" customHeight="1" s="372"/>
    <row r="458" ht="15.75" customHeight="1" s="372"/>
    <row r="459" ht="15.75" customHeight="1" s="372"/>
    <row r="460" ht="15.75" customHeight="1" s="372"/>
    <row r="461" ht="15.75" customHeight="1" s="372"/>
    <row r="462" ht="15.75" customHeight="1" s="372"/>
    <row r="463" ht="15.75" customHeight="1" s="372"/>
    <row r="464" ht="15.75" customHeight="1" s="372"/>
    <row r="465" ht="15.75" customHeight="1" s="372"/>
    <row r="466" ht="15.75" customHeight="1" s="372"/>
    <row r="467" ht="15.75" customHeight="1" s="372"/>
    <row r="468" ht="15.75" customHeight="1" s="372"/>
    <row r="469" ht="15.75" customHeight="1" s="372"/>
    <row r="470" ht="15.75" customHeight="1" s="372"/>
    <row r="471" ht="15.75" customHeight="1" s="372"/>
    <row r="472" ht="15.75" customHeight="1" s="372"/>
    <row r="473" ht="15.75" customHeight="1" s="372"/>
    <row r="474" ht="15.75" customHeight="1" s="372"/>
    <row r="475" ht="15.75" customHeight="1" s="372"/>
    <row r="476" ht="15.75" customHeight="1" s="372"/>
    <row r="477" ht="15.75" customHeight="1" s="372"/>
    <row r="478" ht="15.75" customHeight="1" s="372"/>
    <row r="479" ht="15.75" customHeight="1" s="372"/>
    <row r="480" ht="15.75" customHeight="1" s="372"/>
    <row r="481" ht="15.75" customHeight="1" s="372"/>
    <row r="482" ht="15.75" customHeight="1" s="372"/>
    <row r="483" ht="15.75" customHeight="1" s="372"/>
    <row r="484" ht="15.75" customHeight="1" s="372"/>
    <row r="485" ht="15.75" customHeight="1" s="372"/>
    <row r="486" ht="15.75" customHeight="1" s="372"/>
    <row r="487" ht="15.75" customHeight="1" s="372"/>
    <row r="488" ht="15.75" customHeight="1" s="372"/>
    <row r="489" ht="15.75" customHeight="1" s="372"/>
    <row r="490" ht="15.75" customHeight="1" s="372"/>
    <row r="491" ht="15.75" customHeight="1" s="372"/>
    <row r="492" ht="15.75" customHeight="1" s="372"/>
    <row r="493" ht="15.75" customHeight="1" s="372"/>
    <row r="494" ht="15.75" customHeight="1" s="372"/>
    <row r="495" ht="15.75" customHeight="1" s="372"/>
    <row r="496" ht="15.75" customHeight="1" s="372"/>
    <row r="497" ht="15.75" customHeight="1" s="372"/>
    <row r="498" ht="15.75" customHeight="1" s="372"/>
    <row r="499" ht="15.75" customHeight="1" s="372"/>
    <row r="500" ht="15.75" customHeight="1" s="372"/>
    <row r="501" ht="15.75" customHeight="1" s="372"/>
    <row r="502" ht="15.75" customHeight="1" s="372"/>
    <row r="503" ht="15.75" customHeight="1" s="372"/>
    <row r="504" ht="15.75" customHeight="1" s="372"/>
    <row r="505" ht="15.75" customHeight="1" s="372"/>
    <row r="506" ht="15.75" customHeight="1" s="372"/>
    <row r="507" ht="15.75" customHeight="1" s="372"/>
    <row r="508" ht="15.75" customHeight="1" s="372"/>
    <row r="509" ht="15.75" customHeight="1" s="372"/>
    <row r="510" ht="15.75" customHeight="1" s="372"/>
    <row r="511" ht="15.75" customHeight="1" s="372"/>
    <row r="512" ht="15.75" customHeight="1" s="372"/>
    <row r="513" ht="15.75" customHeight="1" s="372"/>
    <row r="514" ht="15.75" customHeight="1" s="372"/>
    <row r="515" ht="15.75" customHeight="1" s="372"/>
    <row r="516" ht="15.75" customHeight="1" s="372"/>
    <row r="517" ht="15.75" customHeight="1" s="372"/>
    <row r="518" ht="15.75" customHeight="1" s="372"/>
    <row r="519" ht="15.75" customHeight="1" s="372"/>
    <row r="520" ht="15.75" customHeight="1" s="372"/>
    <row r="521" ht="15.75" customHeight="1" s="372"/>
    <row r="522" ht="15.75" customHeight="1" s="372"/>
    <row r="523" ht="15.75" customHeight="1" s="372"/>
    <row r="524" ht="15.75" customHeight="1" s="372"/>
    <row r="525" ht="15.75" customHeight="1" s="372"/>
    <row r="526" ht="15.75" customHeight="1" s="372"/>
    <row r="527" ht="15.75" customHeight="1" s="372"/>
    <row r="528" ht="15.75" customHeight="1" s="372"/>
    <row r="529" ht="15.75" customHeight="1" s="372"/>
    <row r="530" ht="15.75" customHeight="1" s="372"/>
    <row r="531" ht="15.75" customHeight="1" s="372"/>
    <row r="532" ht="15.75" customHeight="1" s="372"/>
    <row r="533" ht="15.75" customHeight="1" s="372"/>
    <row r="534" ht="15.75" customHeight="1" s="372"/>
    <row r="535" ht="15.75" customHeight="1" s="372"/>
    <row r="536" ht="15.75" customHeight="1" s="372"/>
    <row r="537" ht="15.75" customHeight="1" s="372"/>
    <row r="538" ht="15.75" customHeight="1" s="372"/>
    <row r="539" ht="15.75" customHeight="1" s="372"/>
    <row r="540" ht="15.75" customHeight="1" s="372"/>
    <row r="541" ht="15.75" customHeight="1" s="372"/>
    <row r="542" ht="15.75" customHeight="1" s="372"/>
    <row r="543" ht="15.75" customHeight="1" s="372"/>
    <row r="544" ht="15.75" customHeight="1" s="372"/>
    <row r="545" ht="15.75" customHeight="1" s="372"/>
    <row r="546" ht="15.75" customHeight="1" s="372"/>
    <row r="547" ht="15.75" customHeight="1" s="372"/>
    <row r="548" ht="15.75" customHeight="1" s="372"/>
    <row r="549" ht="15.75" customHeight="1" s="372"/>
    <row r="550" ht="15.75" customHeight="1" s="372"/>
    <row r="551" ht="15.75" customHeight="1" s="372"/>
    <row r="552" ht="15.75" customHeight="1" s="372"/>
    <row r="553" ht="15.75" customHeight="1" s="372"/>
    <row r="554" ht="15.75" customHeight="1" s="372"/>
    <row r="555" ht="15.75" customHeight="1" s="372"/>
    <row r="556" ht="15.75" customHeight="1" s="372"/>
    <row r="557" ht="15.75" customHeight="1" s="372"/>
    <row r="558" ht="15.75" customHeight="1" s="372"/>
    <row r="559" ht="15.75" customHeight="1" s="372"/>
    <row r="560" ht="15.75" customHeight="1" s="372"/>
    <row r="561" ht="15.75" customHeight="1" s="372"/>
    <row r="562" ht="15.75" customHeight="1" s="372"/>
    <row r="563" ht="15.75" customHeight="1" s="372"/>
    <row r="564" ht="15.75" customHeight="1" s="372"/>
    <row r="565" ht="15.75" customHeight="1" s="372"/>
    <row r="566" ht="15.75" customHeight="1" s="372"/>
    <row r="567" ht="15.75" customHeight="1" s="372"/>
    <row r="568" ht="15.75" customHeight="1" s="372"/>
    <row r="569" ht="15.75" customHeight="1" s="372"/>
    <row r="570" ht="15.75" customHeight="1" s="372"/>
    <row r="571" ht="15.75" customHeight="1" s="372"/>
    <row r="572" ht="15.75" customHeight="1" s="372"/>
    <row r="573" ht="15.75" customHeight="1" s="372"/>
    <row r="574" ht="15.75" customHeight="1" s="372"/>
    <row r="575" ht="15.75" customHeight="1" s="372"/>
    <row r="576" ht="15.75" customHeight="1" s="372"/>
    <row r="577" ht="15.75" customHeight="1" s="372"/>
    <row r="578" ht="15.75" customHeight="1" s="372"/>
    <row r="579" ht="15.75" customHeight="1" s="372"/>
    <row r="580" ht="15.75" customHeight="1" s="372"/>
    <row r="581" ht="15.75" customHeight="1" s="372"/>
    <row r="582" ht="15.75" customHeight="1" s="372"/>
    <row r="583" ht="15.75" customHeight="1" s="372"/>
    <row r="584" ht="15.75" customHeight="1" s="372"/>
    <row r="585" ht="15.75" customHeight="1" s="372"/>
    <row r="586" ht="15.75" customHeight="1" s="372"/>
    <row r="587" ht="15.75" customHeight="1" s="372"/>
    <row r="588" ht="15.75" customHeight="1" s="372"/>
    <row r="589" ht="15.75" customHeight="1" s="372"/>
    <row r="590" ht="15.75" customHeight="1" s="372"/>
    <row r="591" ht="15.75" customHeight="1" s="372"/>
    <row r="592" ht="15.75" customHeight="1" s="372"/>
    <row r="593" ht="15.75" customHeight="1" s="372"/>
    <row r="594" ht="15.75" customHeight="1" s="372"/>
    <row r="595" ht="15.75" customHeight="1" s="372"/>
    <row r="596" ht="15.75" customHeight="1" s="372"/>
    <row r="597" ht="15.75" customHeight="1" s="372"/>
    <row r="598" ht="15.75" customHeight="1" s="372"/>
    <row r="599" ht="15.75" customHeight="1" s="372"/>
    <row r="600" ht="15.75" customHeight="1" s="372"/>
    <row r="601" ht="15.75" customHeight="1" s="372"/>
    <row r="602" ht="15.75" customHeight="1" s="372"/>
    <row r="603" ht="15.75" customHeight="1" s="372"/>
    <row r="604" ht="15.75" customHeight="1" s="372"/>
    <row r="605" ht="15.75" customHeight="1" s="372"/>
    <row r="606" ht="15.75" customHeight="1" s="372"/>
    <row r="607" ht="15.75" customHeight="1" s="372"/>
    <row r="608" ht="15.75" customHeight="1" s="372"/>
    <row r="609" ht="15.75" customHeight="1" s="372"/>
    <row r="610" ht="15.75" customHeight="1" s="372"/>
    <row r="611" ht="15.75" customHeight="1" s="372"/>
    <row r="612" ht="15.75" customHeight="1" s="372"/>
    <row r="613" ht="15.75" customHeight="1" s="372"/>
    <row r="614" ht="15.75" customHeight="1" s="372"/>
    <row r="615" ht="15.75" customHeight="1" s="372"/>
    <row r="616" ht="15.75" customHeight="1" s="372"/>
    <row r="617" ht="15.75" customHeight="1" s="372"/>
    <row r="618" ht="15.75" customHeight="1" s="372"/>
    <row r="619" ht="15.75" customHeight="1" s="372"/>
    <row r="620" ht="15.75" customHeight="1" s="372"/>
    <row r="621" ht="15.75" customHeight="1" s="372"/>
    <row r="622" ht="15.75" customHeight="1" s="372"/>
    <row r="623" ht="15.75" customHeight="1" s="372"/>
    <row r="624" ht="15.75" customHeight="1" s="372"/>
    <row r="625" ht="15.75" customHeight="1" s="372"/>
    <row r="626" ht="15.75" customHeight="1" s="372"/>
    <row r="627" ht="15.75" customHeight="1" s="372"/>
    <row r="628" ht="15.75" customHeight="1" s="372"/>
    <row r="629" ht="15.75" customHeight="1" s="372"/>
    <row r="630" ht="15.75" customHeight="1" s="372"/>
    <row r="631" ht="15.75" customHeight="1" s="372"/>
    <row r="632" ht="15.75" customHeight="1" s="372"/>
    <row r="633" ht="15.75" customHeight="1" s="372"/>
    <row r="634" ht="15.75" customHeight="1" s="372"/>
    <row r="635" ht="15.75" customHeight="1" s="372"/>
    <row r="636" ht="15.75" customHeight="1" s="372"/>
    <row r="637" ht="15.75" customHeight="1" s="372"/>
    <row r="638" ht="15.75" customHeight="1" s="372"/>
    <row r="639" ht="15.75" customHeight="1" s="372"/>
    <row r="640" ht="15.75" customHeight="1" s="372"/>
    <row r="641" ht="15.75" customHeight="1" s="372"/>
    <row r="642" ht="15.75" customHeight="1" s="372"/>
    <row r="643" ht="15.75" customHeight="1" s="372"/>
    <row r="644" ht="15.75" customHeight="1" s="372"/>
    <row r="645" ht="15.75" customHeight="1" s="372"/>
    <row r="646" ht="15.75" customHeight="1" s="372"/>
    <row r="647" ht="15.75" customHeight="1" s="372"/>
    <row r="648" ht="15.75" customHeight="1" s="372"/>
    <row r="649" ht="15.75" customHeight="1" s="372"/>
    <row r="650" ht="15.75" customHeight="1" s="372"/>
    <row r="651" ht="15.75" customHeight="1" s="372"/>
    <row r="652" ht="15.75" customHeight="1" s="372"/>
    <row r="653" ht="15.75" customHeight="1" s="372"/>
    <row r="654" ht="15.75" customHeight="1" s="372"/>
    <row r="655" ht="15.75" customHeight="1" s="372"/>
    <row r="656" ht="15.75" customHeight="1" s="372"/>
    <row r="657" ht="15.75" customHeight="1" s="372"/>
    <row r="658" ht="15.75" customHeight="1" s="372"/>
    <row r="659" ht="15.75" customHeight="1" s="372"/>
    <row r="660" ht="15.75" customHeight="1" s="372"/>
    <row r="661" ht="15.75" customHeight="1" s="372"/>
    <row r="662" ht="15.75" customHeight="1" s="372"/>
    <row r="663" ht="15.75" customHeight="1" s="372"/>
    <row r="664" ht="15.75" customHeight="1" s="372"/>
    <row r="665" ht="15.75" customHeight="1" s="372"/>
    <row r="666" ht="15.75" customHeight="1" s="372"/>
    <row r="667" ht="15.75" customHeight="1" s="372"/>
    <row r="668" ht="15.75" customHeight="1" s="372"/>
    <row r="669" ht="15.75" customHeight="1" s="372"/>
    <row r="670" ht="15.75" customHeight="1" s="372"/>
    <row r="671" ht="15.75" customHeight="1" s="372"/>
    <row r="672" ht="15.75" customHeight="1" s="372"/>
    <row r="673" ht="15.75" customHeight="1" s="372"/>
    <row r="674" ht="15.75" customHeight="1" s="372"/>
    <row r="675" ht="15.75" customHeight="1" s="372"/>
    <row r="676" ht="15.75" customHeight="1" s="372"/>
    <row r="677" ht="15.75" customHeight="1" s="372"/>
    <row r="678" ht="15.75" customHeight="1" s="372"/>
    <row r="679" ht="15.75" customHeight="1" s="372"/>
    <row r="680" ht="15.75" customHeight="1" s="372"/>
    <row r="681" ht="15.75" customHeight="1" s="372"/>
    <row r="682" ht="15.75" customHeight="1" s="372"/>
    <row r="683" ht="15.75" customHeight="1" s="372"/>
    <row r="684" ht="15.75" customHeight="1" s="372"/>
    <row r="685" ht="15.75" customHeight="1" s="372"/>
    <row r="686" ht="15.75" customHeight="1" s="372"/>
    <row r="687" ht="15.75" customHeight="1" s="372"/>
    <row r="688" ht="15.75" customHeight="1" s="372"/>
    <row r="689" ht="15.75" customHeight="1" s="372"/>
    <row r="690" ht="15.75" customHeight="1" s="372"/>
    <row r="691" ht="15.75" customHeight="1" s="372"/>
    <row r="692" ht="15.75" customHeight="1" s="372"/>
    <row r="693" ht="15.75" customHeight="1" s="372"/>
    <row r="694" ht="15.75" customHeight="1" s="372"/>
    <row r="695" ht="15.75" customHeight="1" s="372"/>
    <row r="696" ht="15.75" customHeight="1" s="372"/>
    <row r="697" ht="15.75" customHeight="1" s="372"/>
    <row r="698" ht="15.75" customHeight="1" s="372"/>
    <row r="699" ht="15.75" customHeight="1" s="372"/>
    <row r="700" ht="15.75" customHeight="1" s="372"/>
    <row r="701" ht="15.75" customHeight="1" s="372"/>
    <row r="702" ht="15.75" customHeight="1" s="372"/>
    <row r="703" ht="15.75" customHeight="1" s="372"/>
    <row r="704" ht="15.75" customHeight="1" s="372"/>
    <row r="705" ht="15.75" customHeight="1" s="372"/>
    <row r="706" ht="15.75" customHeight="1" s="372"/>
    <row r="707" ht="15.75" customHeight="1" s="372"/>
    <row r="708" ht="15.75" customHeight="1" s="372"/>
    <row r="709" ht="15.75" customHeight="1" s="372"/>
    <row r="710" ht="15.75" customHeight="1" s="372"/>
    <row r="711" ht="15.75" customHeight="1" s="372"/>
    <row r="712" ht="15.75" customHeight="1" s="372"/>
    <row r="713" ht="15.75" customHeight="1" s="372"/>
    <row r="714" ht="15.75" customHeight="1" s="372"/>
    <row r="715" ht="15.75" customHeight="1" s="372"/>
    <row r="716" ht="15.75" customHeight="1" s="372"/>
    <row r="717" ht="15.75" customHeight="1" s="372"/>
    <row r="718" ht="15.75" customHeight="1" s="372"/>
    <row r="719" ht="15.75" customHeight="1" s="372"/>
    <row r="720" ht="15.75" customHeight="1" s="372"/>
    <row r="721" ht="15.75" customHeight="1" s="372"/>
    <row r="722" ht="15.75" customHeight="1" s="372"/>
    <row r="723" ht="15.75" customHeight="1" s="372"/>
    <row r="724" ht="15.75" customHeight="1" s="372"/>
    <row r="725" ht="15.75" customHeight="1" s="372"/>
    <row r="726" ht="15.75" customHeight="1" s="372"/>
    <row r="727" ht="15.75" customHeight="1" s="372"/>
    <row r="728" ht="15.75" customHeight="1" s="372"/>
    <row r="729" ht="15.75" customHeight="1" s="372"/>
    <row r="730" ht="15.75" customHeight="1" s="372"/>
    <row r="731" ht="15.75" customHeight="1" s="372"/>
    <row r="732" ht="15.75" customHeight="1" s="372"/>
    <row r="733" ht="15.75" customHeight="1" s="372"/>
    <row r="734" ht="15.75" customHeight="1" s="372"/>
    <row r="735" ht="15.75" customHeight="1" s="372"/>
    <row r="736" ht="15.75" customHeight="1" s="372"/>
    <row r="737" ht="15.75" customHeight="1" s="372"/>
    <row r="738" ht="15.75" customHeight="1" s="372"/>
    <row r="739" ht="15.75" customHeight="1" s="372"/>
    <row r="740" ht="15.75" customHeight="1" s="372"/>
    <row r="741" ht="15.75" customHeight="1" s="372"/>
    <row r="742" ht="15.75" customHeight="1" s="372"/>
    <row r="743" ht="15.75" customHeight="1" s="372"/>
    <row r="744" ht="15.75" customHeight="1" s="372"/>
    <row r="745" ht="15.75" customHeight="1" s="372"/>
    <row r="746" ht="15.75" customHeight="1" s="372"/>
    <row r="747" ht="15.75" customHeight="1" s="372"/>
    <row r="748" ht="15.75" customHeight="1" s="372"/>
    <row r="749" ht="15.75" customHeight="1" s="372"/>
    <row r="750" ht="15.75" customHeight="1" s="372"/>
    <row r="751" ht="15.75" customHeight="1" s="372"/>
    <row r="752" ht="15.75" customHeight="1" s="372"/>
    <row r="753" ht="15.75" customHeight="1" s="372"/>
    <row r="754" ht="15.75" customHeight="1" s="372"/>
    <row r="755" ht="15.75" customHeight="1" s="372"/>
    <row r="756" ht="15.75" customHeight="1" s="372"/>
    <row r="757" ht="15.75" customHeight="1" s="372"/>
    <row r="758" ht="15.75" customHeight="1" s="372"/>
    <row r="759" ht="15.75" customHeight="1" s="372"/>
    <row r="760" ht="15.75" customHeight="1" s="372"/>
    <row r="761" ht="15.75" customHeight="1" s="372"/>
    <row r="762" ht="15.75" customHeight="1" s="372"/>
    <row r="763" ht="15.75" customHeight="1" s="372"/>
    <row r="764" ht="15.75" customHeight="1" s="372"/>
    <row r="765" ht="15.75" customHeight="1" s="372"/>
    <row r="766" ht="15.75" customHeight="1" s="372"/>
    <row r="767" ht="15.75" customHeight="1" s="372"/>
    <row r="768" ht="15.75" customHeight="1" s="372"/>
    <row r="769" ht="15.75" customHeight="1" s="372"/>
    <row r="770" ht="15.75" customHeight="1" s="372"/>
    <row r="771" ht="15.75" customHeight="1" s="372"/>
    <row r="772" ht="15.75" customHeight="1" s="372"/>
    <row r="773" ht="15.75" customHeight="1" s="372"/>
    <row r="774" ht="15.75" customHeight="1" s="372"/>
    <row r="775" ht="15.75" customHeight="1" s="372"/>
    <row r="776" ht="15.75" customHeight="1" s="372"/>
    <row r="777" ht="15.75" customHeight="1" s="372"/>
    <row r="778" ht="15.75" customHeight="1" s="372"/>
    <row r="779" ht="15.75" customHeight="1" s="372"/>
    <row r="780" ht="15.75" customHeight="1" s="372"/>
    <row r="781" ht="15.75" customHeight="1" s="372"/>
    <row r="782" ht="15.75" customHeight="1" s="372"/>
    <row r="783" ht="15.75" customHeight="1" s="372"/>
    <row r="784" ht="15.75" customHeight="1" s="372"/>
    <row r="785" ht="15.75" customHeight="1" s="372"/>
    <row r="786" ht="15.75" customHeight="1" s="372"/>
    <row r="787" ht="15.75" customHeight="1" s="372"/>
    <row r="788" ht="15.75" customHeight="1" s="372"/>
    <row r="789" ht="15.75" customHeight="1" s="372"/>
    <row r="790" ht="15.75" customHeight="1" s="372"/>
    <row r="791" ht="15.75" customHeight="1" s="372"/>
    <row r="792" ht="15.75" customHeight="1" s="372"/>
    <row r="793" ht="15.75" customHeight="1" s="372"/>
    <row r="794" ht="15.75" customHeight="1" s="372"/>
    <row r="795" ht="15.75" customHeight="1" s="372"/>
    <row r="796" ht="15.75" customHeight="1" s="372"/>
    <row r="797" ht="15.75" customHeight="1" s="372"/>
    <row r="798" ht="15.75" customHeight="1" s="372"/>
    <row r="799" ht="15.75" customHeight="1" s="372"/>
    <row r="800" ht="15.75" customHeight="1" s="372"/>
    <row r="801" ht="15.75" customHeight="1" s="372"/>
    <row r="802" ht="15.75" customHeight="1" s="372"/>
    <row r="803" ht="15.75" customHeight="1" s="372"/>
    <row r="804" ht="15.75" customHeight="1" s="372"/>
    <row r="805" ht="15.75" customHeight="1" s="372"/>
    <row r="806" ht="15.75" customHeight="1" s="372"/>
    <row r="807" ht="15.75" customHeight="1" s="372"/>
    <row r="808" ht="15.75" customHeight="1" s="372"/>
    <row r="809" ht="15.75" customHeight="1" s="372"/>
    <row r="810" ht="15.75" customHeight="1" s="372"/>
    <row r="811" ht="15.75" customHeight="1" s="372"/>
    <row r="812" ht="15.75" customHeight="1" s="372"/>
    <row r="813" ht="15.75" customHeight="1" s="372"/>
    <row r="814" ht="15.75" customHeight="1" s="372"/>
    <row r="815" ht="15.75" customHeight="1" s="372"/>
    <row r="816" ht="15.75" customHeight="1" s="372"/>
    <row r="817" ht="15.75" customHeight="1" s="372"/>
    <row r="818" ht="15.75" customHeight="1" s="372"/>
    <row r="819" ht="15.75" customHeight="1" s="372"/>
    <row r="820" ht="15.75" customHeight="1" s="372"/>
    <row r="821" ht="15.75" customHeight="1" s="372"/>
    <row r="822" ht="15.75" customHeight="1" s="372"/>
    <row r="823" ht="15.75" customHeight="1" s="372"/>
    <row r="824" ht="15.75" customHeight="1" s="372"/>
    <row r="825" ht="15.75" customHeight="1" s="372"/>
    <row r="826" ht="15.75" customHeight="1" s="372"/>
    <row r="827" ht="15.75" customHeight="1" s="372"/>
    <row r="828" ht="15.75" customHeight="1" s="372"/>
    <row r="829" ht="15.75" customHeight="1" s="372"/>
    <row r="830" ht="15.75" customHeight="1" s="372"/>
    <row r="831" ht="15.75" customHeight="1" s="372"/>
    <row r="832" ht="15.75" customHeight="1" s="372"/>
    <row r="833" ht="15.75" customHeight="1" s="372"/>
    <row r="834" ht="15.75" customHeight="1" s="372"/>
    <row r="835" ht="15.75" customHeight="1" s="372"/>
    <row r="836" ht="15.75" customHeight="1" s="372"/>
    <row r="837" ht="15.75" customHeight="1" s="372"/>
    <row r="838" ht="15.75" customHeight="1" s="372"/>
    <row r="839" ht="15.75" customHeight="1" s="372"/>
    <row r="840" ht="15.75" customHeight="1" s="372"/>
    <row r="841" ht="15.75" customHeight="1" s="372"/>
    <row r="842" ht="15.75" customHeight="1" s="372"/>
    <row r="843" ht="15.75" customHeight="1" s="372"/>
    <row r="844" ht="15.75" customHeight="1" s="372"/>
    <row r="845" ht="15.75" customHeight="1" s="372"/>
    <row r="846" ht="15.75" customHeight="1" s="372"/>
    <row r="847" ht="15.75" customHeight="1" s="372"/>
    <row r="848" ht="15.75" customHeight="1" s="372"/>
    <row r="849" ht="15.75" customHeight="1" s="372"/>
    <row r="850" ht="15.75" customHeight="1" s="372"/>
    <row r="851" ht="15.75" customHeight="1" s="372"/>
    <row r="852" ht="15.75" customHeight="1" s="372"/>
    <row r="853" ht="15.75" customHeight="1" s="372"/>
    <row r="854" ht="15.75" customHeight="1" s="372"/>
    <row r="855" ht="15.75" customHeight="1" s="372"/>
    <row r="856" ht="15.75" customHeight="1" s="372"/>
    <row r="857" ht="15.75" customHeight="1" s="372"/>
    <row r="858" ht="15.75" customHeight="1" s="372"/>
    <row r="859" ht="15.75" customHeight="1" s="372"/>
    <row r="860" ht="15.75" customHeight="1" s="372"/>
    <row r="861" ht="15.75" customHeight="1" s="372"/>
    <row r="862" ht="15.75" customHeight="1" s="372"/>
    <row r="863" ht="15.75" customHeight="1" s="372"/>
    <row r="864" ht="15.75" customHeight="1" s="372"/>
    <row r="865" ht="15.75" customHeight="1" s="372"/>
    <row r="866" ht="15.75" customHeight="1" s="372"/>
    <row r="867" ht="15.75" customHeight="1" s="372"/>
    <row r="868" ht="15.75" customHeight="1" s="372"/>
    <row r="869" ht="15.75" customHeight="1" s="372"/>
    <row r="870" ht="15.75" customHeight="1" s="372"/>
    <row r="871" ht="15.75" customHeight="1" s="372"/>
    <row r="872" ht="15.75" customHeight="1" s="372"/>
    <row r="873" ht="15.75" customHeight="1" s="372"/>
    <row r="874" ht="15.75" customHeight="1" s="372"/>
    <row r="875" ht="15.75" customHeight="1" s="372"/>
    <row r="876" ht="15.75" customHeight="1" s="372"/>
    <row r="877" ht="15.75" customHeight="1" s="372"/>
    <row r="878" ht="15.75" customHeight="1" s="372"/>
    <row r="879" ht="15.75" customHeight="1" s="372"/>
    <row r="880" ht="15.75" customHeight="1" s="372"/>
    <row r="881" ht="15.75" customHeight="1" s="372"/>
    <row r="882" ht="15.75" customHeight="1" s="372"/>
    <row r="883" ht="15.75" customHeight="1" s="372"/>
    <row r="884" ht="15.75" customHeight="1" s="372"/>
    <row r="885" ht="15.75" customHeight="1" s="372"/>
    <row r="886" ht="15.75" customHeight="1" s="372"/>
    <row r="887" ht="15.75" customHeight="1" s="372"/>
    <row r="888" ht="15.75" customHeight="1" s="372"/>
    <row r="889" ht="15.75" customHeight="1" s="372"/>
    <row r="890" ht="15.75" customHeight="1" s="372"/>
    <row r="891" ht="15.75" customHeight="1" s="372"/>
    <row r="892" ht="15.75" customHeight="1" s="372"/>
    <row r="893" ht="15.75" customHeight="1" s="372"/>
    <row r="894" ht="15.75" customHeight="1" s="372"/>
    <row r="895" ht="15.75" customHeight="1" s="372"/>
    <row r="896" ht="15.75" customHeight="1" s="372"/>
    <row r="897" ht="15.75" customHeight="1" s="372"/>
    <row r="898" ht="15.75" customHeight="1" s="372"/>
    <row r="899" ht="15.75" customHeight="1" s="372"/>
    <row r="900" ht="15.75" customHeight="1" s="372"/>
    <row r="901" ht="15.75" customHeight="1" s="372"/>
    <row r="902" ht="15.75" customHeight="1" s="372"/>
    <row r="903" ht="15.75" customHeight="1" s="372"/>
    <row r="904" ht="15.75" customHeight="1" s="372"/>
    <row r="905" ht="15.75" customHeight="1" s="372"/>
    <row r="906" ht="15.75" customHeight="1" s="372"/>
    <row r="907" ht="15.75" customHeight="1" s="372"/>
    <row r="908" ht="15.75" customHeight="1" s="372"/>
    <row r="909" ht="15.75" customHeight="1" s="372"/>
    <row r="910" ht="15.75" customHeight="1" s="372"/>
    <row r="911" ht="15.75" customHeight="1" s="372"/>
    <row r="912" ht="15.75" customHeight="1" s="372"/>
    <row r="913" ht="15.75" customHeight="1" s="372"/>
    <row r="914" ht="15.75" customHeight="1" s="372"/>
    <row r="915" ht="15.75" customHeight="1" s="372"/>
    <row r="916" ht="15.75" customHeight="1" s="372"/>
    <row r="917" ht="15.75" customHeight="1" s="372"/>
    <row r="918" ht="15.75" customHeight="1" s="372"/>
    <row r="919" ht="15.75" customHeight="1" s="372"/>
    <row r="920" ht="15.75" customHeight="1" s="372"/>
    <row r="921" ht="15.75" customHeight="1" s="372"/>
    <row r="922" ht="15.75" customHeight="1" s="372"/>
    <row r="923" ht="15.75" customHeight="1" s="372"/>
    <row r="924" ht="15.75" customHeight="1" s="372"/>
    <row r="925" ht="15.75" customHeight="1" s="372"/>
    <row r="926" ht="15.75" customHeight="1" s="372"/>
    <row r="927" ht="15.75" customHeight="1" s="372"/>
    <row r="928" ht="15.75" customHeight="1" s="372"/>
    <row r="929" ht="15.75" customHeight="1" s="372"/>
    <row r="930" ht="15.75" customHeight="1" s="372"/>
    <row r="931" ht="15.75" customHeight="1" s="372"/>
    <row r="932" ht="15.75" customHeight="1" s="372"/>
    <row r="933" ht="15.75" customHeight="1" s="372"/>
    <row r="934" ht="15.75" customHeight="1" s="372"/>
    <row r="935" ht="15.75" customHeight="1" s="372"/>
    <row r="936" ht="15.75" customHeight="1" s="372"/>
    <row r="937" ht="15.75" customHeight="1" s="372"/>
    <row r="938" ht="15.75" customHeight="1" s="372"/>
    <row r="939" ht="15.75" customHeight="1" s="372"/>
    <row r="940" ht="15.75" customHeight="1" s="372"/>
    <row r="941" ht="15.75" customHeight="1" s="372"/>
    <row r="942" ht="15.75" customHeight="1" s="372"/>
    <row r="943" ht="15.75" customHeight="1" s="372"/>
    <row r="944" ht="15.75" customHeight="1" s="372"/>
    <row r="945" ht="15.75" customHeight="1" s="372"/>
    <row r="946" ht="15.75" customHeight="1" s="372"/>
    <row r="947" ht="15.75" customHeight="1" s="372"/>
    <row r="948" ht="15.75" customHeight="1" s="372"/>
    <row r="949" ht="15.75" customHeight="1" s="372"/>
    <row r="950" ht="15.75" customHeight="1" s="372"/>
    <row r="951" ht="15.75" customHeight="1" s="372"/>
    <row r="952" ht="15.75" customHeight="1" s="372"/>
    <row r="953" ht="15.75" customHeight="1" s="372"/>
    <row r="954" ht="15.75" customHeight="1" s="372"/>
    <row r="955" ht="15.75" customHeight="1" s="372"/>
    <row r="956" ht="15.75" customHeight="1" s="372"/>
    <row r="957" ht="15.75" customHeight="1" s="372"/>
    <row r="958" ht="15.75" customHeight="1" s="372"/>
    <row r="959" ht="15.75" customHeight="1" s="372"/>
    <row r="960" ht="15.75" customHeight="1" s="372"/>
    <row r="961" ht="15.75" customHeight="1" s="372"/>
    <row r="962" ht="15.75" customHeight="1" s="372"/>
    <row r="963" ht="15.75" customHeight="1" s="372"/>
    <row r="964" ht="15.75" customHeight="1" s="372"/>
    <row r="965" ht="15.75" customHeight="1" s="372"/>
    <row r="966" ht="15.75" customHeight="1" s="372"/>
    <row r="967" ht="15.75" customHeight="1" s="372"/>
    <row r="968" ht="15.75" customHeight="1" s="372"/>
    <row r="969" ht="15.75" customHeight="1" s="372"/>
    <row r="970" ht="15.75" customHeight="1" s="372"/>
    <row r="971" ht="15.75" customHeight="1" s="372"/>
    <row r="972" ht="15.75" customHeight="1" s="372"/>
    <row r="973" ht="15.75" customHeight="1" s="372"/>
    <row r="974" ht="15.75" customHeight="1" s="372"/>
    <row r="975" ht="15.75" customHeight="1" s="372"/>
    <row r="976" ht="15.75" customHeight="1" s="372"/>
    <row r="977" ht="15.75" customHeight="1" s="372"/>
    <row r="978" ht="15.75" customHeight="1" s="372"/>
    <row r="979" ht="15.75" customHeight="1" s="372"/>
    <row r="980" ht="15.75" customHeight="1" s="372"/>
    <row r="981" ht="15.75" customHeight="1" s="372"/>
    <row r="982" ht="15.75" customHeight="1" s="372"/>
    <row r="983" ht="15.75" customHeight="1" s="372"/>
    <row r="984" ht="15.75" customHeight="1" s="372"/>
    <row r="985" ht="15.75" customHeight="1" s="372"/>
    <row r="986" ht="15.75" customHeight="1" s="372"/>
    <row r="987" ht="15.75" customHeight="1" s="372"/>
    <row r="988" ht="15.75" customHeight="1" s="372"/>
    <row r="989" ht="15.75" customHeight="1" s="372"/>
    <row r="990" ht="15.75" customHeight="1" s="372"/>
    <row r="991" ht="15.75" customHeight="1" s="372"/>
    <row r="992" ht="15.75" customHeight="1" s="372"/>
    <row r="993" ht="15.75" customHeight="1" s="372"/>
    <row r="994" ht="15.75" customHeight="1" s="372"/>
    <row r="995" ht="15.75" customHeight="1" s="372"/>
    <row r="996" ht="15.75" customHeight="1" s="372"/>
    <row r="997" ht="15.75" customHeight="1" s="372"/>
    <row r="998" ht="15.75" customHeight="1" s="372"/>
    <row r="999" ht="15.75" customHeight="1" s="372"/>
    <row r="1000" ht="15.75" customHeight="1" s="372"/>
  </sheetData>
  <mergeCells count="7">
    <mergeCell ref="A9:D9"/>
    <mergeCell ref="H2:I2"/>
    <mergeCell ref="A1:M1"/>
    <mergeCell ref="E2:F2"/>
    <mergeCell ref="A2:D2"/>
    <mergeCell ref="A3:F3"/>
    <mergeCell ref="E9:F9"/>
  </mergeCells>
  <dataValidations count="3">
    <dataValidation sqref="D6:D8 D10:D30" showDropDown="0" showInputMessage="0" showErrorMessage="0" allowBlank="1" type="list">
      <formula1>"Observer,Participant,Leader"</formula1>
    </dataValidation>
    <dataValidation sqref="C6:C8 C10:C30" showDropDown="0" showInputMessage="0" showErrorMessage="0" allowBlank="1" type="list">
      <formula1>"Elementary,Middle,High,Central Office,Agency,Other"</formula1>
    </dataValidation>
    <dataValidation sqref="O6 O7 O8 O10 O11 O12 O13 O14 O15 O16 O17 O18 O19 O20 O21 O22 O23 O24 O25 O26 O27 O28 O29" showDropDown="0" showInputMessage="1" showErrorMessage="0" allowBlank="1" promptTitle="Completed" prompt="Choose Yes once you have finished this experience." type="list">
      <formula1>"Yes"</formula1>
    </dataValidation>
  </dataValidations>
  <pageMargins left="0.75" right="0.75" top="1" bottom="1" header="0" footer="0"/>
  <pageSetup orientation="portrait" paperSize="9"/>
</worksheet>
</file>

<file path=xl/worksheets/sheet10.xml><?xml version="1.0" encoding="utf-8"?>
<worksheet xmlns="http://schemas.openxmlformats.org/spreadsheetml/2006/main">
  <sheetPr>
    <tabColor rgb="FFFF0000"/>
    <outlinePr summaryBelow="1" summaryRight="1"/>
    <pageSetUpPr/>
  </sheetPr>
  <dimension ref="A1:Z31"/>
  <sheetViews>
    <sheetView workbookViewId="0">
      <pane ySplit="5" topLeftCell="A6" activePane="bottomLeft" state="frozen"/>
      <selection pane="bottomLeft" activeCell="B7" sqref="B7"/>
    </sheetView>
  </sheetViews>
  <sheetFormatPr baseColWidth="8" defaultColWidth="14.43" defaultRowHeight="15" customHeight="1"/>
  <cols>
    <col width="12" customWidth="1" style="372" min="1" max="2"/>
    <col width="14" customWidth="1" style="372" min="3" max="3"/>
    <col width="10" customWidth="1" style="372" min="4" max="4"/>
    <col width="55" customWidth="1" style="372" min="5" max="5"/>
    <col width="8" customWidth="1" style="372" min="6" max="6"/>
    <col width="5" customWidth="1" style="372" min="7" max="12"/>
    <col width="28" customWidth="1" style="372" min="13" max="13"/>
    <col width="29.71" customWidth="1" style="372" min="14" max="14"/>
    <col width="12" customWidth="1" style="372" min="15" max="26"/>
  </cols>
  <sheetData>
    <row r="1" ht="39.75" customHeight="1" s="372">
      <c r="A1" s="157" t="inlineStr">
        <is>
          <t>INTERNSHIP LOG  |  7813 – Educational Technology  |  Semester 5</t>
        </is>
      </c>
    </row>
    <row r="2" ht="36" customHeight="1" s="372">
      <c r="A2" s="19" t="inlineStr">
        <is>
          <t>Name: Pat Example      Placement(s): Invented Elementary</t>
        </is>
      </c>
      <c r="B2" s="373" t="n"/>
      <c r="C2" s="373" t="n"/>
      <c r="D2" s="373" t="n"/>
      <c r="E2" s="21" t="inlineStr">
        <is>
          <t>Total Hours Logged</t>
        </is>
      </c>
      <c r="F2" s="373" t="n"/>
      <c r="G2" s="22">
        <f>SUM(F6:F200)</f>
        <v/>
      </c>
      <c r="H2" s="23" t="inlineStr">
        <is>
          <t>Remaining</t>
        </is>
      </c>
      <c r="I2" s="373" t="n"/>
      <c r="J2" s="24">
        <f>(32-G2)</f>
        <v/>
      </c>
    </row>
    <row r="3" ht="19.5" customHeight="1" s="372">
      <c r="A3" s="25" t="inlineStr">
        <is>
          <t>Hours by Competency (auto-calculated from your X marks below):</t>
        </is>
      </c>
      <c r="G3" s="26">
        <f>SUMIF($G$6:$G$200,"X",$F$6:$F$200)</f>
        <v/>
      </c>
      <c r="H3" s="27">
        <f>SUMIF($H$6:$H$200,"X",$F$6:$F$200)</f>
        <v/>
      </c>
      <c r="I3" s="28">
        <f>SUMIF($I$6:$I$200,"X",$F$6:$F$200)</f>
        <v/>
      </c>
      <c r="J3" s="29">
        <f>SUMIF($J$6:$J$200,"X",$F$6:$F$200)</f>
        <v/>
      </c>
      <c r="K3" s="30">
        <f>SUMIF($K$6:$K$200,"X",$F$6:$F$200)</f>
        <v/>
      </c>
      <c r="L3" s="31">
        <f>SUMIF($L$6:$L$200,"X",$F$6:$F$200)</f>
        <v/>
      </c>
      <c r="M3" s="32" t="inlineStr">
        <is>
          <t>← Competency hour totals</t>
        </is>
      </c>
    </row>
    <row r="4" ht="6" customHeight="1" s="372"/>
    <row r="5" ht="31.5" customHeight="1" s="372">
      <c r="A5" s="33" t="inlineStr">
        <is>
          <t>Type</t>
        </is>
      </c>
      <c r="B5" s="33" t="inlineStr">
        <is>
          <t>Date</t>
        </is>
      </c>
      <c r="C5" s="33" t="inlineStr">
        <is>
          <t>Location</t>
        </is>
      </c>
      <c r="D5" s="33" t="inlineStr">
        <is>
          <t>Role</t>
        </is>
      </c>
      <c r="E5" s="33" t="inlineStr">
        <is>
          <t>Experience Description</t>
        </is>
      </c>
      <c r="F5" s="33" t="inlineStr">
        <is>
          <t>Hrs</t>
        </is>
      </c>
      <c r="G5" s="34" t="inlineStr">
        <is>
          <t>①</t>
        </is>
      </c>
      <c r="H5" s="35" t="inlineStr">
        <is>
          <t>②</t>
        </is>
      </c>
      <c r="I5" s="36" t="inlineStr">
        <is>
          <t>③</t>
        </is>
      </c>
      <c r="J5" s="37" t="inlineStr">
        <is>
          <t>④</t>
        </is>
      </c>
      <c r="K5" s="38" t="inlineStr">
        <is>
          <t>⑤</t>
        </is>
      </c>
      <c r="L5" s="39" t="inlineStr">
        <is>
          <t>⑥</t>
        </is>
      </c>
      <c r="M5" s="33" t="inlineStr">
        <is>
          <t>Evidence / Notes</t>
        </is>
      </c>
      <c r="N5" s="40" t="inlineStr">
        <is>
          <t>Site name</t>
        </is>
      </c>
      <c r="O5" s="40" t="inlineStr">
        <is>
          <t>Completed</t>
        </is>
      </c>
    </row>
    <row r="6" ht="49.5" customHeight="1" s="372">
      <c r="A6" s="41" t="inlineStr">
        <is>
          <t>EMBEDDED</t>
        </is>
      </c>
      <c r="B6" s="414" t="n">
        <v>46303</v>
      </c>
      <c r="C6" s="43" t="inlineStr">
        <is>
          <t>Main Site</t>
        </is>
      </c>
      <c r="D6" s="44" t="inlineStr">
        <is>
          <t>Participant</t>
        </is>
      </c>
      <c r="E6" s="45" t="inlineStr">
        <is>
          <t>Embedded Experience: System of Practice for the Leadership of Technology: Assess leadership practices for technology integration in your school. Develop a technology leadership action plan aligned to school improvement goals.</t>
        </is>
      </c>
      <c r="F6" s="46" t="n">
        <v>20</v>
      </c>
      <c r="G6" s="47" t="n"/>
      <c r="H6" s="48" t="n"/>
      <c r="I6" s="49" t="n"/>
      <c r="J6" s="50" t="inlineStr">
        <is>
          <t>X</t>
        </is>
      </c>
      <c r="K6" s="51" t="n"/>
      <c r="L6" s="52" t="n"/>
      <c r="M6" s="53" t="inlineStr">
        <is>
          <t>Submit: Assignment</t>
        </is>
      </c>
      <c r="N6" s="54" t="n"/>
      <c r="O6" s="54" t="inlineStr">
        <is>
          <t>Yes</t>
        </is>
      </c>
      <c r="P6" s="54" t="n"/>
      <c r="Q6" s="54" t="n"/>
      <c r="R6" s="54" t="n"/>
      <c r="S6" s="54" t="n"/>
      <c r="T6" s="54" t="n"/>
      <c r="U6" s="54" t="n"/>
      <c r="V6" s="54" t="n"/>
      <c r="W6" s="54" t="n"/>
      <c r="X6" s="54" t="n"/>
      <c r="Y6" s="54" t="n"/>
      <c r="Z6" s="54" t="n"/>
    </row>
    <row r="7" ht="45" customHeight="1" s="372">
      <c r="A7" s="55" t="inlineStr">
        <is>
          <t>ALIGNED</t>
        </is>
      </c>
      <c r="B7" s="410" t="n">
        <v>46304</v>
      </c>
      <c r="C7" s="57" t="inlineStr">
        <is>
          <t>Main Site</t>
        </is>
      </c>
      <c r="D7" s="57" t="inlineStr">
        <is>
          <t>Participant</t>
        </is>
      </c>
      <c r="E7" s="75" t="inlineStr">
        <is>
          <t>Aligned Experience: Technology Integration: Assist in integrating technology into lesson planning and delivery by collaborating with teachers to design tech-enhanced lessons.</t>
        </is>
      </c>
      <c r="F7" s="59" t="n">
        <v>5</v>
      </c>
      <c r="G7" s="47" t="n"/>
      <c r="H7" s="48" t="n"/>
      <c r="I7" s="49" t="n"/>
      <c r="J7" s="50" t="inlineStr">
        <is>
          <t>X</t>
        </is>
      </c>
      <c r="K7" s="51" t="n"/>
      <c r="L7" s="52" t="n"/>
      <c r="M7" s="60" t="inlineStr">
        <is>
          <t>Submit: Lesson Plans</t>
        </is>
      </c>
      <c r="N7" s="54" t="n"/>
      <c r="O7" s="54" t="inlineStr">
        <is>
          <t>Yes</t>
        </is>
      </c>
      <c r="P7" s="54" t="n"/>
      <c r="Q7" s="54" t="n"/>
      <c r="R7" s="54" t="n"/>
      <c r="S7" s="54" t="n"/>
      <c r="T7" s="54" t="n"/>
      <c r="U7" s="54" t="n"/>
      <c r="V7" s="54" t="n"/>
      <c r="W7" s="54" t="n"/>
      <c r="X7" s="54" t="n"/>
      <c r="Y7" s="54" t="n"/>
      <c r="Z7" s="54" t="n"/>
    </row>
    <row r="8" ht="45" customHeight="1" s="372">
      <c r="A8" s="55" t="inlineStr">
        <is>
          <t>ALIGNED</t>
        </is>
      </c>
      <c r="B8" s="410" t="n">
        <v>46305</v>
      </c>
      <c r="C8" s="57" t="inlineStr">
        <is>
          <t>Main Site</t>
        </is>
      </c>
      <c r="D8" s="57" t="inlineStr">
        <is>
          <t>Participant</t>
        </is>
      </c>
      <c r="E8" s="75" t="inlineStr">
        <is>
          <t>Aligned Experience: Digital Resource Audit: Conduct an audit of current technology resources available in your school and assess their alignment with instructional goals.</t>
        </is>
      </c>
      <c r="F8" s="59" t="n">
        <v>5</v>
      </c>
      <c r="G8" s="47" t="n"/>
      <c r="H8" s="48" t="n"/>
      <c r="I8" s="164" t="inlineStr">
        <is>
          <t>X</t>
        </is>
      </c>
      <c r="J8" s="160" t="n"/>
      <c r="K8" s="51" t="n"/>
      <c r="L8" s="52" t="n"/>
      <c r="M8" s="60" t="inlineStr">
        <is>
          <t>Submit: Audit Report</t>
        </is>
      </c>
      <c r="N8" s="54" t="n"/>
      <c r="O8" s="54" t="n"/>
      <c r="P8" s="54" t="n"/>
      <c r="Q8" s="54" t="n"/>
      <c r="R8" s="54" t="n"/>
      <c r="S8" s="54" t="n"/>
      <c r="T8" s="54" t="n"/>
      <c r="U8" s="54" t="n"/>
      <c r="V8" s="54" t="n"/>
      <c r="W8" s="54" t="n"/>
      <c r="X8" s="54" t="n"/>
      <c r="Y8" s="54" t="n"/>
      <c r="Z8" s="54" t="n"/>
    </row>
    <row r="9" ht="27.75" customHeight="1" s="372">
      <c r="A9" s="374" t="inlineStr">
        <is>
          <t>⭐  CHOICE HOURS  —  2 hours needed this semester</t>
        </is>
      </c>
      <c r="B9" s="375" t="n"/>
      <c r="C9" s="375" t="n"/>
      <c r="D9" s="376" t="n"/>
      <c r="E9" s="377">
        <f>IF(SUMIF(A10:A59,"CHOICE",F10:F59)&gt;=2,"✅ Choice Hours Met!","⚠ Still need: "&amp;(2-SUMIF(A10:A59,"CHOICE",F10:F59))&amp;" more hours")</f>
        <v/>
      </c>
      <c r="F9" s="376" t="n"/>
      <c r="G9" s="65" t="inlineStr">
        <is>
          <t>1. I</t>
        </is>
      </c>
      <c r="H9" s="66" t="inlineStr">
        <is>
          <t>2. O</t>
        </is>
      </c>
      <c r="I9" s="67" t="inlineStr">
        <is>
          <t>3. O</t>
        </is>
      </c>
      <c r="J9" s="68" t="inlineStr">
        <is>
          <t>4. S</t>
        </is>
      </c>
      <c r="K9" s="69" t="inlineStr">
        <is>
          <t>5. P</t>
        </is>
      </c>
      <c r="L9" s="70" t="inlineStr">
        <is>
          <t>6. A</t>
        </is>
      </c>
      <c r="M9" s="71" t="inlineStr">
        <is>
          <t>No evidence required for choice hours</t>
        </is>
      </c>
      <c r="N9" s="54" t="n"/>
      <c r="O9" s="54" t="n"/>
      <c r="P9" s="54" t="n"/>
      <c r="Q9" s="54" t="n"/>
      <c r="R9" s="54" t="n"/>
      <c r="S9" s="54" t="n"/>
      <c r="T9" s="54" t="n"/>
      <c r="U9" s="54" t="n"/>
      <c r="V9" s="54" t="n"/>
      <c r="W9" s="54" t="n"/>
      <c r="X9" s="54" t="n"/>
      <c r="Y9" s="54" t="n"/>
      <c r="Z9" s="54" t="n"/>
    </row>
    <row r="10" ht="34.5" customHeight="1" s="372">
      <c r="A10" s="72" t="inlineStr">
        <is>
          <t>CHOICE</t>
        </is>
      </c>
      <c r="B10" s="411" t="n">
        <v>46346</v>
      </c>
      <c r="C10" s="87" t="inlineStr">
        <is>
          <t>High</t>
        </is>
      </c>
      <c r="D10" s="87" t="inlineStr">
        <is>
          <t>Participant</t>
        </is>
      </c>
      <c r="E10" s="152" t="inlineStr">
        <is>
          <t>Lead a culture change initiative for the whole school with the leadership team and create an action plan</t>
        </is>
      </c>
      <c r="F10" s="153" t="n">
        <v>2</v>
      </c>
      <c r="G10" s="84" t="n"/>
      <c r="H10" s="154" t="n"/>
      <c r="I10" s="85" t="n"/>
      <c r="J10" s="80" t="n"/>
      <c r="K10" s="81" t="inlineStr">
        <is>
          <t>X</t>
        </is>
      </c>
      <c r="L10" s="82" t="n"/>
      <c r="M10" s="87" t="n"/>
      <c r="N10" s="54" t="n"/>
      <c r="O10" s="54" t="n"/>
      <c r="P10" s="54" t="n"/>
      <c r="Q10" s="54" t="n"/>
      <c r="R10" s="54" t="n"/>
      <c r="S10" s="54" t="n"/>
      <c r="T10" s="54" t="n"/>
      <c r="U10" s="54" t="n"/>
      <c r="V10" s="54" t="n"/>
      <c r="W10" s="54" t="n"/>
      <c r="X10" s="54" t="n"/>
      <c r="Y10" s="54" t="n"/>
      <c r="Z10" s="54" t="n"/>
    </row>
    <row r="11" ht="34.5" customHeight="1" s="372">
      <c r="A11" s="72" t="inlineStr">
        <is>
          <t>CHOICE</t>
        </is>
      </c>
      <c r="B11" s="87" t="n"/>
      <c r="C11" s="87" t="n"/>
      <c r="D11" s="87" t="n"/>
      <c r="E11" s="152" t="inlineStr">
        <is>
          <t>Copy and paste choice hours here. No activity may be more than three hours</t>
        </is>
      </c>
      <c r="F11" s="153" t="n"/>
      <c r="G11" s="84" t="n"/>
      <c r="H11" s="154" t="n"/>
      <c r="I11" s="85" t="n"/>
      <c r="J11" s="80" t="n"/>
      <c r="K11" s="81" t="n"/>
      <c r="L11" s="82" t="n"/>
      <c r="M11" s="87" t="n"/>
      <c r="N11" s="54" t="n"/>
      <c r="O11" s="54" t="n"/>
      <c r="P11" s="54" t="n"/>
      <c r="Q11" s="54" t="n"/>
      <c r="R11" s="54" t="n"/>
      <c r="S11" s="54" t="n"/>
      <c r="T11" s="54" t="n"/>
      <c r="U11" s="54" t="n"/>
      <c r="V11" s="54" t="n"/>
      <c r="W11" s="54" t="n"/>
      <c r="X11" s="54" t="n"/>
      <c r="Y11" s="54" t="n"/>
      <c r="Z11" s="54" t="n"/>
    </row>
    <row r="12" ht="34.5" customHeight="1" s="372">
      <c r="A12" s="72" t="inlineStr">
        <is>
          <t>CHOICE</t>
        </is>
      </c>
      <c r="B12" s="411" t="n">
        <v>46320</v>
      </c>
      <c r="C12" s="87" t="inlineStr">
        <is>
          <t>Middle</t>
        </is>
      </c>
      <c r="D12" s="87" t="inlineStr">
        <is>
          <t>Participant</t>
        </is>
      </c>
      <c r="E12" s="152" t="inlineStr">
        <is>
          <t>Instructional Technology PD: Organize and lead a professional development session on tech. (VDOE 1,3,4)</t>
        </is>
      </c>
      <c r="F12" s="153" t="n">
        <v>1</v>
      </c>
      <c r="G12" s="84" t="inlineStr">
        <is>
          <t>X</t>
        </is>
      </c>
      <c r="H12" s="154" t="n"/>
      <c r="I12" s="85" t="n"/>
      <c r="J12" s="80" t="n"/>
      <c r="K12" s="81" t="n"/>
      <c r="L12" s="82" t="n"/>
      <c r="M12" s="87" t="n"/>
      <c r="N12" s="54" t="n"/>
      <c r="O12" s="54" t="n"/>
      <c r="P12" s="54" t="n"/>
      <c r="Q12" s="54" t="n"/>
      <c r="R12" s="54" t="n"/>
      <c r="S12" s="54" t="n"/>
      <c r="T12" s="54" t="n"/>
      <c r="U12" s="54" t="n"/>
      <c r="V12" s="54" t="n"/>
      <c r="W12" s="54" t="n"/>
      <c r="X12" s="54" t="n"/>
      <c r="Y12" s="54" t="n"/>
      <c r="Z12" s="54" t="n"/>
    </row>
    <row r="13" ht="34.5" customHeight="1" s="372">
      <c r="A13" s="72" t="inlineStr">
        <is>
          <t>CHOICE</t>
        </is>
      </c>
      <c r="B13" s="87" t="n"/>
      <c r="C13" s="87" t="n"/>
      <c r="D13" s="87" t="n"/>
      <c r="E13" s="152" t="n"/>
      <c r="F13" s="153" t="n"/>
      <c r="G13" s="84" t="n"/>
      <c r="H13" s="154" t="n"/>
      <c r="I13" s="85" t="n"/>
      <c r="J13" s="80" t="n"/>
      <c r="K13" s="81" t="n"/>
      <c r="L13" s="82" t="n"/>
      <c r="M13" s="87" t="n"/>
      <c r="N13" s="54" t="n"/>
      <c r="O13" s="54" t="n"/>
      <c r="P13" s="54" t="n"/>
      <c r="Q13" s="54" t="n"/>
      <c r="R13" s="54" t="n"/>
      <c r="S13" s="54" t="n"/>
      <c r="T13" s="54" t="n"/>
      <c r="U13" s="54" t="n"/>
      <c r="V13" s="54" t="n"/>
      <c r="W13" s="54" t="n"/>
      <c r="X13" s="54" t="n"/>
      <c r="Y13" s="54" t="n"/>
      <c r="Z13" s="54" t="n"/>
    </row>
    <row r="14" ht="34.5" customHeight="1" s="372">
      <c r="A14" s="72" t="inlineStr">
        <is>
          <t>CHOICE</t>
        </is>
      </c>
      <c r="B14" s="87" t="n"/>
      <c r="C14" s="87" t="n"/>
      <c r="D14" s="87" t="n"/>
      <c r="E14" s="152" t="n"/>
      <c r="F14" s="153" t="n"/>
      <c r="G14" s="84" t="n"/>
      <c r="H14" s="154" t="n"/>
      <c r="I14" s="85" t="n"/>
      <c r="J14" s="80" t="n"/>
      <c r="K14" s="81" t="n"/>
      <c r="L14" s="82" t="n"/>
      <c r="M14" s="87" t="n"/>
      <c r="N14" s="54" t="n"/>
      <c r="O14" s="54" t="n"/>
      <c r="P14" s="54" t="n"/>
      <c r="Q14" s="54" t="n"/>
      <c r="R14" s="54" t="n"/>
      <c r="S14" s="54" t="n"/>
      <c r="T14" s="54" t="n"/>
      <c r="U14" s="54" t="n"/>
      <c r="V14" s="54" t="n"/>
      <c r="W14" s="54" t="n"/>
      <c r="X14" s="54" t="n"/>
      <c r="Y14" s="54" t="n"/>
      <c r="Z14" s="54" t="n"/>
    </row>
    <row r="15" ht="34.5" customHeight="1" s="372">
      <c r="A15" s="72" t="inlineStr">
        <is>
          <t>CHOICE</t>
        </is>
      </c>
      <c r="B15" s="87" t="n"/>
      <c r="C15" s="87" t="n"/>
      <c r="D15" s="87" t="n"/>
      <c r="E15" s="152" t="n"/>
      <c r="F15" s="153" t="n"/>
      <c r="G15" s="84" t="n"/>
      <c r="H15" s="154" t="n"/>
      <c r="I15" s="85" t="n"/>
      <c r="J15" s="80" t="n"/>
      <c r="K15" s="81" t="n"/>
      <c r="L15" s="82" t="n"/>
      <c r="M15" s="87" t="n"/>
      <c r="N15" s="54" t="n"/>
      <c r="O15" s="54" t="n"/>
      <c r="P15" s="54" t="n"/>
      <c r="Q15" s="54" t="n"/>
      <c r="R15" s="54" t="n"/>
      <c r="S15" s="54" t="n"/>
      <c r="T15" s="54" t="n"/>
      <c r="U15" s="54" t="n"/>
      <c r="V15" s="54" t="n"/>
      <c r="W15" s="54" t="n"/>
      <c r="X15" s="54" t="n"/>
      <c r="Y15" s="54" t="n"/>
      <c r="Z15" s="54" t="n"/>
    </row>
    <row r="16" ht="34.5" customHeight="1" s="372">
      <c r="A16" s="94" t="inlineStr">
        <is>
          <t>CHOICE</t>
        </is>
      </c>
      <c r="B16" s="95" t="n"/>
      <c r="C16" s="95" t="n"/>
      <c r="D16" s="95" t="n"/>
      <c r="E16" s="96" t="n"/>
      <c r="F16" s="97" t="n"/>
      <c r="G16" s="98" t="n"/>
      <c r="H16" s="99" t="n"/>
      <c r="I16" s="100" t="n"/>
      <c r="J16" s="101" t="n"/>
      <c r="K16" s="102" t="n"/>
      <c r="L16" s="103" t="n"/>
      <c r="M16" s="95" t="n"/>
    </row>
    <row r="17" ht="34.5" customHeight="1" s="372">
      <c r="A17" s="104" t="inlineStr">
        <is>
          <t>CHOICE</t>
        </is>
      </c>
      <c r="B17" s="105" t="n"/>
      <c r="C17" s="105" t="n"/>
      <c r="D17" s="105" t="n"/>
      <c r="E17" s="106" t="n"/>
      <c r="F17" s="107" t="n"/>
      <c r="G17" s="108" t="n"/>
      <c r="H17" s="109" t="n"/>
      <c r="I17" s="110" t="n"/>
      <c r="J17" s="111" t="n"/>
      <c r="K17" s="112" t="n"/>
      <c r="L17" s="113" t="n"/>
      <c r="M17" s="105" t="n"/>
    </row>
    <row r="18" ht="34.5" customHeight="1" s="372">
      <c r="A18" s="104" t="inlineStr">
        <is>
          <t>CHOICE</t>
        </is>
      </c>
      <c r="B18" s="105" t="n"/>
      <c r="C18" s="105" t="n"/>
      <c r="D18" s="105" t="n"/>
      <c r="E18" s="106" t="n"/>
      <c r="F18" s="107" t="n"/>
      <c r="G18" s="108" t="n"/>
      <c r="H18" s="109" t="n"/>
      <c r="I18" s="110" t="n"/>
      <c r="J18" s="111" t="n"/>
      <c r="K18" s="112" t="n"/>
      <c r="L18" s="113" t="n"/>
      <c r="M18" s="105" t="n"/>
    </row>
    <row r="19" ht="34.5" customHeight="1" s="372">
      <c r="A19" s="104" t="inlineStr">
        <is>
          <t>CHOICE</t>
        </is>
      </c>
      <c r="B19" s="105" t="n"/>
      <c r="C19" s="105" t="n"/>
      <c r="D19" s="105" t="n"/>
      <c r="E19" s="106" t="n"/>
      <c r="F19" s="107" t="n"/>
      <c r="G19" s="108" t="n"/>
      <c r="H19" s="109" t="n"/>
      <c r="I19" s="110" t="n"/>
      <c r="J19" s="111" t="n"/>
      <c r="K19" s="112" t="n"/>
      <c r="L19" s="113" t="n"/>
      <c r="M19" s="105" t="n"/>
    </row>
    <row r="20" ht="34.5" customHeight="1" s="372">
      <c r="A20" s="104" t="inlineStr">
        <is>
          <t>CHOICE</t>
        </is>
      </c>
      <c r="B20" s="105" t="n"/>
      <c r="C20" s="105" t="n"/>
      <c r="D20" s="105" t="n"/>
      <c r="E20" s="106" t="n"/>
      <c r="F20" s="107" t="n"/>
      <c r="G20" s="108" t="n"/>
      <c r="H20" s="109" t="n"/>
      <c r="I20" s="110" t="n"/>
      <c r="J20" s="111" t="n"/>
      <c r="K20" s="112" t="n"/>
      <c r="L20" s="113" t="n"/>
      <c r="M20" s="105" t="n"/>
    </row>
    <row r="21" ht="24.75" customHeight="1" s="372">
      <c r="A21" s="114" t="inlineStr">
        <is>
          <t>CHOICE</t>
        </is>
      </c>
      <c r="B21" s="105" t="n"/>
      <c r="C21" s="105" t="n"/>
      <c r="D21" s="105" t="n"/>
      <c r="E21" s="105" t="n"/>
      <c r="F21" s="105" t="n"/>
      <c r="G21" s="105" t="n"/>
      <c r="H21" s="105" t="n"/>
      <c r="I21" s="105" t="n"/>
      <c r="J21" s="105" t="n"/>
      <c r="K21" s="105" t="n"/>
      <c r="L21" s="105" t="n"/>
      <c r="M21" s="105" t="n"/>
    </row>
    <row r="22" ht="24.75" customHeight="1" s="372">
      <c r="A22" s="114" t="inlineStr">
        <is>
          <t>CHOICE</t>
        </is>
      </c>
      <c r="B22" s="105" t="n"/>
      <c r="C22" s="105" t="n"/>
      <c r="D22" s="105" t="n"/>
      <c r="E22" s="105" t="n"/>
      <c r="F22" s="105" t="n"/>
      <c r="G22" s="105" t="n"/>
      <c r="H22" s="105" t="n"/>
      <c r="I22" s="105" t="n"/>
      <c r="J22" s="105" t="n"/>
      <c r="K22" s="105" t="n"/>
      <c r="L22" s="105" t="n"/>
      <c r="M22" s="105" t="n"/>
    </row>
    <row r="23" ht="24.75" customHeight="1" s="372">
      <c r="A23" s="114" t="inlineStr">
        <is>
          <t>CHOICE</t>
        </is>
      </c>
      <c r="B23" s="105" t="n"/>
      <c r="C23" s="105" t="n"/>
      <c r="D23" s="105" t="n"/>
      <c r="E23" s="105" t="n"/>
      <c r="F23" s="105" t="n"/>
      <c r="G23" s="105" t="n"/>
      <c r="H23" s="105" t="n"/>
      <c r="I23" s="105" t="n"/>
      <c r="J23" s="105" t="n"/>
      <c r="K23" s="105" t="n"/>
      <c r="L23" s="105" t="n"/>
      <c r="M23" s="105" t="n"/>
    </row>
    <row r="24" ht="24.75" customHeight="1" s="372">
      <c r="A24" s="114" t="inlineStr">
        <is>
          <t>CHOICE</t>
        </is>
      </c>
      <c r="B24" s="105" t="n"/>
      <c r="C24" s="105" t="n"/>
      <c r="D24" s="105" t="n"/>
      <c r="E24" s="105" t="n"/>
      <c r="F24" s="105" t="n"/>
      <c r="G24" s="105" t="n"/>
      <c r="H24" s="105" t="n"/>
      <c r="I24" s="105" t="n"/>
      <c r="J24" s="105" t="n"/>
      <c r="K24" s="105" t="n"/>
      <c r="L24" s="105" t="n"/>
      <c r="M24" s="105" t="n"/>
    </row>
    <row r="25" ht="24.75" customHeight="1" s="372">
      <c r="A25" s="114" t="inlineStr">
        <is>
          <t>CHOICE</t>
        </is>
      </c>
      <c r="B25" s="105" t="n"/>
      <c r="C25" s="105" t="n"/>
      <c r="D25" s="105" t="n"/>
      <c r="E25" s="105" t="n"/>
      <c r="F25" s="105" t="n"/>
      <c r="G25" s="105" t="n"/>
      <c r="H25" s="105" t="n"/>
      <c r="I25" s="105" t="n"/>
      <c r="J25" s="105" t="n"/>
      <c r="K25" s="105" t="n"/>
      <c r="L25" s="105" t="n"/>
      <c r="M25" s="105" t="n"/>
    </row>
    <row r="26" ht="24.75" customHeight="1" s="372">
      <c r="A26" s="114" t="inlineStr">
        <is>
          <t>CHOICE</t>
        </is>
      </c>
      <c r="B26" s="105" t="n"/>
      <c r="C26" s="105" t="n"/>
      <c r="D26" s="105" t="n"/>
      <c r="E26" s="105" t="n"/>
      <c r="F26" s="105" t="n"/>
      <c r="G26" s="105" t="n"/>
      <c r="H26" s="105" t="n"/>
      <c r="I26" s="105" t="n"/>
      <c r="J26" s="105" t="n"/>
      <c r="K26" s="105" t="n"/>
      <c r="L26" s="105" t="n"/>
      <c r="M26" s="105" t="n"/>
    </row>
    <row r="27" ht="24.75" customHeight="1" s="372">
      <c r="A27" s="114" t="inlineStr">
        <is>
          <t>CHOICE</t>
        </is>
      </c>
      <c r="B27" s="105" t="n"/>
      <c r="C27" s="105" t="n"/>
      <c r="D27" s="105" t="n"/>
      <c r="E27" s="105" t="n"/>
      <c r="F27" s="105" t="n"/>
      <c r="G27" s="105" t="n"/>
      <c r="H27" s="105" t="n"/>
      <c r="I27" s="105" t="n"/>
      <c r="J27" s="105" t="n"/>
      <c r="K27" s="105" t="n"/>
      <c r="L27" s="105" t="n"/>
      <c r="M27" s="105" t="n"/>
    </row>
    <row r="28" ht="24.75" customHeight="1" s="372">
      <c r="A28" s="114" t="inlineStr">
        <is>
          <t>CHOICE</t>
        </is>
      </c>
      <c r="B28" s="105" t="n"/>
      <c r="C28" s="105" t="n"/>
      <c r="D28" s="105" t="n"/>
      <c r="E28" s="105" t="n"/>
      <c r="F28" s="105" t="n"/>
      <c r="G28" s="105" t="n"/>
      <c r="H28" s="105" t="n"/>
      <c r="I28" s="105" t="n"/>
      <c r="J28" s="105" t="n"/>
      <c r="K28" s="105" t="n"/>
      <c r="L28" s="105" t="n"/>
      <c r="M28" s="105" t="n"/>
    </row>
    <row r="29" ht="24.75" customHeight="1" s="372">
      <c r="A29" s="114" t="inlineStr">
        <is>
          <t>CHOICE</t>
        </is>
      </c>
      <c r="B29" s="105" t="n"/>
      <c r="C29" s="105" t="n"/>
      <c r="D29" s="105" t="n"/>
      <c r="E29" s="105" t="n"/>
      <c r="F29" s="105" t="n"/>
      <c r="G29" s="105" t="n"/>
      <c r="H29" s="105" t="n"/>
      <c r="I29" s="105" t="n"/>
      <c r="J29" s="105" t="n"/>
      <c r="K29" s="105" t="n"/>
      <c r="L29" s="105" t="n"/>
      <c r="M29" s="105" t="n"/>
    </row>
    <row r="30" ht="24.75" customHeight="1" s="372">
      <c r="A30" s="114" t="inlineStr">
        <is>
          <t>CHOICE</t>
        </is>
      </c>
      <c r="B30" s="105" t="n"/>
      <c r="C30" s="105" t="n"/>
      <c r="D30" s="105" t="n"/>
      <c r="E30" s="105" t="n"/>
      <c r="F30" s="105" t="n"/>
      <c r="G30" s="105" t="n"/>
      <c r="H30" s="105" t="n"/>
      <c r="I30" s="105" t="n"/>
      <c r="J30" s="105" t="n"/>
      <c r="K30" s="105" t="n"/>
      <c r="L30" s="105" t="n"/>
      <c r="M30" s="105" t="n"/>
    </row>
    <row r="31" ht="15.75" customHeight="1" s="372">
      <c r="C31" s="115" t="n"/>
      <c r="D31" s="115" t="n"/>
    </row>
    <row r="32" ht="15.75" customHeight="1" s="372"/>
    <row r="33" ht="15.75" customHeight="1" s="372"/>
    <row r="34" ht="15.75" customHeight="1" s="372"/>
    <row r="35" ht="15.75" customHeight="1" s="372"/>
    <row r="36" ht="15.75" customHeight="1" s="372"/>
    <row r="37" ht="15.75" customHeight="1" s="372"/>
    <row r="38" ht="15.75" customHeight="1" s="372"/>
    <row r="39" ht="15.75" customHeight="1" s="372"/>
    <row r="40" ht="15.75" customHeight="1" s="372"/>
    <row r="41" ht="15.75" customHeight="1" s="372"/>
    <row r="42" ht="15.75" customHeight="1" s="372"/>
    <row r="43" ht="15.75" customHeight="1" s="372"/>
    <row r="44" ht="15.75" customHeight="1" s="372"/>
    <row r="45" ht="15.75" customHeight="1" s="372"/>
    <row r="46" ht="15.75" customHeight="1" s="372"/>
    <row r="47" ht="15.75" customHeight="1" s="372"/>
    <row r="48" ht="15.75" customHeight="1" s="372"/>
    <row r="49" ht="15.75" customHeight="1" s="372"/>
    <row r="50" ht="15.75" customHeight="1" s="372"/>
    <row r="51" ht="15.75" customHeight="1" s="372"/>
    <row r="52" ht="15.75" customHeight="1" s="372"/>
    <row r="53" ht="15.75" customHeight="1" s="372"/>
    <row r="54" ht="15.75" customHeight="1" s="372"/>
    <row r="55" ht="15.75" customHeight="1" s="372"/>
    <row r="56" ht="15.75" customHeight="1" s="372"/>
    <row r="57" ht="15.75" customHeight="1" s="372"/>
    <row r="58" ht="15.75" customHeight="1" s="372"/>
    <row r="59" ht="15.75" customHeight="1" s="372"/>
    <row r="60" ht="15.75" customHeight="1" s="372"/>
    <row r="61" ht="15.75" customHeight="1" s="372"/>
    <row r="62" ht="15.75" customHeight="1" s="372"/>
    <row r="63" ht="15.75" customHeight="1" s="372"/>
    <row r="64" ht="15.75" customHeight="1" s="372"/>
    <row r="65" ht="15.75" customHeight="1" s="372"/>
    <row r="66" ht="15.75" customHeight="1" s="372"/>
    <row r="67" ht="15.75" customHeight="1" s="372"/>
    <row r="68" ht="15.75" customHeight="1" s="372"/>
    <row r="69" ht="15.75" customHeight="1" s="372"/>
    <row r="70" ht="15.75" customHeight="1" s="372"/>
    <row r="71" ht="15.75" customHeight="1" s="372"/>
    <row r="72" ht="15.75" customHeight="1" s="372"/>
    <row r="73" ht="15.75" customHeight="1" s="372"/>
    <row r="74" ht="15.75" customHeight="1" s="372"/>
    <row r="75" ht="15.75" customHeight="1" s="372"/>
    <row r="76" ht="15.75" customHeight="1" s="372"/>
    <row r="77" ht="15.75" customHeight="1" s="372"/>
    <row r="78" ht="15.75" customHeight="1" s="372"/>
    <row r="79" ht="15.75" customHeight="1" s="372"/>
    <row r="80" ht="15.75" customHeight="1" s="372"/>
    <row r="81" ht="15.75" customHeight="1" s="372"/>
    <row r="82" ht="15.75" customHeight="1" s="372"/>
    <row r="83" ht="15.75" customHeight="1" s="372"/>
    <row r="84" ht="15.75" customHeight="1" s="372"/>
    <row r="85" ht="15.75" customHeight="1" s="372"/>
    <row r="86" ht="15.75" customHeight="1" s="372"/>
    <row r="87" ht="15.75" customHeight="1" s="372"/>
    <row r="88" ht="15.75" customHeight="1" s="372"/>
    <row r="89" ht="15.75" customHeight="1" s="372"/>
    <row r="90" ht="15.75" customHeight="1" s="372"/>
    <row r="91" ht="15.75" customHeight="1" s="372"/>
    <row r="92" ht="15.75" customHeight="1" s="372"/>
    <row r="93" ht="15.75" customHeight="1" s="372"/>
    <row r="94" ht="15.75" customHeight="1" s="372"/>
    <row r="95" ht="15.75" customHeight="1" s="372"/>
    <row r="96" ht="15.75" customHeight="1" s="372"/>
    <row r="97" ht="15.75" customHeight="1" s="372"/>
    <row r="98" ht="15.75" customHeight="1" s="372"/>
    <row r="99" ht="15.75" customHeight="1" s="372"/>
    <row r="100" ht="15.75" customHeight="1" s="372"/>
    <row r="101" ht="15.75" customHeight="1" s="372"/>
    <row r="102" ht="15.75" customHeight="1" s="372"/>
    <row r="103" ht="15.75" customHeight="1" s="372"/>
    <row r="104" ht="15.75" customHeight="1" s="372"/>
    <row r="105" ht="15.75" customHeight="1" s="372"/>
    <row r="106" ht="15.75" customHeight="1" s="372"/>
    <row r="107" ht="15.75" customHeight="1" s="372"/>
    <row r="108" ht="15.75" customHeight="1" s="372"/>
    <row r="109" ht="15.75" customHeight="1" s="372"/>
    <row r="110" ht="15.75" customHeight="1" s="372"/>
    <row r="111" ht="15.75" customHeight="1" s="372"/>
    <row r="112" ht="15.75" customHeight="1" s="372"/>
    <row r="113" ht="15.75" customHeight="1" s="372"/>
    <row r="114" ht="15.75" customHeight="1" s="372"/>
    <row r="115" ht="15.75" customHeight="1" s="372"/>
    <row r="116" ht="15.75" customHeight="1" s="372"/>
    <row r="117" ht="15.75" customHeight="1" s="372"/>
    <row r="118" ht="15.75" customHeight="1" s="372"/>
    <row r="119" ht="15.75" customHeight="1" s="372"/>
    <row r="120" ht="15.75" customHeight="1" s="372"/>
    <row r="121" ht="15.75" customHeight="1" s="372"/>
    <row r="122" ht="15.75" customHeight="1" s="372"/>
    <row r="123" ht="15.75" customHeight="1" s="372"/>
    <row r="124" ht="15.75" customHeight="1" s="372"/>
    <row r="125" ht="15.75" customHeight="1" s="372"/>
    <row r="126" ht="15.75" customHeight="1" s="372"/>
    <row r="127" ht="15.75" customHeight="1" s="372"/>
    <row r="128" ht="15.75" customHeight="1" s="372"/>
    <row r="129" ht="15.75" customHeight="1" s="372"/>
    <row r="130" ht="15.75" customHeight="1" s="372"/>
    <row r="131" ht="15.75" customHeight="1" s="372"/>
    <row r="132" ht="15.75" customHeight="1" s="372"/>
    <row r="133" ht="15.75" customHeight="1" s="372"/>
    <row r="134" ht="15.75" customHeight="1" s="372"/>
    <row r="135" ht="15.75" customHeight="1" s="372"/>
    <row r="136" ht="15.75" customHeight="1" s="372"/>
    <row r="137" ht="15.75" customHeight="1" s="372"/>
    <row r="138" ht="15.75" customHeight="1" s="372"/>
    <row r="139" ht="15.75" customHeight="1" s="372"/>
    <row r="140" ht="15.75" customHeight="1" s="372"/>
    <row r="141" ht="15.75" customHeight="1" s="372"/>
    <row r="142" ht="15.75" customHeight="1" s="372"/>
    <row r="143" ht="15.75" customHeight="1" s="372"/>
    <row r="144" ht="15.75" customHeight="1" s="372"/>
    <row r="145" ht="15.75" customHeight="1" s="372"/>
    <row r="146" ht="15.75" customHeight="1" s="372"/>
    <row r="147" ht="15.75" customHeight="1" s="372"/>
    <row r="148" ht="15.75" customHeight="1" s="372"/>
    <row r="149" ht="15.75" customHeight="1" s="372"/>
    <row r="150" ht="15.75" customHeight="1" s="372"/>
    <row r="151" ht="15.75" customHeight="1" s="372"/>
    <row r="152" ht="15.75" customHeight="1" s="372"/>
    <row r="153" ht="15.75" customHeight="1" s="372"/>
    <row r="154" ht="15.75" customHeight="1" s="372"/>
    <row r="155" ht="15.75" customHeight="1" s="372"/>
    <row r="156" ht="15.75" customHeight="1" s="372"/>
    <row r="157" ht="15.75" customHeight="1" s="372"/>
    <row r="158" ht="15.75" customHeight="1" s="372"/>
    <row r="159" ht="15.75" customHeight="1" s="372"/>
    <row r="160" ht="15.75" customHeight="1" s="372"/>
    <row r="161" ht="15.75" customHeight="1" s="372"/>
    <row r="162" ht="15.75" customHeight="1" s="372"/>
    <row r="163" ht="15.75" customHeight="1" s="372"/>
    <row r="164" ht="15.75" customHeight="1" s="372"/>
    <row r="165" ht="15.75" customHeight="1" s="372"/>
    <row r="166" ht="15.75" customHeight="1" s="372"/>
    <row r="167" ht="15.75" customHeight="1" s="372"/>
    <row r="168" ht="15.75" customHeight="1" s="372"/>
    <row r="169" ht="15.75" customHeight="1" s="372"/>
    <row r="170" ht="15.75" customHeight="1" s="372"/>
    <row r="171" ht="15.75" customHeight="1" s="372"/>
    <row r="172" ht="15.75" customHeight="1" s="372"/>
    <row r="173" ht="15.75" customHeight="1" s="372"/>
    <row r="174" ht="15.75" customHeight="1" s="372"/>
    <row r="175" ht="15.75" customHeight="1" s="372"/>
    <row r="176" ht="15.75" customHeight="1" s="372"/>
    <row r="177" ht="15.75" customHeight="1" s="372"/>
    <row r="178" ht="15.75" customHeight="1" s="372"/>
    <row r="179" ht="15.75" customHeight="1" s="372"/>
    <row r="180" ht="15.75" customHeight="1" s="372"/>
    <row r="181" ht="15.75" customHeight="1" s="372"/>
    <row r="182" ht="15.75" customHeight="1" s="372"/>
    <row r="183" ht="15.75" customHeight="1" s="372"/>
    <row r="184" ht="15.75" customHeight="1" s="372"/>
    <row r="185" ht="15.75" customHeight="1" s="372"/>
    <row r="186" ht="15.75" customHeight="1" s="372"/>
    <row r="187" ht="15.75" customHeight="1" s="372"/>
    <row r="188" ht="15.75" customHeight="1" s="372"/>
    <row r="189" ht="15.75" customHeight="1" s="372"/>
    <row r="190" ht="15.75" customHeight="1" s="372"/>
    <row r="191" ht="15.75" customHeight="1" s="372"/>
    <row r="192" ht="15.75" customHeight="1" s="372"/>
    <row r="193" ht="15.75" customHeight="1" s="372"/>
    <row r="194" ht="15.75" customHeight="1" s="372"/>
    <row r="195" ht="15.75" customHeight="1" s="372"/>
    <row r="196" ht="15.75" customHeight="1" s="372"/>
    <row r="197" ht="15.75" customHeight="1" s="372"/>
    <row r="198" ht="15.75" customHeight="1" s="372"/>
    <row r="199" ht="15.75" customHeight="1" s="372"/>
    <row r="200" ht="15.75" customHeight="1" s="372"/>
    <row r="201" ht="15.75" customHeight="1" s="372"/>
    <row r="202" ht="15.75" customHeight="1" s="372"/>
    <row r="203" ht="15.75" customHeight="1" s="372"/>
    <row r="204" ht="15.75" customHeight="1" s="372"/>
    <row r="205" ht="15.75" customHeight="1" s="372"/>
    <row r="206" ht="15.75" customHeight="1" s="372"/>
    <row r="207" ht="15.75" customHeight="1" s="372"/>
    <row r="208" ht="15.75" customHeight="1" s="372"/>
    <row r="209" ht="15.75" customHeight="1" s="372"/>
    <row r="210" ht="15.75" customHeight="1" s="372"/>
    <row r="211" ht="15.75" customHeight="1" s="372"/>
    <row r="212" ht="15.75" customHeight="1" s="372"/>
    <row r="213" ht="15.75" customHeight="1" s="372"/>
    <row r="214" ht="15.75" customHeight="1" s="372"/>
    <row r="215" ht="15.75" customHeight="1" s="372"/>
    <row r="216" ht="15.75" customHeight="1" s="372"/>
    <row r="217" ht="15.75" customHeight="1" s="372"/>
    <row r="218" ht="15.75" customHeight="1" s="372"/>
    <row r="219" ht="15.75" customHeight="1" s="372"/>
    <row r="220" ht="15.75" customHeight="1" s="372"/>
    <row r="221" ht="15.75" customHeight="1" s="372"/>
    <row r="222" ht="15.75" customHeight="1" s="372"/>
    <row r="223" ht="15.75" customHeight="1" s="372"/>
    <row r="224" ht="15.75" customHeight="1" s="372"/>
    <row r="225" ht="15.75" customHeight="1" s="372"/>
    <row r="226" ht="15.75" customHeight="1" s="372"/>
    <row r="227" ht="15.75" customHeight="1" s="372"/>
    <row r="228" ht="15.75" customHeight="1" s="372"/>
    <row r="229" ht="15.75" customHeight="1" s="372"/>
    <row r="230" ht="15.75" customHeight="1" s="372"/>
    <row r="231" ht="15.75" customHeight="1" s="372"/>
    <row r="232" ht="15.75" customHeight="1" s="372"/>
    <row r="233" ht="15.75" customHeight="1" s="372"/>
    <row r="234" ht="15.75" customHeight="1" s="372"/>
    <row r="235" ht="15.75" customHeight="1" s="372"/>
    <row r="236" ht="15.75" customHeight="1" s="372"/>
    <row r="237" ht="15.75" customHeight="1" s="372"/>
    <row r="238" ht="15.75" customHeight="1" s="372"/>
    <row r="239" ht="15.75" customHeight="1" s="372"/>
    <row r="240" ht="15.75" customHeight="1" s="372"/>
    <row r="241" ht="15.75" customHeight="1" s="372"/>
    <row r="242" ht="15.75" customHeight="1" s="372"/>
    <row r="243" ht="15.75" customHeight="1" s="372"/>
    <row r="244" ht="15.75" customHeight="1" s="372"/>
    <row r="245" ht="15.75" customHeight="1" s="372"/>
    <row r="246" ht="15.75" customHeight="1" s="372"/>
    <row r="247" ht="15.75" customHeight="1" s="372"/>
    <row r="248" ht="15.75" customHeight="1" s="372"/>
    <row r="249" ht="15.75" customHeight="1" s="372"/>
    <row r="250" ht="15.75" customHeight="1" s="372"/>
    <row r="251" ht="15.75" customHeight="1" s="372"/>
    <row r="252" ht="15.75" customHeight="1" s="372"/>
    <row r="253" ht="15.75" customHeight="1" s="372"/>
    <row r="254" ht="15.75" customHeight="1" s="372"/>
    <row r="255" ht="15.75" customHeight="1" s="372"/>
    <row r="256" ht="15.75" customHeight="1" s="372"/>
    <row r="257" ht="15.75" customHeight="1" s="372"/>
    <row r="258" ht="15.75" customHeight="1" s="372"/>
    <row r="259" ht="15.75" customHeight="1" s="372"/>
    <row r="260" ht="15.75" customHeight="1" s="372"/>
    <row r="261" ht="15.75" customHeight="1" s="372"/>
    <row r="262" ht="15.75" customHeight="1" s="372"/>
    <row r="263" ht="15.75" customHeight="1" s="372"/>
    <row r="264" ht="15.75" customHeight="1" s="372"/>
    <row r="265" ht="15.75" customHeight="1" s="372"/>
    <row r="266" ht="15.75" customHeight="1" s="372"/>
    <row r="267" ht="15.75" customHeight="1" s="372"/>
    <row r="268" ht="15.75" customHeight="1" s="372"/>
    <row r="269" ht="15.75" customHeight="1" s="372"/>
    <row r="270" ht="15.75" customHeight="1" s="372"/>
    <row r="271" ht="15.75" customHeight="1" s="372"/>
    <row r="272" ht="15.75" customHeight="1" s="372"/>
    <row r="273" ht="15.75" customHeight="1" s="372"/>
    <row r="274" ht="15.75" customHeight="1" s="372"/>
    <row r="275" ht="15.75" customHeight="1" s="372"/>
    <row r="276" ht="15.75" customHeight="1" s="372"/>
    <row r="277" ht="15.75" customHeight="1" s="372"/>
    <row r="278" ht="15.75" customHeight="1" s="372"/>
    <row r="279" ht="15.75" customHeight="1" s="372"/>
    <row r="280" ht="15.75" customHeight="1" s="372"/>
    <row r="281" ht="15.75" customHeight="1" s="372"/>
    <row r="282" ht="15.75" customHeight="1" s="372"/>
    <row r="283" ht="15.75" customHeight="1" s="372"/>
    <row r="284" ht="15.75" customHeight="1" s="372"/>
    <row r="285" ht="15.75" customHeight="1" s="372"/>
    <row r="286" ht="15.75" customHeight="1" s="372"/>
    <row r="287" ht="15.75" customHeight="1" s="372"/>
    <row r="288" ht="15.75" customHeight="1" s="372"/>
    <row r="289" ht="15.75" customHeight="1" s="372"/>
    <row r="290" ht="15.75" customHeight="1" s="372"/>
    <row r="291" ht="15.75" customHeight="1" s="372"/>
    <row r="292" ht="15.75" customHeight="1" s="372"/>
    <row r="293" ht="15.75" customHeight="1" s="372"/>
    <row r="294" ht="15.75" customHeight="1" s="372"/>
    <row r="295" ht="15.75" customHeight="1" s="372"/>
    <row r="296" ht="15.75" customHeight="1" s="372"/>
    <row r="297" ht="15.75" customHeight="1" s="372"/>
    <row r="298" ht="15.75" customHeight="1" s="372"/>
    <row r="299" ht="15.75" customHeight="1" s="372"/>
    <row r="300" ht="15.75" customHeight="1" s="372"/>
    <row r="301" ht="15.75" customHeight="1" s="372"/>
    <row r="302" ht="15.75" customHeight="1" s="372"/>
    <row r="303" ht="15.75" customHeight="1" s="372"/>
    <row r="304" ht="15.75" customHeight="1" s="372"/>
    <row r="305" ht="15.75" customHeight="1" s="372"/>
    <row r="306" ht="15.75" customHeight="1" s="372"/>
    <row r="307" ht="15.75" customHeight="1" s="372"/>
    <row r="308" ht="15.75" customHeight="1" s="372"/>
    <row r="309" ht="15.75" customHeight="1" s="372"/>
    <row r="310" ht="15.75" customHeight="1" s="372"/>
    <row r="311" ht="15.75" customHeight="1" s="372"/>
    <row r="312" ht="15.75" customHeight="1" s="372"/>
    <row r="313" ht="15.75" customHeight="1" s="372"/>
    <row r="314" ht="15.75" customHeight="1" s="372"/>
    <row r="315" ht="15.75" customHeight="1" s="372"/>
    <row r="316" ht="15.75" customHeight="1" s="372"/>
    <row r="317" ht="15.75" customHeight="1" s="372"/>
    <row r="318" ht="15.75" customHeight="1" s="372"/>
    <row r="319" ht="15.75" customHeight="1" s="372"/>
    <row r="320" ht="15.75" customHeight="1" s="372"/>
    <row r="321" ht="15.75" customHeight="1" s="372"/>
    <row r="322" ht="15.75" customHeight="1" s="372"/>
    <row r="323" ht="15.75" customHeight="1" s="372"/>
    <row r="324" ht="15.75" customHeight="1" s="372"/>
    <row r="325" ht="15.75" customHeight="1" s="372"/>
    <row r="326" ht="15.75" customHeight="1" s="372"/>
    <row r="327" ht="15.75" customHeight="1" s="372"/>
    <row r="328" ht="15.75" customHeight="1" s="372"/>
    <row r="329" ht="15.75" customHeight="1" s="372"/>
    <row r="330" ht="15.75" customHeight="1" s="372"/>
    <row r="331" ht="15.75" customHeight="1" s="372"/>
    <row r="332" ht="15.75" customHeight="1" s="372"/>
    <row r="333" ht="15.75" customHeight="1" s="372"/>
    <row r="334" ht="15.75" customHeight="1" s="372"/>
    <row r="335" ht="15.75" customHeight="1" s="372"/>
    <row r="336" ht="15.75" customHeight="1" s="372"/>
    <row r="337" ht="15.75" customHeight="1" s="372"/>
    <row r="338" ht="15.75" customHeight="1" s="372"/>
    <row r="339" ht="15.75" customHeight="1" s="372"/>
    <row r="340" ht="15.75" customHeight="1" s="372"/>
    <row r="341" ht="15.75" customHeight="1" s="372"/>
    <row r="342" ht="15.75" customHeight="1" s="372"/>
    <row r="343" ht="15.75" customHeight="1" s="372"/>
    <row r="344" ht="15.75" customHeight="1" s="372"/>
    <row r="345" ht="15.75" customHeight="1" s="372"/>
    <row r="346" ht="15.75" customHeight="1" s="372"/>
    <row r="347" ht="15.75" customHeight="1" s="372"/>
    <row r="348" ht="15.75" customHeight="1" s="372"/>
    <row r="349" ht="15.75" customHeight="1" s="372"/>
    <row r="350" ht="15.75" customHeight="1" s="372"/>
    <row r="351" ht="15.75" customHeight="1" s="372"/>
    <row r="352" ht="15.75" customHeight="1" s="372"/>
    <row r="353" ht="15.75" customHeight="1" s="372"/>
    <row r="354" ht="15.75" customHeight="1" s="372"/>
    <row r="355" ht="15.75" customHeight="1" s="372"/>
    <row r="356" ht="15.75" customHeight="1" s="372"/>
    <row r="357" ht="15.75" customHeight="1" s="372"/>
    <row r="358" ht="15.75" customHeight="1" s="372"/>
    <row r="359" ht="15.75" customHeight="1" s="372"/>
    <row r="360" ht="15.75" customHeight="1" s="372"/>
    <row r="361" ht="15.75" customHeight="1" s="372"/>
    <row r="362" ht="15.75" customHeight="1" s="372"/>
    <row r="363" ht="15.75" customHeight="1" s="372"/>
    <row r="364" ht="15.75" customHeight="1" s="372"/>
    <row r="365" ht="15.75" customHeight="1" s="372"/>
    <row r="366" ht="15.75" customHeight="1" s="372"/>
    <row r="367" ht="15.75" customHeight="1" s="372"/>
    <row r="368" ht="15.75" customHeight="1" s="372"/>
    <row r="369" ht="15.75" customHeight="1" s="372"/>
    <row r="370" ht="15.75" customHeight="1" s="372"/>
    <row r="371" ht="15.75" customHeight="1" s="372"/>
    <row r="372" ht="15.75" customHeight="1" s="372"/>
    <row r="373" ht="15.75" customHeight="1" s="372"/>
    <row r="374" ht="15.75" customHeight="1" s="372"/>
    <row r="375" ht="15.75" customHeight="1" s="372"/>
    <row r="376" ht="15.75" customHeight="1" s="372"/>
    <row r="377" ht="15.75" customHeight="1" s="372"/>
    <row r="378" ht="15.75" customHeight="1" s="372"/>
    <row r="379" ht="15.75" customHeight="1" s="372"/>
    <row r="380" ht="15.75" customHeight="1" s="372"/>
    <row r="381" ht="15.75" customHeight="1" s="372"/>
    <row r="382" ht="15.75" customHeight="1" s="372"/>
    <row r="383" ht="15.75" customHeight="1" s="372"/>
    <row r="384" ht="15.75" customHeight="1" s="372"/>
    <row r="385" ht="15.75" customHeight="1" s="372"/>
    <row r="386" ht="15.75" customHeight="1" s="372"/>
    <row r="387" ht="15.75" customHeight="1" s="372"/>
    <row r="388" ht="15.75" customHeight="1" s="372"/>
    <row r="389" ht="15.75" customHeight="1" s="372"/>
    <row r="390" ht="15.75" customHeight="1" s="372"/>
    <row r="391" ht="15.75" customHeight="1" s="372"/>
    <row r="392" ht="15.75" customHeight="1" s="372"/>
    <row r="393" ht="15.75" customHeight="1" s="372"/>
    <row r="394" ht="15.75" customHeight="1" s="372"/>
    <row r="395" ht="15.75" customHeight="1" s="372"/>
    <row r="396" ht="15.75" customHeight="1" s="372"/>
    <row r="397" ht="15.75" customHeight="1" s="372"/>
    <row r="398" ht="15.75" customHeight="1" s="372"/>
    <row r="399" ht="15.75" customHeight="1" s="372"/>
    <row r="400" ht="15.75" customHeight="1" s="372"/>
    <row r="401" ht="15.75" customHeight="1" s="372"/>
    <row r="402" ht="15.75" customHeight="1" s="372"/>
    <row r="403" ht="15.75" customHeight="1" s="372"/>
    <row r="404" ht="15.75" customHeight="1" s="372"/>
    <row r="405" ht="15.75" customHeight="1" s="372"/>
    <row r="406" ht="15.75" customHeight="1" s="372"/>
    <row r="407" ht="15.75" customHeight="1" s="372"/>
    <row r="408" ht="15.75" customHeight="1" s="372"/>
    <row r="409" ht="15.75" customHeight="1" s="372"/>
    <row r="410" ht="15.75" customHeight="1" s="372"/>
    <row r="411" ht="15.75" customHeight="1" s="372"/>
    <row r="412" ht="15.75" customHeight="1" s="372"/>
    <row r="413" ht="15.75" customHeight="1" s="372"/>
    <row r="414" ht="15.75" customHeight="1" s="372"/>
    <row r="415" ht="15.75" customHeight="1" s="372"/>
    <row r="416" ht="15.75" customHeight="1" s="372"/>
    <row r="417" ht="15.75" customHeight="1" s="372"/>
    <row r="418" ht="15.75" customHeight="1" s="372"/>
    <row r="419" ht="15.75" customHeight="1" s="372"/>
    <row r="420" ht="15.75" customHeight="1" s="372"/>
    <row r="421" ht="15.75" customHeight="1" s="372"/>
    <row r="422" ht="15.75" customHeight="1" s="372"/>
    <row r="423" ht="15.75" customHeight="1" s="372"/>
    <row r="424" ht="15.75" customHeight="1" s="372"/>
    <row r="425" ht="15.75" customHeight="1" s="372"/>
    <row r="426" ht="15.75" customHeight="1" s="372"/>
    <row r="427" ht="15.75" customHeight="1" s="372"/>
    <row r="428" ht="15.75" customHeight="1" s="372"/>
    <row r="429" ht="15.75" customHeight="1" s="372"/>
    <row r="430" ht="15.75" customHeight="1" s="372"/>
    <row r="431" ht="15.75" customHeight="1" s="372"/>
    <row r="432" ht="15.75" customHeight="1" s="372"/>
    <row r="433" ht="15.75" customHeight="1" s="372"/>
    <row r="434" ht="15.75" customHeight="1" s="372"/>
    <row r="435" ht="15.75" customHeight="1" s="372"/>
    <row r="436" ht="15.75" customHeight="1" s="372"/>
    <row r="437" ht="15.75" customHeight="1" s="372"/>
    <row r="438" ht="15.75" customHeight="1" s="372"/>
    <row r="439" ht="15.75" customHeight="1" s="372"/>
    <row r="440" ht="15.75" customHeight="1" s="372"/>
    <row r="441" ht="15.75" customHeight="1" s="372"/>
    <row r="442" ht="15.75" customHeight="1" s="372"/>
    <row r="443" ht="15.75" customHeight="1" s="372"/>
    <row r="444" ht="15.75" customHeight="1" s="372"/>
    <row r="445" ht="15.75" customHeight="1" s="372"/>
    <row r="446" ht="15.75" customHeight="1" s="372"/>
    <row r="447" ht="15.75" customHeight="1" s="372"/>
    <row r="448" ht="15.75" customHeight="1" s="372"/>
    <row r="449" ht="15.75" customHeight="1" s="372"/>
    <row r="450" ht="15.75" customHeight="1" s="372"/>
    <row r="451" ht="15.75" customHeight="1" s="372"/>
    <row r="452" ht="15.75" customHeight="1" s="372"/>
    <row r="453" ht="15.75" customHeight="1" s="372"/>
    <row r="454" ht="15.75" customHeight="1" s="372"/>
    <row r="455" ht="15.75" customHeight="1" s="372"/>
    <row r="456" ht="15.75" customHeight="1" s="372"/>
    <row r="457" ht="15.75" customHeight="1" s="372"/>
    <row r="458" ht="15.75" customHeight="1" s="372"/>
    <row r="459" ht="15.75" customHeight="1" s="372"/>
    <row r="460" ht="15.75" customHeight="1" s="372"/>
    <row r="461" ht="15.75" customHeight="1" s="372"/>
    <row r="462" ht="15.75" customHeight="1" s="372"/>
    <row r="463" ht="15.75" customHeight="1" s="372"/>
    <row r="464" ht="15.75" customHeight="1" s="372"/>
    <row r="465" ht="15.75" customHeight="1" s="372"/>
    <row r="466" ht="15.75" customHeight="1" s="372"/>
    <row r="467" ht="15.75" customHeight="1" s="372"/>
    <row r="468" ht="15.75" customHeight="1" s="372"/>
    <row r="469" ht="15.75" customHeight="1" s="372"/>
    <row r="470" ht="15.75" customHeight="1" s="372"/>
    <row r="471" ht="15.75" customHeight="1" s="372"/>
    <row r="472" ht="15.75" customHeight="1" s="372"/>
    <row r="473" ht="15.75" customHeight="1" s="372"/>
    <row r="474" ht="15.75" customHeight="1" s="372"/>
    <row r="475" ht="15.75" customHeight="1" s="372"/>
    <row r="476" ht="15.75" customHeight="1" s="372"/>
    <row r="477" ht="15.75" customHeight="1" s="372"/>
    <row r="478" ht="15.75" customHeight="1" s="372"/>
    <row r="479" ht="15.75" customHeight="1" s="372"/>
    <row r="480" ht="15.75" customHeight="1" s="372"/>
    <row r="481" ht="15.75" customHeight="1" s="372"/>
    <row r="482" ht="15.75" customHeight="1" s="372"/>
    <row r="483" ht="15.75" customHeight="1" s="372"/>
    <row r="484" ht="15.75" customHeight="1" s="372"/>
    <row r="485" ht="15.75" customHeight="1" s="372"/>
    <row r="486" ht="15.75" customHeight="1" s="372"/>
    <row r="487" ht="15.75" customHeight="1" s="372"/>
    <row r="488" ht="15.75" customHeight="1" s="372"/>
    <row r="489" ht="15.75" customHeight="1" s="372"/>
    <row r="490" ht="15.75" customHeight="1" s="372"/>
    <row r="491" ht="15.75" customHeight="1" s="372"/>
    <row r="492" ht="15.75" customHeight="1" s="372"/>
    <row r="493" ht="15.75" customHeight="1" s="372"/>
    <row r="494" ht="15.75" customHeight="1" s="372"/>
    <row r="495" ht="15.75" customHeight="1" s="372"/>
    <row r="496" ht="15.75" customHeight="1" s="372"/>
    <row r="497" ht="15.75" customHeight="1" s="372"/>
    <row r="498" ht="15.75" customHeight="1" s="372"/>
    <row r="499" ht="15.75" customHeight="1" s="372"/>
    <row r="500" ht="15.75" customHeight="1" s="372"/>
    <row r="501" ht="15.75" customHeight="1" s="372"/>
    <row r="502" ht="15.75" customHeight="1" s="372"/>
    <row r="503" ht="15.75" customHeight="1" s="372"/>
    <row r="504" ht="15.75" customHeight="1" s="372"/>
    <row r="505" ht="15.75" customHeight="1" s="372"/>
    <row r="506" ht="15.75" customHeight="1" s="372"/>
    <row r="507" ht="15.75" customHeight="1" s="372"/>
    <row r="508" ht="15.75" customHeight="1" s="372"/>
    <row r="509" ht="15.75" customHeight="1" s="372"/>
    <row r="510" ht="15.75" customHeight="1" s="372"/>
    <row r="511" ht="15.75" customHeight="1" s="372"/>
    <row r="512" ht="15.75" customHeight="1" s="372"/>
    <row r="513" ht="15.75" customHeight="1" s="372"/>
    <row r="514" ht="15.75" customHeight="1" s="372"/>
    <row r="515" ht="15.75" customHeight="1" s="372"/>
    <row r="516" ht="15.75" customHeight="1" s="372"/>
    <row r="517" ht="15.75" customHeight="1" s="372"/>
    <row r="518" ht="15.75" customHeight="1" s="372"/>
    <row r="519" ht="15.75" customHeight="1" s="372"/>
    <row r="520" ht="15.75" customHeight="1" s="372"/>
    <row r="521" ht="15.75" customHeight="1" s="372"/>
    <row r="522" ht="15.75" customHeight="1" s="372"/>
    <row r="523" ht="15.75" customHeight="1" s="372"/>
    <row r="524" ht="15.75" customHeight="1" s="372"/>
    <row r="525" ht="15.75" customHeight="1" s="372"/>
    <row r="526" ht="15.75" customHeight="1" s="372"/>
    <row r="527" ht="15.75" customHeight="1" s="372"/>
    <row r="528" ht="15.75" customHeight="1" s="372"/>
    <row r="529" ht="15.75" customHeight="1" s="372"/>
    <row r="530" ht="15.75" customHeight="1" s="372"/>
    <row r="531" ht="15.75" customHeight="1" s="372"/>
    <row r="532" ht="15.75" customHeight="1" s="372"/>
    <row r="533" ht="15.75" customHeight="1" s="372"/>
    <row r="534" ht="15.75" customHeight="1" s="372"/>
    <row r="535" ht="15.75" customHeight="1" s="372"/>
    <row r="536" ht="15.75" customHeight="1" s="372"/>
    <row r="537" ht="15.75" customHeight="1" s="372"/>
    <row r="538" ht="15.75" customHeight="1" s="372"/>
    <row r="539" ht="15.75" customHeight="1" s="372"/>
    <row r="540" ht="15.75" customHeight="1" s="372"/>
    <row r="541" ht="15.75" customHeight="1" s="372"/>
    <row r="542" ht="15.75" customHeight="1" s="372"/>
    <row r="543" ht="15.75" customHeight="1" s="372"/>
    <row r="544" ht="15.75" customHeight="1" s="372"/>
    <row r="545" ht="15.75" customHeight="1" s="372"/>
    <row r="546" ht="15.75" customHeight="1" s="372"/>
    <row r="547" ht="15.75" customHeight="1" s="372"/>
    <row r="548" ht="15.75" customHeight="1" s="372"/>
    <row r="549" ht="15.75" customHeight="1" s="372"/>
    <row r="550" ht="15.75" customHeight="1" s="372"/>
    <row r="551" ht="15.75" customHeight="1" s="372"/>
    <row r="552" ht="15.75" customHeight="1" s="372"/>
    <row r="553" ht="15.75" customHeight="1" s="372"/>
    <row r="554" ht="15.75" customHeight="1" s="372"/>
    <row r="555" ht="15.75" customHeight="1" s="372"/>
    <row r="556" ht="15.75" customHeight="1" s="372"/>
    <row r="557" ht="15.75" customHeight="1" s="372"/>
    <row r="558" ht="15.75" customHeight="1" s="372"/>
    <row r="559" ht="15.75" customHeight="1" s="372"/>
    <row r="560" ht="15.75" customHeight="1" s="372"/>
    <row r="561" ht="15.75" customHeight="1" s="372"/>
    <row r="562" ht="15.75" customHeight="1" s="372"/>
    <row r="563" ht="15.75" customHeight="1" s="372"/>
    <row r="564" ht="15.75" customHeight="1" s="372"/>
    <row r="565" ht="15.75" customHeight="1" s="372"/>
    <row r="566" ht="15.75" customHeight="1" s="372"/>
    <row r="567" ht="15.75" customHeight="1" s="372"/>
    <row r="568" ht="15.75" customHeight="1" s="372"/>
    <row r="569" ht="15.75" customHeight="1" s="372"/>
    <row r="570" ht="15.75" customHeight="1" s="372"/>
    <row r="571" ht="15.75" customHeight="1" s="372"/>
    <row r="572" ht="15.75" customHeight="1" s="372"/>
    <row r="573" ht="15.75" customHeight="1" s="372"/>
    <row r="574" ht="15.75" customHeight="1" s="372"/>
    <row r="575" ht="15.75" customHeight="1" s="372"/>
    <row r="576" ht="15.75" customHeight="1" s="372"/>
    <row r="577" ht="15.75" customHeight="1" s="372"/>
    <row r="578" ht="15.75" customHeight="1" s="372"/>
    <row r="579" ht="15.75" customHeight="1" s="372"/>
    <row r="580" ht="15.75" customHeight="1" s="372"/>
    <row r="581" ht="15.75" customHeight="1" s="372"/>
    <row r="582" ht="15.75" customHeight="1" s="372"/>
    <row r="583" ht="15.75" customHeight="1" s="372"/>
    <row r="584" ht="15.75" customHeight="1" s="372"/>
    <row r="585" ht="15.75" customHeight="1" s="372"/>
    <row r="586" ht="15.75" customHeight="1" s="372"/>
    <row r="587" ht="15.75" customHeight="1" s="372"/>
    <row r="588" ht="15.75" customHeight="1" s="372"/>
    <row r="589" ht="15.75" customHeight="1" s="372"/>
    <row r="590" ht="15.75" customHeight="1" s="372"/>
    <row r="591" ht="15.75" customHeight="1" s="372"/>
    <row r="592" ht="15.75" customHeight="1" s="372"/>
    <row r="593" ht="15.75" customHeight="1" s="372"/>
    <row r="594" ht="15.75" customHeight="1" s="372"/>
    <row r="595" ht="15.75" customHeight="1" s="372"/>
    <row r="596" ht="15.75" customHeight="1" s="372"/>
    <row r="597" ht="15.75" customHeight="1" s="372"/>
    <row r="598" ht="15.75" customHeight="1" s="372"/>
    <row r="599" ht="15.75" customHeight="1" s="372"/>
    <row r="600" ht="15.75" customHeight="1" s="372"/>
    <row r="601" ht="15.75" customHeight="1" s="372"/>
    <row r="602" ht="15.75" customHeight="1" s="372"/>
    <row r="603" ht="15.75" customHeight="1" s="372"/>
    <row r="604" ht="15.75" customHeight="1" s="372"/>
    <row r="605" ht="15.75" customHeight="1" s="372"/>
    <row r="606" ht="15.75" customHeight="1" s="372"/>
    <row r="607" ht="15.75" customHeight="1" s="372"/>
    <row r="608" ht="15.75" customHeight="1" s="372"/>
    <row r="609" ht="15.75" customHeight="1" s="372"/>
    <row r="610" ht="15.75" customHeight="1" s="372"/>
    <row r="611" ht="15.75" customHeight="1" s="372"/>
    <row r="612" ht="15.75" customHeight="1" s="372"/>
    <row r="613" ht="15.75" customHeight="1" s="372"/>
    <row r="614" ht="15.75" customHeight="1" s="372"/>
    <row r="615" ht="15.75" customHeight="1" s="372"/>
    <row r="616" ht="15.75" customHeight="1" s="372"/>
    <row r="617" ht="15.75" customHeight="1" s="372"/>
    <row r="618" ht="15.75" customHeight="1" s="372"/>
    <row r="619" ht="15.75" customHeight="1" s="372"/>
    <row r="620" ht="15.75" customHeight="1" s="372"/>
    <row r="621" ht="15.75" customHeight="1" s="372"/>
    <row r="622" ht="15.75" customHeight="1" s="372"/>
    <row r="623" ht="15.75" customHeight="1" s="372"/>
    <row r="624" ht="15.75" customHeight="1" s="372"/>
    <row r="625" ht="15.75" customHeight="1" s="372"/>
    <row r="626" ht="15.75" customHeight="1" s="372"/>
    <row r="627" ht="15.75" customHeight="1" s="372"/>
    <row r="628" ht="15.75" customHeight="1" s="372"/>
    <row r="629" ht="15.75" customHeight="1" s="372"/>
    <row r="630" ht="15.75" customHeight="1" s="372"/>
    <row r="631" ht="15.75" customHeight="1" s="372"/>
    <row r="632" ht="15.75" customHeight="1" s="372"/>
    <row r="633" ht="15.75" customHeight="1" s="372"/>
    <row r="634" ht="15.75" customHeight="1" s="372"/>
    <row r="635" ht="15.75" customHeight="1" s="372"/>
    <row r="636" ht="15.75" customHeight="1" s="372"/>
    <row r="637" ht="15.75" customHeight="1" s="372"/>
    <row r="638" ht="15.75" customHeight="1" s="372"/>
    <row r="639" ht="15.75" customHeight="1" s="372"/>
    <row r="640" ht="15.75" customHeight="1" s="372"/>
    <row r="641" ht="15.75" customHeight="1" s="372"/>
    <row r="642" ht="15.75" customHeight="1" s="372"/>
    <row r="643" ht="15.75" customHeight="1" s="372"/>
    <row r="644" ht="15.75" customHeight="1" s="372"/>
    <row r="645" ht="15.75" customHeight="1" s="372"/>
    <row r="646" ht="15.75" customHeight="1" s="372"/>
    <row r="647" ht="15.75" customHeight="1" s="372"/>
    <row r="648" ht="15.75" customHeight="1" s="372"/>
    <row r="649" ht="15.75" customHeight="1" s="372"/>
    <row r="650" ht="15.75" customHeight="1" s="372"/>
    <row r="651" ht="15.75" customHeight="1" s="372"/>
    <row r="652" ht="15.75" customHeight="1" s="372"/>
    <row r="653" ht="15.75" customHeight="1" s="372"/>
    <row r="654" ht="15.75" customHeight="1" s="372"/>
    <row r="655" ht="15.75" customHeight="1" s="372"/>
    <row r="656" ht="15.75" customHeight="1" s="372"/>
    <row r="657" ht="15.75" customHeight="1" s="372"/>
    <row r="658" ht="15.75" customHeight="1" s="372"/>
    <row r="659" ht="15.75" customHeight="1" s="372"/>
    <row r="660" ht="15.75" customHeight="1" s="372"/>
    <row r="661" ht="15.75" customHeight="1" s="372"/>
    <row r="662" ht="15.75" customHeight="1" s="372"/>
    <row r="663" ht="15.75" customHeight="1" s="372"/>
    <row r="664" ht="15.75" customHeight="1" s="372"/>
    <row r="665" ht="15.75" customHeight="1" s="372"/>
    <row r="666" ht="15.75" customHeight="1" s="372"/>
    <row r="667" ht="15.75" customHeight="1" s="372"/>
    <row r="668" ht="15.75" customHeight="1" s="372"/>
    <row r="669" ht="15.75" customHeight="1" s="372"/>
    <row r="670" ht="15.75" customHeight="1" s="372"/>
    <row r="671" ht="15.75" customHeight="1" s="372"/>
    <row r="672" ht="15.75" customHeight="1" s="372"/>
    <row r="673" ht="15.75" customHeight="1" s="372"/>
    <row r="674" ht="15.75" customHeight="1" s="372"/>
    <row r="675" ht="15.75" customHeight="1" s="372"/>
    <row r="676" ht="15.75" customHeight="1" s="372"/>
    <row r="677" ht="15.75" customHeight="1" s="372"/>
    <row r="678" ht="15.75" customHeight="1" s="372"/>
    <row r="679" ht="15.75" customHeight="1" s="372"/>
    <row r="680" ht="15.75" customHeight="1" s="372"/>
    <row r="681" ht="15.75" customHeight="1" s="372"/>
    <row r="682" ht="15.75" customHeight="1" s="372"/>
    <row r="683" ht="15.75" customHeight="1" s="372"/>
    <row r="684" ht="15.75" customHeight="1" s="372"/>
    <row r="685" ht="15.75" customHeight="1" s="372"/>
    <row r="686" ht="15.75" customHeight="1" s="372"/>
    <row r="687" ht="15.75" customHeight="1" s="372"/>
    <row r="688" ht="15.75" customHeight="1" s="372"/>
    <row r="689" ht="15.75" customHeight="1" s="372"/>
    <row r="690" ht="15.75" customHeight="1" s="372"/>
    <row r="691" ht="15.75" customHeight="1" s="372"/>
    <row r="692" ht="15.75" customHeight="1" s="372"/>
    <row r="693" ht="15.75" customHeight="1" s="372"/>
    <row r="694" ht="15.75" customHeight="1" s="372"/>
    <row r="695" ht="15.75" customHeight="1" s="372"/>
    <row r="696" ht="15.75" customHeight="1" s="372"/>
    <row r="697" ht="15.75" customHeight="1" s="372"/>
    <row r="698" ht="15.75" customHeight="1" s="372"/>
    <row r="699" ht="15.75" customHeight="1" s="372"/>
    <row r="700" ht="15.75" customHeight="1" s="372"/>
    <row r="701" ht="15.75" customHeight="1" s="372"/>
    <row r="702" ht="15.75" customHeight="1" s="372"/>
    <row r="703" ht="15.75" customHeight="1" s="372"/>
    <row r="704" ht="15.75" customHeight="1" s="372"/>
    <row r="705" ht="15.75" customHeight="1" s="372"/>
    <row r="706" ht="15.75" customHeight="1" s="372"/>
    <row r="707" ht="15.75" customHeight="1" s="372"/>
    <row r="708" ht="15.75" customHeight="1" s="372"/>
    <row r="709" ht="15.75" customHeight="1" s="372"/>
    <row r="710" ht="15.75" customHeight="1" s="372"/>
    <row r="711" ht="15.75" customHeight="1" s="372"/>
    <row r="712" ht="15.75" customHeight="1" s="372"/>
    <row r="713" ht="15.75" customHeight="1" s="372"/>
    <row r="714" ht="15.75" customHeight="1" s="372"/>
    <row r="715" ht="15.75" customHeight="1" s="372"/>
    <row r="716" ht="15.75" customHeight="1" s="372"/>
    <row r="717" ht="15.75" customHeight="1" s="372"/>
    <row r="718" ht="15.75" customHeight="1" s="372"/>
    <row r="719" ht="15.75" customHeight="1" s="372"/>
    <row r="720" ht="15.75" customHeight="1" s="372"/>
    <row r="721" ht="15.75" customHeight="1" s="372"/>
    <row r="722" ht="15.75" customHeight="1" s="372"/>
    <row r="723" ht="15.75" customHeight="1" s="372"/>
    <row r="724" ht="15.75" customHeight="1" s="372"/>
    <row r="725" ht="15.75" customHeight="1" s="372"/>
    <row r="726" ht="15.75" customHeight="1" s="372"/>
    <row r="727" ht="15.75" customHeight="1" s="372"/>
    <row r="728" ht="15.75" customHeight="1" s="372"/>
    <row r="729" ht="15.75" customHeight="1" s="372"/>
    <row r="730" ht="15.75" customHeight="1" s="372"/>
    <row r="731" ht="15.75" customHeight="1" s="372"/>
    <row r="732" ht="15.75" customHeight="1" s="372"/>
    <row r="733" ht="15.75" customHeight="1" s="372"/>
    <row r="734" ht="15.75" customHeight="1" s="372"/>
    <row r="735" ht="15.75" customHeight="1" s="372"/>
    <row r="736" ht="15.75" customHeight="1" s="372"/>
    <row r="737" ht="15.75" customHeight="1" s="372"/>
    <row r="738" ht="15.75" customHeight="1" s="372"/>
    <row r="739" ht="15.75" customHeight="1" s="372"/>
    <row r="740" ht="15.75" customHeight="1" s="372"/>
    <row r="741" ht="15.75" customHeight="1" s="372"/>
    <row r="742" ht="15.75" customHeight="1" s="372"/>
    <row r="743" ht="15.75" customHeight="1" s="372"/>
    <row r="744" ht="15.75" customHeight="1" s="372"/>
    <row r="745" ht="15.75" customHeight="1" s="372"/>
    <row r="746" ht="15.75" customHeight="1" s="372"/>
    <row r="747" ht="15.75" customHeight="1" s="372"/>
    <row r="748" ht="15.75" customHeight="1" s="372"/>
    <row r="749" ht="15.75" customHeight="1" s="372"/>
    <row r="750" ht="15.75" customHeight="1" s="372"/>
    <row r="751" ht="15.75" customHeight="1" s="372"/>
    <row r="752" ht="15.75" customHeight="1" s="372"/>
    <row r="753" ht="15.75" customHeight="1" s="372"/>
    <row r="754" ht="15.75" customHeight="1" s="372"/>
    <row r="755" ht="15.75" customHeight="1" s="372"/>
    <row r="756" ht="15.75" customHeight="1" s="372"/>
    <row r="757" ht="15.75" customHeight="1" s="372"/>
    <row r="758" ht="15.75" customHeight="1" s="372"/>
    <row r="759" ht="15.75" customHeight="1" s="372"/>
    <row r="760" ht="15.75" customHeight="1" s="372"/>
    <row r="761" ht="15.75" customHeight="1" s="372"/>
    <row r="762" ht="15.75" customHeight="1" s="372"/>
    <row r="763" ht="15.75" customHeight="1" s="372"/>
    <row r="764" ht="15.75" customHeight="1" s="372"/>
    <row r="765" ht="15.75" customHeight="1" s="372"/>
    <row r="766" ht="15.75" customHeight="1" s="372"/>
    <row r="767" ht="15.75" customHeight="1" s="372"/>
    <row r="768" ht="15.75" customHeight="1" s="372"/>
    <row r="769" ht="15.75" customHeight="1" s="372"/>
    <row r="770" ht="15.75" customHeight="1" s="372"/>
    <row r="771" ht="15.75" customHeight="1" s="372"/>
    <row r="772" ht="15.75" customHeight="1" s="372"/>
    <row r="773" ht="15.75" customHeight="1" s="372"/>
    <row r="774" ht="15.75" customHeight="1" s="372"/>
    <row r="775" ht="15.75" customHeight="1" s="372"/>
    <row r="776" ht="15.75" customHeight="1" s="372"/>
    <row r="777" ht="15.75" customHeight="1" s="372"/>
    <row r="778" ht="15.75" customHeight="1" s="372"/>
    <row r="779" ht="15.75" customHeight="1" s="372"/>
    <row r="780" ht="15.75" customHeight="1" s="372"/>
    <row r="781" ht="15.75" customHeight="1" s="372"/>
    <row r="782" ht="15.75" customHeight="1" s="372"/>
    <row r="783" ht="15.75" customHeight="1" s="372"/>
    <row r="784" ht="15.75" customHeight="1" s="372"/>
    <row r="785" ht="15.75" customHeight="1" s="372"/>
    <row r="786" ht="15.75" customHeight="1" s="372"/>
    <row r="787" ht="15.75" customHeight="1" s="372"/>
    <row r="788" ht="15.75" customHeight="1" s="372"/>
    <row r="789" ht="15.75" customHeight="1" s="372"/>
    <row r="790" ht="15.75" customHeight="1" s="372"/>
    <row r="791" ht="15.75" customHeight="1" s="372"/>
    <row r="792" ht="15.75" customHeight="1" s="372"/>
    <row r="793" ht="15.75" customHeight="1" s="372"/>
    <row r="794" ht="15.75" customHeight="1" s="372"/>
    <row r="795" ht="15.75" customHeight="1" s="372"/>
    <row r="796" ht="15.75" customHeight="1" s="372"/>
    <row r="797" ht="15.75" customHeight="1" s="372"/>
    <row r="798" ht="15.75" customHeight="1" s="372"/>
    <row r="799" ht="15.75" customHeight="1" s="372"/>
    <row r="800" ht="15.75" customHeight="1" s="372"/>
    <row r="801" ht="15.75" customHeight="1" s="372"/>
    <row r="802" ht="15.75" customHeight="1" s="372"/>
    <row r="803" ht="15.75" customHeight="1" s="372"/>
    <row r="804" ht="15.75" customHeight="1" s="372"/>
    <row r="805" ht="15.75" customHeight="1" s="372"/>
    <row r="806" ht="15.75" customHeight="1" s="372"/>
    <row r="807" ht="15.75" customHeight="1" s="372"/>
    <row r="808" ht="15.75" customHeight="1" s="372"/>
    <row r="809" ht="15.75" customHeight="1" s="372"/>
    <row r="810" ht="15.75" customHeight="1" s="372"/>
    <row r="811" ht="15.75" customHeight="1" s="372"/>
    <row r="812" ht="15.75" customHeight="1" s="372"/>
    <row r="813" ht="15.75" customHeight="1" s="372"/>
    <row r="814" ht="15.75" customHeight="1" s="372"/>
    <row r="815" ht="15.75" customHeight="1" s="372"/>
    <row r="816" ht="15.75" customHeight="1" s="372"/>
    <row r="817" ht="15.75" customHeight="1" s="372"/>
    <row r="818" ht="15.75" customHeight="1" s="372"/>
    <row r="819" ht="15.75" customHeight="1" s="372"/>
    <row r="820" ht="15.75" customHeight="1" s="372"/>
    <row r="821" ht="15.75" customHeight="1" s="372"/>
    <row r="822" ht="15.75" customHeight="1" s="372"/>
    <row r="823" ht="15.75" customHeight="1" s="372"/>
    <row r="824" ht="15.75" customHeight="1" s="372"/>
    <row r="825" ht="15.75" customHeight="1" s="372"/>
    <row r="826" ht="15.75" customHeight="1" s="372"/>
    <row r="827" ht="15.75" customHeight="1" s="372"/>
    <row r="828" ht="15.75" customHeight="1" s="372"/>
    <row r="829" ht="15.75" customHeight="1" s="372"/>
    <row r="830" ht="15.75" customHeight="1" s="372"/>
    <row r="831" ht="15.75" customHeight="1" s="372"/>
    <row r="832" ht="15.75" customHeight="1" s="372"/>
    <row r="833" ht="15.75" customHeight="1" s="372"/>
    <row r="834" ht="15.75" customHeight="1" s="372"/>
    <row r="835" ht="15.75" customHeight="1" s="372"/>
    <row r="836" ht="15.75" customHeight="1" s="372"/>
    <row r="837" ht="15.75" customHeight="1" s="372"/>
    <row r="838" ht="15.75" customHeight="1" s="372"/>
    <row r="839" ht="15.75" customHeight="1" s="372"/>
    <row r="840" ht="15.75" customHeight="1" s="372"/>
    <row r="841" ht="15.75" customHeight="1" s="372"/>
    <row r="842" ht="15.75" customHeight="1" s="372"/>
    <row r="843" ht="15.75" customHeight="1" s="372"/>
    <row r="844" ht="15.75" customHeight="1" s="372"/>
    <row r="845" ht="15.75" customHeight="1" s="372"/>
    <row r="846" ht="15.75" customHeight="1" s="372"/>
    <row r="847" ht="15.75" customHeight="1" s="372"/>
    <row r="848" ht="15.75" customHeight="1" s="372"/>
    <row r="849" ht="15.75" customHeight="1" s="372"/>
    <row r="850" ht="15.75" customHeight="1" s="372"/>
    <row r="851" ht="15.75" customHeight="1" s="372"/>
    <row r="852" ht="15.75" customHeight="1" s="372"/>
    <row r="853" ht="15.75" customHeight="1" s="372"/>
    <row r="854" ht="15.75" customHeight="1" s="372"/>
    <row r="855" ht="15.75" customHeight="1" s="372"/>
    <row r="856" ht="15.75" customHeight="1" s="372"/>
    <row r="857" ht="15.75" customHeight="1" s="372"/>
    <row r="858" ht="15.75" customHeight="1" s="372"/>
    <row r="859" ht="15.75" customHeight="1" s="372"/>
    <row r="860" ht="15.75" customHeight="1" s="372"/>
    <row r="861" ht="15.75" customHeight="1" s="372"/>
    <row r="862" ht="15.75" customHeight="1" s="372"/>
    <row r="863" ht="15.75" customHeight="1" s="372"/>
    <row r="864" ht="15.75" customHeight="1" s="372"/>
    <row r="865" ht="15.75" customHeight="1" s="372"/>
    <row r="866" ht="15.75" customHeight="1" s="372"/>
    <row r="867" ht="15.75" customHeight="1" s="372"/>
    <row r="868" ht="15.75" customHeight="1" s="372"/>
    <row r="869" ht="15.75" customHeight="1" s="372"/>
    <row r="870" ht="15.75" customHeight="1" s="372"/>
    <row r="871" ht="15.75" customHeight="1" s="372"/>
    <row r="872" ht="15.75" customHeight="1" s="372"/>
    <row r="873" ht="15.75" customHeight="1" s="372"/>
    <row r="874" ht="15.75" customHeight="1" s="372"/>
    <row r="875" ht="15.75" customHeight="1" s="372"/>
    <row r="876" ht="15.75" customHeight="1" s="372"/>
    <row r="877" ht="15.75" customHeight="1" s="372"/>
    <row r="878" ht="15.75" customHeight="1" s="372"/>
    <row r="879" ht="15.75" customHeight="1" s="372"/>
    <row r="880" ht="15.75" customHeight="1" s="372"/>
    <row r="881" ht="15.75" customHeight="1" s="372"/>
    <row r="882" ht="15.75" customHeight="1" s="372"/>
    <row r="883" ht="15.75" customHeight="1" s="372"/>
    <row r="884" ht="15.75" customHeight="1" s="372"/>
    <row r="885" ht="15.75" customHeight="1" s="372"/>
    <row r="886" ht="15.75" customHeight="1" s="372"/>
    <row r="887" ht="15.75" customHeight="1" s="372"/>
    <row r="888" ht="15.75" customHeight="1" s="372"/>
    <row r="889" ht="15.75" customHeight="1" s="372"/>
    <row r="890" ht="15.75" customHeight="1" s="372"/>
    <row r="891" ht="15.75" customHeight="1" s="372"/>
    <row r="892" ht="15.75" customHeight="1" s="372"/>
    <row r="893" ht="15.75" customHeight="1" s="372"/>
    <row r="894" ht="15.75" customHeight="1" s="372"/>
    <row r="895" ht="15.75" customHeight="1" s="372"/>
    <row r="896" ht="15.75" customHeight="1" s="372"/>
    <row r="897" ht="15.75" customHeight="1" s="372"/>
    <row r="898" ht="15.75" customHeight="1" s="372"/>
    <row r="899" ht="15.75" customHeight="1" s="372"/>
    <row r="900" ht="15.75" customHeight="1" s="372"/>
    <row r="901" ht="15.75" customHeight="1" s="372"/>
    <row r="902" ht="15.75" customHeight="1" s="372"/>
    <row r="903" ht="15.75" customHeight="1" s="372"/>
    <row r="904" ht="15.75" customHeight="1" s="372"/>
    <row r="905" ht="15.75" customHeight="1" s="372"/>
    <row r="906" ht="15.75" customHeight="1" s="372"/>
    <row r="907" ht="15.75" customHeight="1" s="372"/>
    <row r="908" ht="15.75" customHeight="1" s="372"/>
    <row r="909" ht="15.75" customHeight="1" s="372"/>
    <row r="910" ht="15.75" customHeight="1" s="372"/>
    <row r="911" ht="15.75" customHeight="1" s="372"/>
    <row r="912" ht="15.75" customHeight="1" s="372"/>
    <row r="913" ht="15.75" customHeight="1" s="372"/>
    <row r="914" ht="15.75" customHeight="1" s="372"/>
    <row r="915" ht="15.75" customHeight="1" s="372"/>
    <row r="916" ht="15.75" customHeight="1" s="372"/>
    <row r="917" ht="15.75" customHeight="1" s="372"/>
    <row r="918" ht="15.75" customHeight="1" s="372"/>
    <row r="919" ht="15.75" customHeight="1" s="372"/>
    <row r="920" ht="15.75" customHeight="1" s="372"/>
    <row r="921" ht="15.75" customHeight="1" s="372"/>
    <row r="922" ht="15.75" customHeight="1" s="372"/>
    <row r="923" ht="15.75" customHeight="1" s="372"/>
    <row r="924" ht="15.75" customHeight="1" s="372"/>
    <row r="925" ht="15.75" customHeight="1" s="372"/>
    <row r="926" ht="15.75" customHeight="1" s="372"/>
    <row r="927" ht="15.75" customHeight="1" s="372"/>
    <row r="928" ht="15.75" customHeight="1" s="372"/>
    <row r="929" ht="15.75" customHeight="1" s="372"/>
    <row r="930" ht="15.75" customHeight="1" s="372"/>
    <row r="931" ht="15.75" customHeight="1" s="372"/>
    <row r="932" ht="15.75" customHeight="1" s="372"/>
    <row r="933" ht="15.75" customHeight="1" s="372"/>
    <row r="934" ht="15.75" customHeight="1" s="372"/>
    <row r="935" ht="15.75" customHeight="1" s="372"/>
    <row r="936" ht="15.75" customHeight="1" s="372"/>
    <row r="937" ht="15.75" customHeight="1" s="372"/>
    <row r="938" ht="15.75" customHeight="1" s="372"/>
    <row r="939" ht="15.75" customHeight="1" s="372"/>
    <row r="940" ht="15.75" customHeight="1" s="372"/>
    <row r="941" ht="15.75" customHeight="1" s="372"/>
    <row r="942" ht="15.75" customHeight="1" s="372"/>
    <row r="943" ht="15.75" customHeight="1" s="372"/>
    <row r="944" ht="15.75" customHeight="1" s="372"/>
    <row r="945" ht="15.75" customHeight="1" s="372"/>
    <row r="946" ht="15.75" customHeight="1" s="372"/>
    <row r="947" ht="15.75" customHeight="1" s="372"/>
    <row r="948" ht="15.75" customHeight="1" s="372"/>
    <row r="949" ht="15.75" customHeight="1" s="372"/>
    <row r="950" ht="15.75" customHeight="1" s="372"/>
    <row r="951" ht="15.75" customHeight="1" s="372"/>
    <row r="952" ht="15.75" customHeight="1" s="372"/>
    <row r="953" ht="15.75" customHeight="1" s="372"/>
    <row r="954" ht="15.75" customHeight="1" s="372"/>
    <row r="955" ht="15.75" customHeight="1" s="372"/>
    <row r="956" ht="15.75" customHeight="1" s="372"/>
    <row r="957" ht="15.75" customHeight="1" s="372"/>
    <row r="958" ht="15.75" customHeight="1" s="372"/>
    <row r="959" ht="15.75" customHeight="1" s="372"/>
    <row r="960" ht="15.75" customHeight="1" s="372"/>
    <row r="961" ht="15.75" customHeight="1" s="372"/>
    <row r="962" ht="15.75" customHeight="1" s="372"/>
    <row r="963" ht="15.75" customHeight="1" s="372"/>
    <row r="964" ht="15.75" customHeight="1" s="372"/>
    <row r="965" ht="15.75" customHeight="1" s="372"/>
    <row r="966" ht="15.75" customHeight="1" s="372"/>
    <row r="967" ht="15.75" customHeight="1" s="372"/>
    <row r="968" ht="15.75" customHeight="1" s="372"/>
    <row r="969" ht="15.75" customHeight="1" s="372"/>
    <row r="970" ht="15.75" customHeight="1" s="372"/>
    <row r="971" ht="15.75" customHeight="1" s="372"/>
    <row r="972" ht="15.75" customHeight="1" s="372"/>
    <row r="973" ht="15.75" customHeight="1" s="372"/>
    <row r="974" ht="15.75" customHeight="1" s="372"/>
    <row r="975" ht="15.75" customHeight="1" s="372"/>
    <row r="976" ht="15.75" customHeight="1" s="372"/>
    <row r="977" ht="15.75" customHeight="1" s="372"/>
    <row r="978" ht="15.75" customHeight="1" s="372"/>
    <row r="979" ht="15.75" customHeight="1" s="372"/>
    <row r="980" ht="15.75" customHeight="1" s="372"/>
    <row r="981" ht="15.75" customHeight="1" s="372"/>
    <row r="982" ht="15.75" customHeight="1" s="372"/>
    <row r="983" ht="15.75" customHeight="1" s="372"/>
    <row r="984" ht="15.75" customHeight="1" s="372"/>
    <row r="985" ht="15.75" customHeight="1" s="372"/>
    <row r="986" ht="15.75" customHeight="1" s="372"/>
    <row r="987" ht="15.75" customHeight="1" s="372"/>
    <row r="988" ht="15.75" customHeight="1" s="372"/>
    <row r="989" ht="15.75" customHeight="1" s="372"/>
    <row r="990" ht="15.75" customHeight="1" s="372"/>
    <row r="991" ht="15.75" customHeight="1" s="372"/>
    <row r="992" ht="15.75" customHeight="1" s="372"/>
    <row r="993" ht="15.75" customHeight="1" s="372"/>
    <row r="994" ht="15.75" customHeight="1" s="372"/>
    <row r="995" ht="15.75" customHeight="1" s="372"/>
    <row r="996" ht="15.75" customHeight="1" s="372"/>
    <row r="997" ht="15.75" customHeight="1" s="372"/>
    <row r="998" ht="15.75" customHeight="1" s="372"/>
    <row r="999" ht="15.75" customHeight="1" s="372"/>
    <row r="1000" ht="15.75" customHeight="1" s="372"/>
  </sheetData>
  <mergeCells count="7">
    <mergeCell ref="A9:D9"/>
    <mergeCell ref="H2:I2"/>
    <mergeCell ref="A1:M1"/>
    <mergeCell ref="E2:F2"/>
    <mergeCell ref="A2:D2"/>
    <mergeCell ref="A3:F3"/>
    <mergeCell ref="E9:F9"/>
  </mergeCells>
  <dataValidations count="3">
    <dataValidation sqref="D6:D8 D10:D31" showDropDown="0" showInputMessage="0" showErrorMessage="0" allowBlank="1" type="list">
      <formula1>"Observer,Participant,Leader"</formula1>
    </dataValidation>
    <dataValidation sqref="C6:C8 C10:C31" showDropDown="0" showInputMessage="0" showErrorMessage="0" allowBlank="1" type="list">
      <formula1>"Elementary,Middle,High,Central Office,Agency,Other"</formula1>
    </dataValidation>
    <dataValidation sqref="O6 O7 O8 O10 O11 O12 O13 O14 O15 O16 O17 O18 O19 O20 O21 O22 O23 O24 O25 O26 O27 O28 O29 O30" showDropDown="0" showInputMessage="1" showErrorMessage="0" allowBlank="1" promptTitle="Completed" prompt="Choose Yes once you have finished this experience." type="list">
      <formula1>"Yes"</formula1>
    </dataValidation>
  </dataValidations>
  <pageMargins left="0.75" right="0.75" top="1" bottom="1" header="0" footer="0"/>
  <pageSetup orientation="portrait" paperSize="9"/>
</worksheet>
</file>

<file path=xl/worksheets/sheet11.xml><?xml version="1.0" encoding="utf-8"?>
<worksheet xmlns="http://schemas.openxmlformats.org/spreadsheetml/2006/main">
  <sheetPr>
    <tabColor rgb="FFFF0000"/>
    <outlinePr summaryBelow="1" summaryRight="1"/>
    <pageSetUpPr/>
  </sheetPr>
  <dimension ref="A1:Z29"/>
  <sheetViews>
    <sheetView workbookViewId="0">
      <pane ySplit="5" topLeftCell="A6" activePane="bottomLeft" state="frozen"/>
      <selection pane="bottomLeft" activeCell="B7" sqref="B7"/>
    </sheetView>
  </sheetViews>
  <sheetFormatPr baseColWidth="8" defaultColWidth="14.43" defaultRowHeight="15" customHeight="1"/>
  <cols>
    <col width="12" customWidth="1" style="372" min="1" max="2"/>
    <col width="14" customWidth="1" style="372" min="3" max="3"/>
    <col width="10" customWidth="1" style="372" min="4" max="4"/>
    <col width="55" customWidth="1" style="372" min="5" max="5"/>
    <col width="8" customWidth="1" style="372" min="6" max="6"/>
    <col width="5" customWidth="1" style="372" min="7" max="12"/>
    <col width="28" customWidth="1" style="372" min="13" max="13"/>
    <col width="29.71" customWidth="1" style="372" min="14" max="14"/>
    <col width="12" customWidth="1" style="372" min="15" max="26"/>
  </cols>
  <sheetData>
    <row r="1" ht="39.75" customHeight="1" s="372">
      <c r="A1" s="157" t="inlineStr">
        <is>
          <t>INTERNSHIP LOG  |  7815 – Leadership for Diverse Learners  |  Semester 5</t>
        </is>
      </c>
    </row>
    <row r="2" ht="36" customHeight="1" s="372">
      <c r="A2" s="19" t="inlineStr">
        <is>
          <t>Name: Pat Example      Placement(s): Invented Elementary</t>
        </is>
      </c>
      <c r="B2" s="373" t="n"/>
      <c r="C2" s="373" t="n"/>
      <c r="D2" s="373" t="n"/>
      <c r="E2" s="21" t="inlineStr">
        <is>
          <t>Total Hours Logged</t>
        </is>
      </c>
      <c r="F2" s="373" t="n"/>
      <c r="G2" s="22">
        <f>SUM(F6:F200)</f>
        <v/>
      </c>
      <c r="H2" s="23" t="inlineStr">
        <is>
          <t>Remaining</t>
        </is>
      </c>
      <c r="I2" s="373" t="n"/>
      <c r="J2" s="24">
        <f>(32-G2)</f>
        <v/>
      </c>
    </row>
    <row r="3" ht="19.5" customHeight="1" s="372">
      <c r="A3" s="25" t="inlineStr">
        <is>
          <t>Hours by Competency (auto-calculated from your X marks below):</t>
        </is>
      </c>
      <c r="G3" s="26">
        <f>SUMIF($G$6:$G$200,"X",$F$6:$F$200)</f>
        <v/>
      </c>
      <c r="H3" s="27">
        <f>SUMIF($H$6:$H$200,"X",$F$6:$F$200)</f>
        <v/>
      </c>
      <c r="I3" s="28">
        <f>SUMIF($I$6:$I$200,"X",$F$6:$F$200)</f>
        <v/>
      </c>
      <c r="J3" s="29">
        <f>SUMIF($J$6:$J$200,"X",$F$6:$F$200)</f>
        <v/>
      </c>
      <c r="K3" s="30">
        <f>SUMIF($K$6:$K$200,"X",$F$6:$F$200)</f>
        <v/>
      </c>
      <c r="L3" s="31">
        <f>SUMIF($L$6:$L$200,"X",$F$6:$F$200)</f>
        <v/>
      </c>
      <c r="M3" s="32" t="inlineStr">
        <is>
          <t>← Competency hour totals</t>
        </is>
      </c>
    </row>
    <row r="4" ht="6" customHeight="1" s="372"/>
    <row r="5" ht="31.5" customHeight="1" s="372">
      <c r="A5" s="33" t="inlineStr">
        <is>
          <t>Type</t>
        </is>
      </c>
      <c r="B5" s="33" t="inlineStr">
        <is>
          <t>Date</t>
        </is>
      </c>
      <c r="C5" s="33" t="inlineStr">
        <is>
          <t>Location</t>
        </is>
      </c>
      <c r="D5" s="33" t="inlineStr">
        <is>
          <t>Role</t>
        </is>
      </c>
      <c r="E5" s="33" t="inlineStr">
        <is>
          <t>Experience Description</t>
        </is>
      </c>
      <c r="F5" s="33" t="inlineStr">
        <is>
          <t>Hrs</t>
        </is>
      </c>
      <c r="G5" s="34" t="inlineStr">
        <is>
          <t>①</t>
        </is>
      </c>
      <c r="H5" s="35" t="inlineStr">
        <is>
          <t>②</t>
        </is>
      </c>
      <c r="I5" s="36" t="inlineStr">
        <is>
          <t>③</t>
        </is>
      </c>
      <c r="J5" s="37" t="inlineStr">
        <is>
          <t>④</t>
        </is>
      </c>
      <c r="K5" s="38" t="inlineStr">
        <is>
          <t>⑤</t>
        </is>
      </c>
      <c r="L5" s="39" t="inlineStr">
        <is>
          <t>⑥</t>
        </is>
      </c>
      <c r="M5" s="33" t="inlineStr">
        <is>
          <t>Evidence / Notes</t>
        </is>
      </c>
      <c r="N5" s="40" t="inlineStr">
        <is>
          <t>Site name</t>
        </is>
      </c>
      <c r="O5" s="40" t="inlineStr">
        <is>
          <t>Completed</t>
        </is>
      </c>
    </row>
    <row r="6" ht="49.5" customHeight="1" s="372">
      <c r="A6" s="41" t="inlineStr">
        <is>
          <t>EMBEDDED</t>
        </is>
      </c>
      <c r="B6" s="158" t="n"/>
      <c r="C6" s="43" t="n"/>
      <c r="D6" s="44" t="n"/>
      <c r="E6" s="45" t="inlineStr">
        <is>
          <t>Embedded Experience: Final Group Project on Social Justice Advocacy: This collaborative assignment asks you to develop and present an advocacy plan addressing a systemic equity issue in your school or division.</t>
        </is>
      </c>
      <c r="F6" s="46" t="n">
        <v>10</v>
      </c>
      <c r="G6" s="47" t="n"/>
      <c r="H6" s="48" t="n"/>
      <c r="I6" s="49" t="n"/>
      <c r="J6" s="160" t="n"/>
      <c r="K6" s="51" t="n"/>
      <c r="L6" s="163" t="inlineStr">
        <is>
          <t>X</t>
        </is>
      </c>
      <c r="M6" s="53" t="inlineStr">
        <is>
          <t>Submit: Assignment</t>
        </is>
      </c>
      <c r="N6" s="54" t="n"/>
      <c r="O6" s="54" t="n"/>
      <c r="P6" s="54" t="n"/>
      <c r="Q6" s="54" t="n"/>
      <c r="R6" s="54" t="n"/>
      <c r="S6" s="54" t="n"/>
      <c r="T6" s="54" t="n"/>
      <c r="U6" s="54" t="n"/>
      <c r="V6" s="54" t="n"/>
      <c r="W6" s="54" t="n"/>
      <c r="X6" s="54" t="n"/>
      <c r="Y6" s="54" t="n"/>
      <c r="Z6" s="54" t="n"/>
    </row>
    <row r="7" ht="45" customHeight="1" s="372">
      <c r="A7" s="55" t="inlineStr">
        <is>
          <t>ALIGNED</t>
        </is>
      </c>
      <c r="B7" s="56" t="n"/>
      <c r="C7" s="57" t="n"/>
      <c r="D7" s="57" t="n"/>
      <c r="E7" s="75" t="inlineStr">
        <is>
          <t>Aligned Experience: Shadow a Special Education Leader: Shadow and interview a division or school-based special education leader to understand their role, responsibilities, and challenges.</t>
        </is>
      </c>
      <c r="F7" s="59" t="n">
        <v>5</v>
      </c>
      <c r="G7" s="159" t="inlineStr">
        <is>
          <t>X</t>
        </is>
      </c>
      <c r="H7" s="48" t="n"/>
      <c r="I7" s="49" t="n"/>
      <c r="J7" s="160" t="n"/>
      <c r="K7" s="51" t="n"/>
      <c r="L7" s="52" t="n"/>
      <c r="M7" s="60" t="inlineStr">
        <is>
          <t>Submit: Journal – Competency 1</t>
        </is>
      </c>
      <c r="N7" s="54" t="n"/>
      <c r="O7" s="54" t="n"/>
      <c r="P7" s="54" t="n"/>
      <c r="Q7" s="54" t="n"/>
      <c r="R7" s="54" t="n"/>
      <c r="S7" s="54" t="n"/>
      <c r="T7" s="54" t="n"/>
      <c r="U7" s="54" t="n"/>
      <c r="V7" s="54" t="n"/>
      <c r="W7" s="54" t="n"/>
      <c r="X7" s="54" t="n"/>
      <c r="Y7" s="54" t="n"/>
      <c r="Z7" s="54" t="n"/>
    </row>
    <row r="8" ht="45" customHeight="1" s="372">
      <c r="A8" s="55" t="inlineStr">
        <is>
          <t>ALIGNED</t>
        </is>
      </c>
      <c r="B8" s="56" t="n"/>
      <c r="C8" s="57" t="n"/>
      <c r="D8" s="57" t="n"/>
      <c r="E8" s="75" t="inlineStr">
        <is>
          <t>Aligned Experience: Oversee or observe an IEP or RTI meeting with support from the school administrator.</t>
        </is>
      </c>
      <c r="F8" s="59" t="n">
        <v>5</v>
      </c>
      <c r="G8" s="47" t="n"/>
      <c r="H8" s="48" t="n"/>
      <c r="I8" s="49" t="n"/>
      <c r="J8" s="160" t="n"/>
      <c r="K8" s="51" t="n"/>
      <c r="L8" s="163" t="inlineStr">
        <is>
          <t>X</t>
        </is>
      </c>
      <c r="M8" s="60" t="inlineStr">
        <is>
          <t>Submit: Meeting Observation Form</t>
        </is>
      </c>
      <c r="N8" s="54" t="n"/>
      <c r="O8" s="54" t="n"/>
      <c r="P8" s="54" t="n"/>
      <c r="Q8" s="54" t="n"/>
      <c r="R8" s="54" t="n"/>
      <c r="S8" s="54" t="n"/>
      <c r="T8" s="54" t="n"/>
      <c r="U8" s="54" t="n"/>
      <c r="V8" s="54" t="n"/>
      <c r="W8" s="54" t="n"/>
      <c r="X8" s="54" t="n"/>
      <c r="Y8" s="54" t="n"/>
      <c r="Z8" s="54" t="n"/>
    </row>
    <row r="9" ht="27.75" customHeight="1" s="372">
      <c r="A9" s="374" t="inlineStr">
        <is>
          <t>⭐  CHOICE HOURS  —  12 hours needed this semester</t>
        </is>
      </c>
      <c r="B9" s="375" t="n"/>
      <c r="C9" s="375" t="n"/>
      <c r="D9" s="376" t="n"/>
      <c r="E9" s="377">
        <f>IF(SUMIF(A10:A59,"CHOICE",F10:F59)&gt;=12,"✅ Choice Hours Met!","⚠ Still need: "&amp;(12-SUMIF(A10:A59,"CHOICE",F10:F59))&amp;" more hours")</f>
        <v/>
      </c>
      <c r="F9" s="376" t="n"/>
      <c r="G9" s="65" t="inlineStr">
        <is>
          <t>1. I</t>
        </is>
      </c>
      <c r="H9" s="66" t="inlineStr">
        <is>
          <t>2. O</t>
        </is>
      </c>
      <c r="I9" s="67" t="inlineStr">
        <is>
          <t>3. O</t>
        </is>
      </c>
      <c r="J9" s="68" t="inlineStr">
        <is>
          <t>4. S</t>
        </is>
      </c>
      <c r="K9" s="69" t="inlineStr">
        <is>
          <t>5. P</t>
        </is>
      </c>
      <c r="L9" s="70" t="inlineStr">
        <is>
          <t>6. A</t>
        </is>
      </c>
      <c r="M9" s="71" t="inlineStr">
        <is>
          <t>No evidence required for choice hours</t>
        </is>
      </c>
      <c r="N9" s="54" t="n"/>
      <c r="O9" s="54" t="n"/>
      <c r="P9" s="54" t="n"/>
      <c r="Q9" s="54" t="n"/>
      <c r="R9" s="54" t="n"/>
      <c r="S9" s="54" t="n"/>
      <c r="T9" s="54" t="n"/>
      <c r="U9" s="54" t="n"/>
      <c r="V9" s="54" t="n"/>
      <c r="W9" s="54" t="n"/>
      <c r="X9" s="54" t="n"/>
      <c r="Y9" s="54" t="n"/>
      <c r="Z9" s="54" t="n"/>
    </row>
    <row r="10" ht="34.5" customHeight="1" s="372">
      <c r="A10" s="72" t="inlineStr">
        <is>
          <t>CHOICE</t>
        </is>
      </c>
      <c r="B10" s="87" t="n"/>
      <c r="C10" s="87" t="n"/>
      <c r="D10" s="87" t="n"/>
      <c r="E10" s="152" t="n"/>
      <c r="F10" s="153" t="n"/>
      <c r="G10" s="84" t="n"/>
      <c r="H10" s="154" t="n"/>
      <c r="I10" s="85" t="n"/>
      <c r="J10" s="80" t="n"/>
      <c r="K10" s="81" t="n"/>
      <c r="L10" s="82" t="n"/>
      <c r="M10" s="87" t="n"/>
      <c r="N10" s="54" t="n"/>
      <c r="O10" s="54" t="n"/>
      <c r="P10" s="54" t="n"/>
      <c r="Q10" s="54" t="n"/>
      <c r="R10" s="54" t="n"/>
      <c r="S10" s="54" t="n"/>
      <c r="T10" s="54" t="n"/>
      <c r="U10" s="54" t="n"/>
      <c r="V10" s="54" t="n"/>
      <c r="W10" s="54" t="n"/>
      <c r="X10" s="54" t="n"/>
      <c r="Y10" s="54" t="n"/>
      <c r="Z10" s="54" t="n"/>
    </row>
    <row r="11" ht="34.5" customHeight="1" s="372">
      <c r="A11" s="72" t="inlineStr">
        <is>
          <t>CHOICE</t>
        </is>
      </c>
      <c r="B11" s="87" t="n"/>
      <c r="C11" s="87" t="n"/>
      <c r="D11" s="87" t="n"/>
      <c r="E11" s="152" t="n"/>
      <c r="F11" s="153" t="n"/>
      <c r="G11" s="84" t="n"/>
      <c r="H11" s="154" t="n"/>
      <c r="I11" s="85" t="n"/>
      <c r="J11" s="80" t="n"/>
      <c r="K11" s="81" t="n"/>
      <c r="L11" s="82" t="n"/>
      <c r="M11" s="87" t="n"/>
      <c r="N11" s="54" t="n"/>
      <c r="O11" s="54" t="n"/>
      <c r="P11" s="54" t="n"/>
      <c r="Q11" s="54" t="n"/>
      <c r="R11" s="54" t="n"/>
      <c r="S11" s="54" t="n"/>
      <c r="T11" s="54" t="n"/>
      <c r="U11" s="54" t="n"/>
      <c r="V11" s="54" t="n"/>
      <c r="W11" s="54" t="n"/>
      <c r="X11" s="54" t="n"/>
      <c r="Y11" s="54" t="n"/>
      <c r="Z11" s="54" t="n"/>
    </row>
    <row r="12" ht="34.5" customHeight="1" s="372">
      <c r="A12" s="72" t="inlineStr">
        <is>
          <t>CHOICE</t>
        </is>
      </c>
      <c r="B12" s="87" t="n"/>
      <c r="C12" s="87" t="n"/>
      <c r="D12" s="87" t="n"/>
      <c r="E12" s="152" t="n"/>
      <c r="F12" s="153" t="n"/>
      <c r="G12" s="84" t="n"/>
      <c r="H12" s="154" t="n"/>
      <c r="I12" s="85" t="n"/>
      <c r="J12" s="80" t="n"/>
      <c r="K12" s="81" t="n"/>
      <c r="L12" s="82" t="n"/>
      <c r="M12" s="87" t="n"/>
      <c r="N12" s="54" t="n"/>
      <c r="O12" s="54" t="n"/>
      <c r="P12" s="54" t="n"/>
      <c r="Q12" s="54" t="n"/>
      <c r="R12" s="54" t="n"/>
      <c r="S12" s="54" t="n"/>
      <c r="T12" s="54" t="n"/>
      <c r="U12" s="54" t="n"/>
      <c r="V12" s="54" t="n"/>
      <c r="W12" s="54" t="n"/>
      <c r="X12" s="54" t="n"/>
      <c r="Y12" s="54" t="n"/>
      <c r="Z12" s="54" t="n"/>
    </row>
    <row r="13" ht="34.5" customHeight="1" s="372">
      <c r="A13" s="72" t="inlineStr">
        <is>
          <t>CHOICE</t>
        </is>
      </c>
      <c r="B13" s="87" t="n"/>
      <c r="C13" s="87" t="n"/>
      <c r="D13" s="87" t="n"/>
      <c r="E13" s="152" t="n"/>
      <c r="F13" s="153" t="n"/>
      <c r="G13" s="84" t="n"/>
      <c r="H13" s="154" t="n"/>
      <c r="I13" s="85" t="n"/>
      <c r="J13" s="80" t="n"/>
      <c r="K13" s="81" t="n"/>
      <c r="L13" s="82" t="n"/>
      <c r="M13" s="87" t="n"/>
      <c r="N13" s="54" t="n"/>
      <c r="O13" s="54" t="n"/>
      <c r="P13" s="54" t="n"/>
      <c r="Q13" s="54" t="n"/>
      <c r="R13" s="54" t="n"/>
      <c r="S13" s="54" t="n"/>
      <c r="T13" s="54" t="n"/>
      <c r="U13" s="54" t="n"/>
      <c r="V13" s="54" t="n"/>
      <c r="W13" s="54" t="n"/>
      <c r="X13" s="54" t="n"/>
      <c r="Y13" s="54" t="n"/>
      <c r="Z13" s="54" t="n"/>
    </row>
    <row r="14" ht="34.5" customHeight="1" s="372">
      <c r="A14" s="72" t="inlineStr">
        <is>
          <t>CHOICE</t>
        </is>
      </c>
      <c r="B14" s="87" t="n"/>
      <c r="C14" s="87" t="n"/>
      <c r="D14" s="87" t="n"/>
      <c r="E14" s="152" t="n"/>
      <c r="F14" s="153" t="n"/>
      <c r="G14" s="84" t="n"/>
      <c r="H14" s="154" t="n"/>
      <c r="I14" s="85" t="n"/>
      <c r="J14" s="80" t="n"/>
      <c r="K14" s="81" t="n"/>
      <c r="L14" s="82" t="n"/>
      <c r="M14" s="87" t="n"/>
      <c r="N14" s="54" t="n"/>
      <c r="O14" s="54" t="n"/>
      <c r="P14" s="54" t="n"/>
      <c r="Q14" s="54" t="n"/>
      <c r="R14" s="54" t="n"/>
      <c r="S14" s="54" t="n"/>
      <c r="T14" s="54" t="n"/>
      <c r="U14" s="54" t="n"/>
      <c r="V14" s="54" t="n"/>
      <c r="W14" s="54" t="n"/>
      <c r="X14" s="54" t="n"/>
      <c r="Y14" s="54" t="n"/>
      <c r="Z14" s="54" t="n"/>
    </row>
    <row r="15" ht="34.5" customHeight="1" s="372">
      <c r="A15" s="72" t="inlineStr">
        <is>
          <t>CHOICE</t>
        </is>
      </c>
      <c r="B15" s="87" t="n"/>
      <c r="C15" s="87" t="n"/>
      <c r="D15" s="87" t="n"/>
      <c r="E15" s="152" t="n"/>
      <c r="F15" s="153" t="n"/>
      <c r="G15" s="84" t="n"/>
      <c r="H15" s="154" t="n"/>
      <c r="I15" s="85" t="n"/>
      <c r="J15" s="80" t="n"/>
      <c r="K15" s="81" t="n"/>
      <c r="L15" s="82" t="n"/>
      <c r="M15" s="87" t="n"/>
      <c r="N15" s="54" t="n"/>
      <c r="O15" s="54" t="n"/>
      <c r="P15" s="54" t="n"/>
      <c r="Q15" s="54" t="n"/>
      <c r="R15" s="54" t="n"/>
      <c r="S15" s="54" t="n"/>
      <c r="T15" s="54" t="n"/>
      <c r="U15" s="54" t="n"/>
      <c r="V15" s="54" t="n"/>
      <c r="W15" s="54" t="n"/>
      <c r="X15" s="54" t="n"/>
      <c r="Y15" s="54" t="n"/>
      <c r="Z15" s="54" t="n"/>
    </row>
    <row r="16" ht="34.5" customHeight="1" s="372">
      <c r="A16" s="94" t="inlineStr">
        <is>
          <t>CHOICE</t>
        </is>
      </c>
      <c r="B16" s="95" t="n"/>
      <c r="C16" s="95" t="n"/>
      <c r="D16" s="95" t="n"/>
      <c r="E16" s="96" t="n"/>
      <c r="F16" s="97" t="n"/>
      <c r="G16" s="98" t="n"/>
      <c r="H16" s="99" t="n"/>
      <c r="I16" s="100" t="n"/>
      <c r="J16" s="101" t="n"/>
      <c r="K16" s="102" t="n"/>
      <c r="L16" s="103" t="n"/>
      <c r="M16" s="95" t="n"/>
    </row>
    <row r="17" ht="34.5" customHeight="1" s="372">
      <c r="A17" s="104" t="inlineStr">
        <is>
          <t>CHOICE</t>
        </is>
      </c>
      <c r="B17" s="105" t="n"/>
      <c r="C17" s="105" t="n"/>
      <c r="D17" s="105" t="n"/>
      <c r="E17" s="106" t="n"/>
      <c r="F17" s="107" t="n"/>
      <c r="G17" s="108" t="n"/>
      <c r="H17" s="109" t="n"/>
      <c r="I17" s="110" t="n"/>
      <c r="J17" s="111" t="n"/>
      <c r="K17" s="112" t="n"/>
      <c r="L17" s="113" t="n"/>
      <c r="M17" s="105" t="n"/>
    </row>
    <row r="18" ht="34.5" customHeight="1" s="372">
      <c r="A18" s="104" t="inlineStr">
        <is>
          <t>CHOICE</t>
        </is>
      </c>
      <c r="B18" s="105" t="n"/>
      <c r="C18" s="105" t="n"/>
      <c r="D18" s="105" t="n"/>
      <c r="E18" s="106" t="n"/>
      <c r="F18" s="107" t="n"/>
      <c r="G18" s="108" t="n"/>
      <c r="H18" s="109" t="n"/>
      <c r="I18" s="110" t="n"/>
      <c r="J18" s="111" t="n"/>
      <c r="K18" s="112" t="n"/>
      <c r="L18" s="113" t="n"/>
      <c r="M18" s="105" t="n"/>
    </row>
    <row r="19" ht="24.75" customHeight="1" s="372">
      <c r="A19" s="114" t="inlineStr">
        <is>
          <t>CHOICE</t>
        </is>
      </c>
      <c r="B19" s="105" t="n"/>
      <c r="C19" s="105" t="n"/>
      <c r="D19" s="105" t="n"/>
      <c r="E19" s="105" t="n"/>
      <c r="F19" s="105" t="n"/>
      <c r="G19" s="105" t="n"/>
      <c r="H19" s="105" t="n"/>
      <c r="I19" s="105" t="n"/>
      <c r="J19" s="105" t="n"/>
      <c r="K19" s="105" t="n"/>
      <c r="L19" s="105" t="n"/>
      <c r="M19" s="105" t="n"/>
    </row>
    <row r="20" ht="24.75" customHeight="1" s="372">
      <c r="A20" s="114" t="inlineStr">
        <is>
          <t>CHOICE</t>
        </is>
      </c>
      <c r="B20" s="105" t="n"/>
      <c r="C20" s="105" t="n"/>
      <c r="D20" s="105" t="n"/>
      <c r="E20" s="105" t="n"/>
      <c r="F20" s="105" t="n"/>
      <c r="G20" s="105" t="n"/>
      <c r="H20" s="105" t="n"/>
      <c r="I20" s="105" t="n"/>
      <c r="J20" s="105" t="n"/>
      <c r="K20" s="105" t="n"/>
      <c r="L20" s="105" t="n"/>
      <c r="M20" s="105" t="n"/>
    </row>
    <row r="21" ht="24.75" customHeight="1" s="372">
      <c r="A21" s="114" t="inlineStr">
        <is>
          <t>CHOICE</t>
        </is>
      </c>
      <c r="B21" s="105" t="n"/>
      <c r="C21" s="105" t="n"/>
      <c r="D21" s="105" t="n"/>
      <c r="E21" s="105" t="n"/>
      <c r="F21" s="105" t="n"/>
      <c r="G21" s="105" t="n"/>
      <c r="H21" s="105" t="n"/>
      <c r="I21" s="105" t="n"/>
      <c r="J21" s="105" t="n"/>
      <c r="K21" s="105" t="n"/>
      <c r="L21" s="105" t="n"/>
      <c r="M21" s="105" t="n"/>
    </row>
    <row r="22" ht="24.75" customHeight="1" s="372">
      <c r="A22" s="114" t="inlineStr">
        <is>
          <t>CHOICE</t>
        </is>
      </c>
      <c r="B22" s="105" t="n"/>
      <c r="C22" s="105" t="n"/>
      <c r="D22" s="105" t="n"/>
      <c r="E22" s="105" t="n"/>
      <c r="F22" s="105" t="n"/>
      <c r="G22" s="105" t="n"/>
      <c r="H22" s="105" t="n"/>
      <c r="I22" s="105" t="n"/>
      <c r="J22" s="105" t="n"/>
      <c r="K22" s="105" t="n"/>
      <c r="L22" s="105" t="n"/>
      <c r="M22" s="105" t="n"/>
    </row>
    <row r="23" ht="24.75" customHeight="1" s="372">
      <c r="A23" s="114" t="inlineStr">
        <is>
          <t>CHOICE</t>
        </is>
      </c>
      <c r="B23" s="105" t="n"/>
      <c r="C23" s="105" t="n"/>
      <c r="D23" s="105" t="n"/>
      <c r="E23" s="105" t="n"/>
      <c r="F23" s="105" t="n"/>
      <c r="G23" s="105" t="n"/>
      <c r="H23" s="105" t="n"/>
      <c r="I23" s="105" t="n"/>
      <c r="J23" s="105" t="n"/>
      <c r="K23" s="105" t="n"/>
      <c r="L23" s="105" t="n"/>
      <c r="M23" s="105" t="n"/>
    </row>
    <row r="24" ht="24.75" customHeight="1" s="372">
      <c r="A24" s="114" t="inlineStr">
        <is>
          <t>CHOICE</t>
        </is>
      </c>
      <c r="B24" s="105" t="n"/>
      <c r="C24" s="105" t="n"/>
      <c r="D24" s="105" t="n"/>
      <c r="E24" s="105" t="n"/>
      <c r="F24" s="105" t="n"/>
      <c r="G24" s="105" t="n"/>
      <c r="H24" s="105" t="n"/>
      <c r="I24" s="105" t="n"/>
      <c r="J24" s="105" t="n"/>
      <c r="K24" s="105" t="n"/>
      <c r="L24" s="105" t="n"/>
      <c r="M24" s="105" t="n"/>
    </row>
    <row r="25" ht="24.75" customHeight="1" s="372">
      <c r="A25" s="114" t="inlineStr">
        <is>
          <t>CHOICE</t>
        </is>
      </c>
      <c r="B25" s="105" t="n"/>
      <c r="C25" s="105" t="n"/>
      <c r="D25" s="105" t="n"/>
      <c r="E25" s="105" t="n"/>
      <c r="F25" s="105" t="n"/>
      <c r="G25" s="105" t="n"/>
      <c r="H25" s="105" t="n"/>
      <c r="I25" s="105" t="n"/>
      <c r="J25" s="105" t="n"/>
      <c r="K25" s="105" t="n"/>
      <c r="L25" s="105" t="n"/>
      <c r="M25" s="105" t="n"/>
    </row>
    <row r="26" ht="24.75" customHeight="1" s="372">
      <c r="A26" s="114" t="inlineStr">
        <is>
          <t>CHOICE</t>
        </is>
      </c>
      <c r="B26" s="105" t="n"/>
      <c r="C26" s="105" t="n"/>
      <c r="D26" s="105" t="n"/>
      <c r="E26" s="105" t="n"/>
      <c r="F26" s="105" t="n"/>
      <c r="G26" s="105" t="n"/>
      <c r="H26" s="105" t="n"/>
      <c r="I26" s="105" t="n"/>
      <c r="J26" s="105" t="n"/>
      <c r="K26" s="105" t="n"/>
      <c r="L26" s="105" t="n"/>
      <c r="M26" s="105" t="n"/>
    </row>
    <row r="27" ht="24.75" customHeight="1" s="372">
      <c r="A27" s="114" t="inlineStr">
        <is>
          <t>CHOICE</t>
        </is>
      </c>
      <c r="B27" s="105" t="n"/>
      <c r="C27" s="105" t="n"/>
      <c r="D27" s="105" t="n"/>
      <c r="E27" s="105" t="n"/>
      <c r="F27" s="105" t="n"/>
      <c r="G27" s="105" t="n"/>
      <c r="H27" s="105" t="n"/>
      <c r="I27" s="105" t="n"/>
      <c r="J27" s="105" t="n"/>
      <c r="K27" s="105" t="n"/>
      <c r="L27" s="105" t="n"/>
      <c r="M27" s="105" t="n"/>
    </row>
    <row r="28" ht="24.75" customHeight="1" s="372">
      <c r="A28" s="114" t="inlineStr">
        <is>
          <t>CHOICE</t>
        </is>
      </c>
      <c r="B28" s="105" t="n"/>
      <c r="C28" s="105" t="n"/>
      <c r="D28" s="105" t="n"/>
      <c r="E28" s="105" t="n"/>
      <c r="F28" s="105" t="n"/>
      <c r="G28" s="105" t="n"/>
      <c r="H28" s="105" t="n"/>
      <c r="I28" s="105" t="n"/>
      <c r="J28" s="105" t="n"/>
      <c r="K28" s="105" t="n"/>
      <c r="L28" s="105" t="n"/>
      <c r="M28" s="105" t="n"/>
    </row>
    <row r="29" ht="15.75" customHeight="1" s="372">
      <c r="C29" s="115" t="n"/>
      <c r="D29" s="115" t="n"/>
    </row>
    <row r="30" ht="15.75" customHeight="1" s="372"/>
    <row r="31" ht="15.75" customHeight="1" s="372"/>
    <row r="32" ht="15.75" customHeight="1" s="372"/>
    <row r="33" ht="15.75" customHeight="1" s="372"/>
    <row r="34" ht="15.75" customHeight="1" s="372"/>
    <row r="35" ht="15.75" customHeight="1" s="372"/>
    <row r="36" ht="15.75" customHeight="1" s="372"/>
    <row r="37" ht="15.75" customHeight="1" s="372"/>
    <row r="38" ht="15.75" customHeight="1" s="372"/>
    <row r="39" ht="15.75" customHeight="1" s="372"/>
    <row r="40" ht="15.75" customHeight="1" s="372"/>
    <row r="41" ht="15.75" customHeight="1" s="372"/>
    <row r="42" ht="15.75" customHeight="1" s="372"/>
    <row r="43" ht="15.75" customHeight="1" s="372"/>
    <row r="44" ht="15.75" customHeight="1" s="372"/>
    <row r="45" ht="15.75" customHeight="1" s="372"/>
    <row r="46" ht="15.75" customHeight="1" s="372"/>
    <row r="47" ht="15.75" customHeight="1" s="372"/>
    <row r="48" ht="15.75" customHeight="1" s="372"/>
    <row r="49" ht="15.75" customHeight="1" s="372"/>
    <row r="50" ht="15.75" customHeight="1" s="372"/>
    <row r="51" ht="15.75" customHeight="1" s="372"/>
    <row r="52" ht="15.75" customHeight="1" s="372"/>
    <row r="53" ht="15.75" customHeight="1" s="372"/>
    <row r="54" ht="15.75" customHeight="1" s="372"/>
    <row r="55" ht="15.75" customHeight="1" s="372"/>
    <row r="56" ht="15.75" customHeight="1" s="372"/>
    <row r="57" ht="15.75" customHeight="1" s="372"/>
    <row r="58" ht="15.75" customHeight="1" s="372"/>
    <row r="59" ht="15.75" customHeight="1" s="372"/>
    <row r="60" ht="15.75" customHeight="1" s="372"/>
    <row r="61" ht="15.75" customHeight="1" s="372"/>
    <row r="62" ht="15.75" customHeight="1" s="372"/>
    <row r="63" ht="15.75" customHeight="1" s="372"/>
    <row r="64" ht="15.75" customHeight="1" s="372"/>
    <row r="65" ht="15.75" customHeight="1" s="372"/>
    <row r="66" ht="15.75" customHeight="1" s="372"/>
    <row r="67" ht="15.75" customHeight="1" s="372"/>
    <row r="68" ht="15.75" customHeight="1" s="372"/>
    <row r="69" ht="15.75" customHeight="1" s="372"/>
    <row r="70" ht="15.75" customHeight="1" s="372"/>
    <row r="71" ht="15.75" customHeight="1" s="372"/>
    <row r="72" ht="15.75" customHeight="1" s="372"/>
    <row r="73" ht="15.75" customHeight="1" s="372"/>
    <row r="74" ht="15.75" customHeight="1" s="372"/>
    <row r="75" ht="15.75" customHeight="1" s="372"/>
    <row r="76" ht="15.75" customHeight="1" s="372"/>
    <row r="77" ht="15.75" customHeight="1" s="372"/>
    <row r="78" ht="15.75" customHeight="1" s="372"/>
    <row r="79" ht="15.75" customHeight="1" s="372"/>
    <row r="80" ht="15.75" customHeight="1" s="372"/>
    <row r="81" ht="15.75" customHeight="1" s="372"/>
    <row r="82" ht="15.75" customHeight="1" s="372"/>
    <row r="83" ht="15.75" customHeight="1" s="372"/>
    <row r="84" ht="15.75" customHeight="1" s="372"/>
    <row r="85" ht="15.75" customHeight="1" s="372"/>
    <row r="86" ht="15.75" customHeight="1" s="372"/>
    <row r="87" ht="15.75" customHeight="1" s="372"/>
    <row r="88" ht="15.75" customHeight="1" s="372"/>
    <row r="89" ht="15.75" customHeight="1" s="372"/>
    <row r="90" ht="15.75" customHeight="1" s="372"/>
    <row r="91" ht="15.75" customHeight="1" s="372"/>
    <row r="92" ht="15.75" customHeight="1" s="372"/>
    <row r="93" ht="15.75" customHeight="1" s="372"/>
    <row r="94" ht="15.75" customHeight="1" s="372"/>
    <row r="95" ht="15.75" customHeight="1" s="372"/>
    <row r="96" ht="15.75" customHeight="1" s="372"/>
    <row r="97" ht="15.75" customHeight="1" s="372"/>
    <row r="98" ht="15.75" customHeight="1" s="372"/>
    <row r="99" ht="15.75" customHeight="1" s="372"/>
    <row r="100" ht="15.75" customHeight="1" s="372"/>
    <row r="101" ht="15.75" customHeight="1" s="372"/>
    <row r="102" ht="15.75" customHeight="1" s="372"/>
    <row r="103" ht="15.75" customHeight="1" s="372"/>
    <row r="104" ht="15.75" customHeight="1" s="372"/>
    <row r="105" ht="15.75" customHeight="1" s="372"/>
    <row r="106" ht="15.75" customHeight="1" s="372"/>
    <row r="107" ht="15.75" customHeight="1" s="372"/>
    <row r="108" ht="15.75" customHeight="1" s="372"/>
    <row r="109" ht="15.75" customHeight="1" s="372"/>
    <row r="110" ht="15.75" customHeight="1" s="372"/>
    <row r="111" ht="15.75" customHeight="1" s="372"/>
    <row r="112" ht="15.75" customHeight="1" s="372"/>
    <row r="113" ht="15.75" customHeight="1" s="372"/>
    <row r="114" ht="15.75" customHeight="1" s="372"/>
    <row r="115" ht="15.75" customHeight="1" s="372"/>
    <row r="116" ht="15.75" customHeight="1" s="372"/>
    <row r="117" ht="15.75" customHeight="1" s="372"/>
    <row r="118" ht="15.75" customHeight="1" s="372"/>
    <row r="119" ht="15.75" customHeight="1" s="372"/>
    <row r="120" ht="15.75" customHeight="1" s="372"/>
    <row r="121" ht="15.75" customHeight="1" s="372"/>
    <row r="122" ht="15.75" customHeight="1" s="372"/>
    <row r="123" ht="15.75" customHeight="1" s="372"/>
    <row r="124" ht="15.75" customHeight="1" s="372"/>
    <row r="125" ht="15.75" customHeight="1" s="372"/>
    <row r="126" ht="15.75" customHeight="1" s="372"/>
    <row r="127" ht="15.75" customHeight="1" s="372"/>
    <row r="128" ht="15.75" customHeight="1" s="372"/>
    <row r="129" ht="15.75" customHeight="1" s="372"/>
    <row r="130" ht="15.75" customHeight="1" s="372"/>
    <row r="131" ht="15.75" customHeight="1" s="372"/>
    <row r="132" ht="15.75" customHeight="1" s="372"/>
    <row r="133" ht="15.75" customHeight="1" s="372"/>
    <row r="134" ht="15.75" customHeight="1" s="372"/>
    <row r="135" ht="15.75" customHeight="1" s="372"/>
    <row r="136" ht="15.75" customHeight="1" s="372"/>
    <row r="137" ht="15.75" customHeight="1" s="372"/>
    <row r="138" ht="15.75" customHeight="1" s="372"/>
    <row r="139" ht="15.75" customHeight="1" s="372"/>
    <row r="140" ht="15.75" customHeight="1" s="372"/>
    <row r="141" ht="15.75" customHeight="1" s="372"/>
    <row r="142" ht="15.75" customHeight="1" s="372"/>
    <row r="143" ht="15.75" customHeight="1" s="372"/>
    <row r="144" ht="15.75" customHeight="1" s="372"/>
    <row r="145" ht="15.75" customHeight="1" s="372"/>
    <row r="146" ht="15.75" customHeight="1" s="372"/>
    <row r="147" ht="15.75" customHeight="1" s="372"/>
    <row r="148" ht="15.75" customHeight="1" s="372"/>
    <row r="149" ht="15.75" customHeight="1" s="372"/>
    <row r="150" ht="15.75" customHeight="1" s="372"/>
    <row r="151" ht="15.75" customHeight="1" s="372"/>
    <row r="152" ht="15.75" customHeight="1" s="372"/>
    <row r="153" ht="15.75" customHeight="1" s="372"/>
    <row r="154" ht="15.75" customHeight="1" s="372"/>
    <row r="155" ht="15.75" customHeight="1" s="372"/>
    <row r="156" ht="15.75" customHeight="1" s="372"/>
    <row r="157" ht="15.75" customHeight="1" s="372"/>
    <row r="158" ht="15.75" customHeight="1" s="372"/>
    <row r="159" ht="15.75" customHeight="1" s="372"/>
    <row r="160" ht="15.75" customHeight="1" s="372"/>
    <row r="161" ht="15.75" customHeight="1" s="372"/>
    <row r="162" ht="15.75" customHeight="1" s="372"/>
    <row r="163" ht="15.75" customHeight="1" s="372"/>
    <row r="164" ht="15.75" customHeight="1" s="372"/>
    <row r="165" ht="15.75" customHeight="1" s="372"/>
    <row r="166" ht="15.75" customHeight="1" s="372"/>
    <row r="167" ht="15.75" customHeight="1" s="372"/>
    <row r="168" ht="15.75" customHeight="1" s="372"/>
    <row r="169" ht="15.75" customHeight="1" s="372"/>
    <row r="170" ht="15.75" customHeight="1" s="372"/>
    <row r="171" ht="15.75" customHeight="1" s="372"/>
    <row r="172" ht="15.75" customHeight="1" s="372"/>
    <row r="173" ht="15.75" customHeight="1" s="372"/>
    <row r="174" ht="15.75" customHeight="1" s="372"/>
    <row r="175" ht="15.75" customHeight="1" s="372"/>
    <row r="176" ht="15.75" customHeight="1" s="372"/>
    <row r="177" ht="15.75" customHeight="1" s="372"/>
    <row r="178" ht="15.75" customHeight="1" s="372"/>
    <row r="179" ht="15.75" customHeight="1" s="372"/>
    <row r="180" ht="15.75" customHeight="1" s="372"/>
    <row r="181" ht="15.75" customHeight="1" s="372"/>
    <row r="182" ht="15.75" customHeight="1" s="372"/>
    <row r="183" ht="15.75" customHeight="1" s="372"/>
    <row r="184" ht="15.75" customHeight="1" s="372"/>
    <row r="185" ht="15.75" customHeight="1" s="372"/>
    <row r="186" ht="15.75" customHeight="1" s="372"/>
    <row r="187" ht="15.75" customHeight="1" s="372"/>
    <row r="188" ht="15.75" customHeight="1" s="372"/>
    <row r="189" ht="15.75" customHeight="1" s="372"/>
    <row r="190" ht="15.75" customHeight="1" s="372"/>
    <row r="191" ht="15.75" customHeight="1" s="372"/>
    <row r="192" ht="15.75" customHeight="1" s="372"/>
    <row r="193" ht="15.75" customHeight="1" s="372"/>
    <row r="194" ht="15.75" customHeight="1" s="372"/>
    <row r="195" ht="15.75" customHeight="1" s="372"/>
    <row r="196" ht="15.75" customHeight="1" s="372"/>
    <row r="197" ht="15.75" customHeight="1" s="372"/>
    <row r="198" ht="15.75" customHeight="1" s="372"/>
    <row r="199" ht="15.75" customHeight="1" s="372"/>
    <row r="200" ht="15.75" customHeight="1" s="372"/>
    <row r="201" ht="15.75" customHeight="1" s="372"/>
    <row r="202" ht="15.75" customHeight="1" s="372"/>
    <row r="203" ht="15.75" customHeight="1" s="372"/>
    <row r="204" ht="15.75" customHeight="1" s="372"/>
    <row r="205" ht="15.75" customHeight="1" s="372"/>
    <row r="206" ht="15.75" customHeight="1" s="372"/>
    <row r="207" ht="15.75" customHeight="1" s="372"/>
    <row r="208" ht="15.75" customHeight="1" s="372"/>
    <row r="209" ht="15.75" customHeight="1" s="372"/>
    <row r="210" ht="15.75" customHeight="1" s="372"/>
    <row r="211" ht="15.75" customHeight="1" s="372"/>
    <row r="212" ht="15.75" customHeight="1" s="372"/>
    <row r="213" ht="15.75" customHeight="1" s="372"/>
    <row r="214" ht="15.75" customHeight="1" s="372"/>
    <row r="215" ht="15.75" customHeight="1" s="372"/>
    <row r="216" ht="15.75" customHeight="1" s="372"/>
    <row r="217" ht="15.75" customHeight="1" s="372"/>
    <row r="218" ht="15.75" customHeight="1" s="372"/>
    <row r="219" ht="15.75" customHeight="1" s="372"/>
    <row r="220" ht="15.75" customHeight="1" s="372"/>
    <row r="221" ht="15.75" customHeight="1" s="372"/>
    <row r="222" ht="15.75" customHeight="1" s="372"/>
    <row r="223" ht="15.75" customHeight="1" s="372"/>
    <row r="224" ht="15.75" customHeight="1" s="372"/>
    <row r="225" ht="15.75" customHeight="1" s="372"/>
    <row r="226" ht="15.75" customHeight="1" s="372"/>
    <row r="227" ht="15.75" customHeight="1" s="372"/>
    <row r="228" ht="15.75" customHeight="1" s="372"/>
    <row r="229" ht="15.75" customHeight="1" s="372"/>
    <row r="230" ht="15.75" customHeight="1" s="372"/>
    <row r="231" ht="15.75" customHeight="1" s="372"/>
    <row r="232" ht="15.75" customHeight="1" s="372"/>
    <row r="233" ht="15.75" customHeight="1" s="372"/>
    <row r="234" ht="15.75" customHeight="1" s="372"/>
    <row r="235" ht="15.75" customHeight="1" s="372"/>
    <row r="236" ht="15.75" customHeight="1" s="372"/>
    <row r="237" ht="15.75" customHeight="1" s="372"/>
    <row r="238" ht="15.75" customHeight="1" s="372"/>
    <row r="239" ht="15.75" customHeight="1" s="372"/>
    <row r="240" ht="15.75" customHeight="1" s="372"/>
    <row r="241" ht="15.75" customHeight="1" s="372"/>
    <row r="242" ht="15.75" customHeight="1" s="372"/>
    <row r="243" ht="15.75" customHeight="1" s="372"/>
    <row r="244" ht="15.75" customHeight="1" s="372"/>
    <row r="245" ht="15.75" customHeight="1" s="372"/>
    <row r="246" ht="15.75" customHeight="1" s="372"/>
    <row r="247" ht="15.75" customHeight="1" s="372"/>
    <row r="248" ht="15.75" customHeight="1" s="372"/>
    <row r="249" ht="15.75" customHeight="1" s="372"/>
    <row r="250" ht="15.75" customHeight="1" s="372"/>
    <row r="251" ht="15.75" customHeight="1" s="372"/>
    <row r="252" ht="15.75" customHeight="1" s="372"/>
    <row r="253" ht="15.75" customHeight="1" s="372"/>
    <row r="254" ht="15.75" customHeight="1" s="372"/>
    <row r="255" ht="15.75" customHeight="1" s="372"/>
    <row r="256" ht="15.75" customHeight="1" s="372"/>
    <row r="257" ht="15.75" customHeight="1" s="372"/>
    <row r="258" ht="15.75" customHeight="1" s="372"/>
    <row r="259" ht="15.75" customHeight="1" s="372"/>
    <row r="260" ht="15.75" customHeight="1" s="372"/>
    <row r="261" ht="15.75" customHeight="1" s="372"/>
    <row r="262" ht="15.75" customHeight="1" s="372"/>
    <row r="263" ht="15.75" customHeight="1" s="372"/>
    <row r="264" ht="15.75" customHeight="1" s="372"/>
    <row r="265" ht="15.75" customHeight="1" s="372"/>
    <row r="266" ht="15.75" customHeight="1" s="372"/>
    <row r="267" ht="15.75" customHeight="1" s="372"/>
    <row r="268" ht="15.75" customHeight="1" s="372"/>
    <row r="269" ht="15.75" customHeight="1" s="372"/>
    <row r="270" ht="15.75" customHeight="1" s="372"/>
    <row r="271" ht="15.75" customHeight="1" s="372"/>
    <row r="272" ht="15.75" customHeight="1" s="372"/>
    <row r="273" ht="15.75" customHeight="1" s="372"/>
    <row r="274" ht="15.75" customHeight="1" s="372"/>
    <row r="275" ht="15.75" customHeight="1" s="372"/>
    <row r="276" ht="15.75" customHeight="1" s="372"/>
    <row r="277" ht="15.75" customHeight="1" s="372"/>
    <row r="278" ht="15.75" customHeight="1" s="372"/>
    <row r="279" ht="15.75" customHeight="1" s="372"/>
    <row r="280" ht="15.75" customHeight="1" s="372"/>
    <row r="281" ht="15.75" customHeight="1" s="372"/>
    <row r="282" ht="15.75" customHeight="1" s="372"/>
    <row r="283" ht="15.75" customHeight="1" s="372"/>
    <row r="284" ht="15.75" customHeight="1" s="372"/>
    <row r="285" ht="15.75" customHeight="1" s="372"/>
    <row r="286" ht="15.75" customHeight="1" s="372"/>
    <row r="287" ht="15.75" customHeight="1" s="372"/>
    <row r="288" ht="15.75" customHeight="1" s="372"/>
    <row r="289" ht="15.75" customHeight="1" s="372"/>
    <row r="290" ht="15.75" customHeight="1" s="372"/>
    <row r="291" ht="15.75" customHeight="1" s="372"/>
    <row r="292" ht="15.75" customHeight="1" s="372"/>
    <row r="293" ht="15.75" customHeight="1" s="372"/>
    <row r="294" ht="15.75" customHeight="1" s="372"/>
    <row r="295" ht="15.75" customHeight="1" s="372"/>
    <row r="296" ht="15.75" customHeight="1" s="372"/>
    <row r="297" ht="15.75" customHeight="1" s="372"/>
    <row r="298" ht="15.75" customHeight="1" s="372"/>
    <row r="299" ht="15.75" customHeight="1" s="372"/>
    <row r="300" ht="15.75" customHeight="1" s="372"/>
    <row r="301" ht="15.75" customHeight="1" s="372"/>
    <row r="302" ht="15.75" customHeight="1" s="372"/>
    <row r="303" ht="15.75" customHeight="1" s="372"/>
    <row r="304" ht="15.75" customHeight="1" s="372"/>
    <row r="305" ht="15.75" customHeight="1" s="372"/>
    <row r="306" ht="15.75" customHeight="1" s="372"/>
    <row r="307" ht="15.75" customHeight="1" s="372"/>
    <row r="308" ht="15.75" customHeight="1" s="372"/>
    <row r="309" ht="15.75" customHeight="1" s="372"/>
    <row r="310" ht="15.75" customHeight="1" s="372"/>
    <row r="311" ht="15.75" customHeight="1" s="372"/>
    <row r="312" ht="15.75" customHeight="1" s="372"/>
    <row r="313" ht="15.75" customHeight="1" s="372"/>
    <row r="314" ht="15.75" customHeight="1" s="372"/>
    <row r="315" ht="15.75" customHeight="1" s="372"/>
    <row r="316" ht="15.75" customHeight="1" s="372"/>
    <row r="317" ht="15.75" customHeight="1" s="372"/>
    <row r="318" ht="15.75" customHeight="1" s="372"/>
    <row r="319" ht="15.75" customHeight="1" s="372"/>
    <row r="320" ht="15.75" customHeight="1" s="372"/>
    <row r="321" ht="15.75" customHeight="1" s="372"/>
    <row r="322" ht="15.75" customHeight="1" s="372"/>
    <row r="323" ht="15.75" customHeight="1" s="372"/>
    <row r="324" ht="15.75" customHeight="1" s="372"/>
    <row r="325" ht="15.75" customHeight="1" s="372"/>
    <row r="326" ht="15.75" customHeight="1" s="372"/>
    <row r="327" ht="15.75" customHeight="1" s="372"/>
    <row r="328" ht="15.75" customHeight="1" s="372"/>
    <row r="329" ht="15.75" customHeight="1" s="372"/>
    <row r="330" ht="15.75" customHeight="1" s="372"/>
    <row r="331" ht="15.75" customHeight="1" s="372"/>
    <row r="332" ht="15.75" customHeight="1" s="372"/>
    <row r="333" ht="15.75" customHeight="1" s="372"/>
    <row r="334" ht="15.75" customHeight="1" s="372"/>
    <row r="335" ht="15.75" customHeight="1" s="372"/>
    <row r="336" ht="15.75" customHeight="1" s="372"/>
    <row r="337" ht="15.75" customHeight="1" s="372"/>
    <row r="338" ht="15.75" customHeight="1" s="372"/>
    <row r="339" ht="15.75" customHeight="1" s="372"/>
    <row r="340" ht="15.75" customHeight="1" s="372"/>
    <row r="341" ht="15.75" customHeight="1" s="372"/>
    <row r="342" ht="15.75" customHeight="1" s="372"/>
    <row r="343" ht="15.75" customHeight="1" s="372"/>
    <row r="344" ht="15.75" customHeight="1" s="372"/>
    <row r="345" ht="15.75" customHeight="1" s="372"/>
    <row r="346" ht="15.75" customHeight="1" s="372"/>
    <row r="347" ht="15.75" customHeight="1" s="372"/>
    <row r="348" ht="15.75" customHeight="1" s="372"/>
    <row r="349" ht="15.75" customHeight="1" s="372"/>
    <row r="350" ht="15.75" customHeight="1" s="372"/>
    <row r="351" ht="15.75" customHeight="1" s="372"/>
    <row r="352" ht="15.75" customHeight="1" s="372"/>
    <row r="353" ht="15.75" customHeight="1" s="372"/>
    <row r="354" ht="15.75" customHeight="1" s="372"/>
    <row r="355" ht="15.75" customHeight="1" s="372"/>
    <row r="356" ht="15.75" customHeight="1" s="372"/>
    <row r="357" ht="15.75" customHeight="1" s="372"/>
    <row r="358" ht="15.75" customHeight="1" s="372"/>
    <row r="359" ht="15.75" customHeight="1" s="372"/>
    <row r="360" ht="15.75" customHeight="1" s="372"/>
    <row r="361" ht="15.75" customHeight="1" s="372"/>
    <row r="362" ht="15.75" customHeight="1" s="372"/>
    <row r="363" ht="15.75" customHeight="1" s="372"/>
    <row r="364" ht="15.75" customHeight="1" s="372"/>
    <row r="365" ht="15.75" customHeight="1" s="372"/>
    <row r="366" ht="15.75" customHeight="1" s="372"/>
    <row r="367" ht="15.75" customHeight="1" s="372"/>
    <row r="368" ht="15.75" customHeight="1" s="372"/>
    <row r="369" ht="15.75" customHeight="1" s="372"/>
    <row r="370" ht="15.75" customHeight="1" s="372"/>
    <row r="371" ht="15.75" customHeight="1" s="372"/>
    <row r="372" ht="15.75" customHeight="1" s="372"/>
    <row r="373" ht="15.75" customHeight="1" s="372"/>
    <row r="374" ht="15.75" customHeight="1" s="372"/>
    <row r="375" ht="15.75" customHeight="1" s="372"/>
    <row r="376" ht="15.75" customHeight="1" s="372"/>
    <row r="377" ht="15.75" customHeight="1" s="372"/>
    <row r="378" ht="15.75" customHeight="1" s="372"/>
    <row r="379" ht="15.75" customHeight="1" s="372"/>
    <row r="380" ht="15.75" customHeight="1" s="372"/>
    <row r="381" ht="15.75" customHeight="1" s="372"/>
    <row r="382" ht="15.75" customHeight="1" s="372"/>
    <row r="383" ht="15.75" customHeight="1" s="372"/>
    <row r="384" ht="15.75" customHeight="1" s="372"/>
    <row r="385" ht="15.75" customHeight="1" s="372"/>
    <row r="386" ht="15.75" customHeight="1" s="372"/>
    <row r="387" ht="15.75" customHeight="1" s="372"/>
    <row r="388" ht="15.75" customHeight="1" s="372"/>
    <row r="389" ht="15.75" customHeight="1" s="372"/>
    <row r="390" ht="15.75" customHeight="1" s="372"/>
    <row r="391" ht="15.75" customHeight="1" s="372"/>
    <row r="392" ht="15.75" customHeight="1" s="372"/>
    <row r="393" ht="15.75" customHeight="1" s="372"/>
    <row r="394" ht="15.75" customHeight="1" s="372"/>
    <row r="395" ht="15.75" customHeight="1" s="372"/>
    <row r="396" ht="15.75" customHeight="1" s="372"/>
    <row r="397" ht="15.75" customHeight="1" s="372"/>
    <row r="398" ht="15.75" customHeight="1" s="372"/>
    <row r="399" ht="15.75" customHeight="1" s="372"/>
    <row r="400" ht="15.75" customHeight="1" s="372"/>
    <row r="401" ht="15.75" customHeight="1" s="372"/>
    <row r="402" ht="15.75" customHeight="1" s="372"/>
    <row r="403" ht="15.75" customHeight="1" s="372"/>
    <row r="404" ht="15.75" customHeight="1" s="372"/>
    <row r="405" ht="15.75" customHeight="1" s="372"/>
    <row r="406" ht="15.75" customHeight="1" s="372"/>
    <row r="407" ht="15.75" customHeight="1" s="372"/>
    <row r="408" ht="15.75" customHeight="1" s="372"/>
    <row r="409" ht="15.75" customHeight="1" s="372"/>
    <row r="410" ht="15.75" customHeight="1" s="372"/>
    <row r="411" ht="15.75" customHeight="1" s="372"/>
    <row r="412" ht="15.75" customHeight="1" s="372"/>
    <row r="413" ht="15.75" customHeight="1" s="372"/>
    <row r="414" ht="15.75" customHeight="1" s="372"/>
    <row r="415" ht="15.75" customHeight="1" s="372"/>
    <row r="416" ht="15.75" customHeight="1" s="372"/>
    <row r="417" ht="15.75" customHeight="1" s="372"/>
    <row r="418" ht="15.75" customHeight="1" s="372"/>
    <row r="419" ht="15.75" customHeight="1" s="372"/>
    <row r="420" ht="15.75" customHeight="1" s="372"/>
    <row r="421" ht="15.75" customHeight="1" s="372"/>
    <row r="422" ht="15.75" customHeight="1" s="372"/>
    <row r="423" ht="15.75" customHeight="1" s="372"/>
    <row r="424" ht="15.75" customHeight="1" s="372"/>
    <row r="425" ht="15.75" customHeight="1" s="372"/>
    <row r="426" ht="15.75" customHeight="1" s="372"/>
    <row r="427" ht="15.75" customHeight="1" s="372"/>
    <row r="428" ht="15.75" customHeight="1" s="372"/>
    <row r="429" ht="15.75" customHeight="1" s="372"/>
    <row r="430" ht="15.75" customHeight="1" s="372"/>
    <row r="431" ht="15.75" customHeight="1" s="372"/>
    <row r="432" ht="15.75" customHeight="1" s="372"/>
    <row r="433" ht="15.75" customHeight="1" s="372"/>
    <row r="434" ht="15.75" customHeight="1" s="372"/>
    <row r="435" ht="15.75" customHeight="1" s="372"/>
    <row r="436" ht="15.75" customHeight="1" s="372"/>
    <row r="437" ht="15.75" customHeight="1" s="372"/>
    <row r="438" ht="15.75" customHeight="1" s="372"/>
    <row r="439" ht="15.75" customHeight="1" s="372"/>
    <row r="440" ht="15.75" customHeight="1" s="372"/>
    <row r="441" ht="15.75" customHeight="1" s="372"/>
    <row r="442" ht="15.75" customHeight="1" s="372"/>
    <row r="443" ht="15.75" customHeight="1" s="372"/>
    <row r="444" ht="15.75" customHeight="1" s="372"/>
    <row r="445" ht="15.75" customHeight="1" s="372"/>
    <row r="446" ht="15.75" customHeight="1" s="372"/>
    <row r="447" ht="15.75" customHeight="1" s="372"/>
    <row r="448" ht="15.75" customHeight="1" s="372"/>
    <row r="449" ht="15.75" customHeight="1" s="372"/>
    <row r="450" ht="15.75" customHeight="1" s="372"/>
    <row r="451" ht="15.75" customHeight="1" s="372"/>
    <row r="452" ht="15.75" customHeight="1" s="372"/>
    <row r="453" ht="15.75" customHeight="1" s="372"/>
    <row r="454" ht="15.75" customHeight="1" s="372"/>
    <row r="455" ht="15.75" customHeight="1" s="372"/>
    <row r="456" ht="15.75" customHeight="1" s="372"/>
    <row r="457" ht="15.75" customHeight="1" s="372"/>
    <row r="458" ht="15.75" customHeight="1" s="372"/>
    <row r="459" ht="15.75" customHeight="1" s="372"/>
    <row r="460" ht="15.75" customHeight="1" s="372"/>
    <row r="461" ht="15.75" customHeight="1" s="372"/>
    <row r="462" ht="15.75" customHeight="1" s="372"/>
    <row r="463" ht="15.75" customHeight="1" s="372"/>
    <row r="464" ht="15.75" customHeight="1" s="372"/>
    <row r="465" ht="15.75" customHeight="1" s="372"/>
    <row r="466" ht="15.75" customHeight="1" s="372"/>
    <row r="467" ht="15.75" customHeight="1" s="372"/>
    <row r="468" ht="15.75" customHeight="1" s="372"/>
    <row r="469" ht="15.75" customHeight="1" s="372"/>
    <row r="470" ht="15.75" customHeight="1" s="372"/>
    <row r="471" ht="15.75" customHeight="1" s="372"/>
    <row r="472" ht="15.75" customHeight="1" s="372"/>
    <row r="473" ht="15.75" customHeight="1" s="372"/>
    <row r="474" ht="15.75" customHeight="1" s="372"/>
    <row r="475" ht="15.75" customHeight="1" s="372"/>
    <row r="476" ht="15.75" customHeight="1" s="372"/>
    <row r="477" ht="15.75" customHeight="1" s="372"/>
    <row r="478" ht="15.75" customHeight="1" s="372"/>
    <row r="479" ht="15.75" customHeight="1" s="372"/>
    <row r="480" ht="15.75" customHeight="1" s="372"/>
    <row r="481" ht="15.75" customHeight="1" s="372"/>
    <row r="482" ht="15.75" customHeight="1" s="372"/>
    <row r="483" ht="15.75" customHeight="1" s="372"/>
    <row r="484" ht="15.75" customHeight="1" s="372"/>
    <row r="485" ht="15.75" customHeight="1" s="372"/>
    <row r="486" ht="15.75" customHeight="1" s="372"/>
    <row r="487" ht="15.75" customHeight="1" s="372"/>
    <row r="488" ht="15.75" customHeight="1" s="372"/>
    <row r="489" ht="15.75" customHeight="1" s="372"/>
    <row r="490" ht="15.75" customHeight="1" s="372"/>
    <row r="491" ht="15.75" customHeight="1" s="372"/>
    <row r="492" ht="15.75" customHeight="1" s="372"/>
    <row r="493" ht="15.75" customHeight="1" s="372"/>
    <row r="494" ht="15.75" customHeight="1" s="372"/>
    <row r="495" ht="15.75" customHeight="1" s="372"/>
    <row r="496" ht="15.75" customHeight="1" s="372"/>
    <row r="497" ht="15.75" customHeight="1" s="372"/>
    <row r="498" ht="15.75" customHeight="1" s="372"/>
    <row r="499" ht="15.75" customHeight="1" s="372"/>
    <row r="500" ht="15.75" customHeight="1" s="372"/>
    <row r="501" ht="15.75" customHeight="1" s="372"/>
    <row r="502" ht="15.75" customHeight="1" s="372"/>
    <row r="503" ht="15.75" customHeight="1" s="372"/>
    <row r="504" ht="15.75" customHeight="1" s="372"/>
    <row r="505" ht="15.75" customHeight="1" s="372"/>
    <row r="506" ht="15.75" customHeight="1" s="372"/>
    <row r="507" ht="15.75" customHeight="1" s="372"/>
    <row r="508" ht="15.75" customHeight="1" s="372"/>
    <row r="509" ht="15.75" customHeight="1" s="372"/>
    <row r="510" ht="15.75" customHeight="1" s="372"/>
    <row r="511" ht="15.75" customHeight="1" s="372"/>
    <row r="512" ht="15.75" customHeight="1" s="372"/>
    <row r="513" ht="15.75" customHeight="1" s="372"/>
    <row r="514" ht="15.75" customHeight="1" s="372"/>
    <row r="515" ht="15.75" customHeight="1" s="372"/>
    <row r="516" ht="15.75" customHeight="1" s="372"/>
    <row r="517" ht="15.75" customHeight="1" s="372"/>
    <row r="518" ht="15.75" customHeight="1" s="372"/>
    <row r="519" ht="15.75" customHeight="1" s="372"/>
    <row r="520" ht="15.75" customHeight="1" s="372"/>
    <row r="521" ht="15.75" customHeight="1" s="372"/>
    <row r="522" ht="15.75" customHeight="1" s="372"/>
    <row r="523" ht="15.75" customHeight="1" s="372"/>
    <row r="524" ht="15.75" customHeight="1" s="372"/>
    <row r="525" ht="15.75" customHeight="1" s="372"/>
    <row r="526" ht="15.75" customHeight="1" s="372"/>
    <row r="527" ht="15.75" customHeight="1" s="372"/>
    <row r="528" ht="15.75" customHeight="1" s="372"/>
    <row r="529" ht="15.75" customHeight="1" s="372"/>
    <row r="530" ht="15.75" customHeight="1" s="372"/>
    <row r="531" ht="15.75" customHeight="1" s="372"/>
    <row r="532" ht="15.75" customHeight="1" s="372"/>
    <row r="533" ht="15.75" customHeight="1" s="372"/>
    <row r="534" ht="15.75" customHeight="1" s="372"/>
    <row r="535" ht="15.75" customHeight="1" s="372"/>
    <row r="536" ht="15.75" customHeight="1" s="372"/>
    <row r="537" ht="15.75" customHeight="1" s="372"/>
    <row r="538" ht="15.75" customHeight="1" s="372"/>
    <row r="539" ht="15.75" customHeight="1" s="372"/>
    <row r="540" ht="15.75" customHeight="1" s="372"/>
    <row r="541" ht="15.75" customHeight="1" s="372"/>
    <row r="542" ht="15.75" customHeight="1" s="372"/>
    <row r="543" ht="15.75" customHeight="1" s="372"/>
    <row r="544" ht="15.75" customHeight="1" s="372"/>
    <row r="545" ht="15.75" customHeight="1" s="372"/>
    <row r="546" ht="15.75" customHeight="1" s="372"/>
    <row r="547" ht="15.75" customHeight="1" s="372"/>
    <row r="548" ht="15.75" customHeight="1" s="372"/>
    <row r="549" ht="15.75" customHeight="1" s="372"/>
    <row r="550" ht="15.75" customHeight="1" s="372"/>
    <row r="551" ht="15.75" customHeight="1" s="372"/>
    <row r="552" ht="15.75" customHeight="1" s="372"/>
    <row r="553" ht="15.75" customHeight="1" s="372"/>
    <row r="554" ht="15.75" customHeight="1" s="372"/>
    <row r="555" ht="15.75" customHeight="1" s="372"/>
    <row r="556" ht="15.75" customHeight="1" s="372"/>
    <row r="557" ht="15.75" customHeight="1" s="372"/>
    <row r="558" ht="15.75" customHeight="1" s="372"/>
    <row r="559" ht="15.75" customHeight="1" s="372"/>
    <row r="560" ht="15.75" customHeight="1" s="372"/>
    <row r="561" ht="15.75" customHeight="1" s="372"/>
    <row r="562" ht="15.75" customHeight="1" s="372"/>
    <row r="563" ht="15.75" customHeight="1" s="372"/>
    <row r="564" ht="15.75" customHeight="1" s="372"/>
    <row r="565" ht="15.75" customHeight="1" s="372"/>
    <row r="566" ht="15.75" customHeight="1" s="372"/>
    <row r="567" ht="15.75" customHeight="1" s="372"/>
    <row r="568" ht="15.75" customHeight="1" s="372"/>
    <row r="569" ht="15.75" customHeight="1" s="372"/>
    <row r="570" ht="15.75" customHeight="1" s="372"/>
    <row r="571" ht="15.75" customHeight="1" s="372"/>
    <row r="572" ht="15.75" customHeight="1" s="372"/>
    <row r="573" ht="15.75" customHeight="1" s="372"/>
    <row r="574" ht="15.75" customHeight="1" s="372"/>
    <row r="575" ht="15.75" customHeight="1" s="372"/>
    <row r="576" ht="15.75" customHeight="1" s="372"/>
    <row r="577" ht="15.75" customHeight="1" s="372"/>
    <row r="578" ht="15.75" customHeight="1" s="372"/>
    <row r="579" ht="15.75" customHeight="1" s="372"/>
    <row r="580" ht="15.75" customHeight="1" s="372"/>
    <row r="581" ht="15.75" customHeight="1" s="372"/>
    <row r="582" ht="15.75" customHeight="1" s="372"/>
    <row r="583" ht="15.75" customHeight="1" s="372"/>
    <row r="584" ht="15.75" customHeight="1" s="372"/>
    <row r="585" ht="15.75" customHeight="1" s="372"/>
    <row r="586" ht="15.75" customHeight="1" s="372"/>
    <row r="587" ht="15.75" customHeight="1" s="372"/>
    <row r="588" ht="15.75" customHeight="1" s="372"/>
    <row r="589" ht="15.75" customHeight="1" s="372"/>
    <row r="590" ht="15.75" customHeight="1" s="372"/>
    <row r="591" ht="15.75" customHeight="1" s="372"/>
    <row r="592" ht="15.75" customHeight="1" s="372"/>
    <row r="593" ht="15.75" customHeight="1" s="372"/>
    <row r="594" ht="15.75" customHeight="1" s="372"/>
    <row r="595" ht="15.75" customHeight="1" s="372"/>
    <row r="596" ht="15.75" customHeight="1" s="372"/>
    <row r="597" ht="15.75" customHeight="1" s="372"/>
    <row r="598" ht="15.75" customHeight="1" s="372"/>
    <row r="599" ht="15.75" customHeight="1" s="372"/>
    <row r="600" ht="15.75" customHeight="1" s="372"/>
    <row r="601" ht="15.75" customHeight="1" s="372"/>
    <row r="602" ht="15.75" customHeight="1" s="372"/>
    <row r="603" ht="15.75" customHeight="1" s="372"/>
    <row r="604" ht="15.75" customHeight="1" s="372"/>
    <row r="605" ht="15.75" customHeight="1" s="372"/>
    <row r="606" ht="15.75" customHeight="1" s="372"/>
    <row r="607" ht="15.75" customHeight="1" s="372"/>
    <row r="608" ht="15.75" customHeight="1" s="372"/>
    <row r="609" ht="15.75" customHeight="1" s="372"/>
    <row r="610" ht="15.75" customHeight="1" s="372"/>
    <row r="611" ht="15.75" customHeight="1" s="372"/>
    <row r="612" ht="15.75" customHeight="1" s="372"/>
    <row r="613" ht="15.75" customHeight="1" s="372"/>
    <row r="614" ht="15.75" customHeight="1" s="372"/>
    <row r="615" ht="15.75" customHeight="1" s="372"/>
    <row r="616" ht="15.75" customHeight="1" s="372"/>
    <row r="617" ht="15.75" customHeight="1" s="372"/>
    <row r="618" ht="15.75" customHeight="1" s="372"/>
    <row r="619" ht="15.75" customHeight="1" s="372"/>
    <row r="620" ht="15.75" customHeight="1" s="372"/>
    <row r="621" ht="15.75" customHeight="1" s="372"/>
    <row r="622" ht="15.75" customHeight="1" s="372"/>
    <row r="623" ht="15.75" customHeight="1" s="372"/>
    <row r="624" ht="15.75" customHeight="1" s="372"/>
    <row r="625" ht="15.75" customHeight="1" s="372"/>
    <row r="626" ht="15.75" customHeight="1" s="372"/>
    <row r="627" ht="15.75" customHeight="1" s="372"/>
    <row r="628" ht="15.75" customHeight="1" s="372"/>
    <row r="629" ht="15.75" customHeight="1" s="372"/>
    <row r="630" ht="15.75" customHeight="1" s="372"/>
    <row r="631" ht="15.75" customHeight="1" s="372"/>
    <row r="632" ht="15.75" customHeight="1" s="372"/>
    <row r="633" ht="15.75" customHeight="1" s="372"/>
    <row r="634" ht="15.75" customHeight="1" s="372"/>
    <row r="635" ht="15.75" customHeight="1" s="372"/>
    <row r="636" ht="15.75" customHeight="1" s="372"/>
    <row r="637" ht="15.75" customHeight="1" s="372"/>
    <row r="638" ht="15.75" customHeight="1" s="372"/>
    <row r="639" ht="15.75" customHeight="1" s="372"/>
    <row r="640" ht="15.75" customHeight="1" s="372"/>
    <row r="641" ht="15.75" customHeight="1" s="372"/>
    <row r="642" ht="15.75" customHeight="1" s="372"/>
    <row r="643" ht="15.75" customHeight="1" s="372"/>
    <row r="644" ht="15.75" customHeight="1" s="372"/>
    <row r="645" ht="15.75" customHeight="1" s="372"/>
    <row r="646" ht="15.75" customHeight="1" s="372"/>
    <row r="647" ht="15.75" customHeight="1" s="372"/>
    <row r="648" ht="15.75" customHeight="1" s="372"/>
    <row r="649" ht="15.75" customHeight="1" s="372"/>
    <row r="650" ht="15.75" customHeight="1" s="372"/>
    <row r="651" ht="15.75" customHeight="1" s="372"/>
    <row r="652" ht="15.75" customHeight="1" s="372"/>
    <row r="653" ht="15.75" customHeight="1" s="372"/>
    <row r="654" ht="15.75" customHeight="1" s="372"/>
    <row r="655" ht="15.75" customHeight="1" s="372"/>
    <row r="656" ht="15.75" customHeight="1" s="372"/>
    <row r="657" ht="15.75" customHeight="1" s="372"/>
    <row r="658" ht="15.75" customHeight="1" s="372"/>
    <row r="659" ht="15.75" customHeight="1" s="372"/>
    <row r="660" ht="15.75" customHeight="1" s="372"/>
    <row r="661" ht="15.75" customHeight="1" s="372"/>
    <row r="662" ht="15.75" customHeight="1" s="372"/>
    <row r="663" ht="15.75" customHeight="1" s="372"/>
    <row r="664" ht="15.75" customHeight="1" s="372"/>
    <row r="665" ht="15.75" customHeight="1" s="372"/>
    <row r="666" ht="15.75" customHeight="1" s="372"/>
    <row r="667" ht="15.75" customHeight="1" s="372"/>
    <row r="668" ht="15.75" customHeight="1" s="372"/>
    <row r="669" ht="15.75" customHeight="1" s="372"/>
    <row r="670" ht="15.75" customHeight="1" s="372"/>
    <row r="671" ht="15.75" customHeight="1" s="372"/>
    <row r="672" ht="15.75" customHeight="1" s="372"/>
    <row r="673" ht="15.75" customHeight="1" s="372"/>
    <row r="674" ht="15.75" customHeight="1" s="372"/>
    <row r="675" ht="15.75" customHeight="1" s="372"/>
    <row r="676" ht="15.75" customHeight="1" s="372"/>
    <row r="677" ht="15.75" customHeight="1" s="372"/>
    <row r="678" ht="15.75" customHeight="1" s="372"/>
    <row r="679" ht="15.75" customHeight="1" s="372"/>
    <row r="680" ht="15.75" customHeight="1" s="372"/>
    <row r="681" ht="15.75" customHeight="1" s="372"/>
    <row r="682" ht="15.75" customHeight="1" s="372"/>
    <row r="683" ht="15.75" customHeight="1" s="372"/>
    <row r="684" ht="15.75" customHeight="1" s="372"/>
    <row r="685" ht="15.75" customHeight="1" s="372"/>
    <row r="686" ht="15.75" customHeight="1" s="372"/>
    <row r="687" ht="15.75" customHeight="1" s="372"/>
    <row r="688" ht="15.75" customHeight="1" s="372"/>
    <row r="689" ht="15.75" customHeight="1" s="372"/>
    <row r="690" ht="15.75" customHeight="1" s="372"/>
    <row r="691" ht="15.75" customHeight="1" s="372"/>
    <row r="692" ht="15.75" customHeight="1" s="372"/>
    <row r="693" ht="15.75" customHeight="1" s="372"/>
    <row r="694" ht="15.75" customHeight="1" s="372"/>
    <row r="695" ht="15.75" customHeight="1" s="372"/>
    <row r="696" ht="15.75" customHeight="1" s="372"/>
    <row r="697" ht="15.75" customHeight="1" s="372"/>
    <row r="698" ht="15.75" customHeight="1" s="372"/>
    <row r="699" ht="15.75" customHeight="1" s="372"/>
    <row r="700" ht="15.75" customHeight="1" s="372"/>
    <row r="701" ht="15.75" customHeight="1" s="372"/>
    <row r="702" ht="15.75" customHeight="1" s="372"/>
    <row r="703" ht="15.75" customHeight="1" s="372"/>
    <row r="704" ht="15.75" customHeight="1" s="372"/>
    <row r="705" ht="15.75" customHeight="1" s="372"/>
    <row r="706" ht="15.75" customHeight="1" s="372"/>
    <row r="707" ht="15.75" customHeight="1" s="372"/>
    <row r="708" ht="15.75" customHeight="1" s="372"/>
    <row r="709" ht="15.75" customHeight="1" s="372"/>
    <row r="710" ht="15.75" customHeight="1" s="372"/>
    <row r="711" ht="15.75" customHeight="1" s="372"/>
    <row r="712" ht="15.75" customHeight="1" s="372"/>
    <row r="713" ht="15.75" customHeight="1" s="372"/>
    <row r="714" ht="15.75" customHeight="1" s="372"/>
    <row r="715" ht="15.75" customHeight="1" s="372"/>
    <row r="716" ht="15.75" customHeight="1" s="372"/>
    <row r="717" ht="15.75" customHeight="1" s="372"/>
    <row r="718" ht="15.75" customHeight="1" s="372"/>
    <row r="719" ht="15.75" customHeight="1" s="372"/>
    <row r="720" ht="15.75" customHeight="1" s="372"/>
    <row r="721" ht="15.75" customHeight="1" s="372"/>
    <row r="722" ht="15.75" customHeight="1" s="372"/>
    <row r="723" ht="15.75" customHeight="1" s="372"/>
    <row r="724" ht="15.75" customHeight="1" s="372"/>
    <row r="725" ht="15.75" customHeight="1" s="372"/>
    <row r="726" ht="15.75" customHeight="1" s="372"/>
    <row r="727" ht="15.75" customHeight="1" s="372"/>
    <row r="728" ht="15.75" customHeight="1" s="372"/>
    <row r="729" ht="15.75" customHeight="1" s="372"/>
    <row r="730" ht="15.75" customHeight="1" s="372"/>
    <row r="731" ht="15.75" customHeight="1" s="372"/>
    <row r="732" ht="15.75" customHeight="1" s="372"/>
    <row r="733" ht="15.75" customHeight="1" s="372"/>
    <row r="734" ht="15.75" customHeight="1" s="372"/>
    <row r="735" ht="15.75" customHeight="1" s="372"/>
    <row r="736" ht="15.75" customHeight="1" s="372"/>
    <row r="737" ht="15.75" customHeight="1" s="372"/>
    <row r="738" ht="15.75" customHeight="1" s="372"/>
    <row r="739" ht="15.75" customHeight="1" s="372"/>
    <row r="740" ht="15.75" customHeight="1" s="372"/>
    <row r="741" ht="15.75" customHeight="1" s="372"/>
    <row r="742" ht="15.75" customHeight="1" s="372"/>
    <row r="743" ht="15.75" customHeight="1" s="372"/>
    <row r="744" ht="15.75" customHeight="1" s="372"/>
    <row r="745" ht="15.75" customHeight="1" s="372"/>
    <row r="746" ht="15.75" customHeight="1" s="372"/>
    <row r="747" ht="15.75" customHeight="1" s="372"/>
    <row r="748" ht="15.75" customHeight="1" s="372"/>
    <row r="749" ht="15.75" customHeight="1" s="372"/>
    <row r="750" ht="15.75" customHeight="1" s="372"/>
    <row r="751" ht="15.75" customHeight="1" s="372"/>
    <row r="752" ht="15.75" customHeight="1" s="372"/>
    <row r="753" ht="15.75" customHeight="1" s="372"/>
    <row r="754" ht="15.75" customHeight="1" s="372"/>
    <row r="755" ht="15.75" customHeight="1" s="372"/>
    <row r="756" ht="15.75" customHeight="1" s="372"/>
    <row r="757" ht="15.75" customHeight="1" s="372"/>
    <row r="758" ht="15.75" customHeight="1" s="372"/>
    <row r="759" ht="15.75" customHeight="1" s="372"/>
    <row r="760" ht="15.75" customHeight="1" s="372"/>
    <row r="761" ht="15.75" customHeight="1" s="372"/>
    <row r="762" ht="15.75" customHeight="1" s="372"/>
    <row r="763" ht="15.75" customHeight="1" s="372"/>
    <row r="764" ht="15.75" customHeight="1" s="372"/>
    <row r="765" ht="15.75" customHeight="1" s="372"/>
    <row r="766" ht="15.75" customHeight="1" s="372"/>
    <row r="767" ht="15.75" customHeight="1" s="372"/>
    <row r="768" ht="15.75" customHeight="1" s="372"/>
    <row r="769" ht="15.75" customHeight="1" s="372"/>
    <row r="770" ht="15.75" customHeight="1" s="372"/>
    <row r="771" ht="15.75" customHeight="1" s="372"/>
    <row r="772" ht="15.75" customHeight="1" s="372"/>
    <row r="773" ht="15.75" customHeight="1" s="372"/>
    <row r="774" ht="15.75" customHeight="1" s="372"/>
    <row r="775" ht="15.75" customHeight="1" s="372"/>
    <row r="776" ht="15.75" customHeight="1" s="372"/>
    <row r="777" ht="15.75" customHeight="1" s="372"/>
    <row r="778" ht="15.75" customHeight="1" s="372"/>
    <row r="779" ht="15.75" customHeight="1" s="372"/>
    <row r="780" ht="15.75" customHeight="1" s="372"/>
    <row r="781" ht="15.75" customHeight="1" s="372"/>
    <row r="782" ht="15.75" customHeight="1" s="372"/>
    <row r="783" ht="15.75" customHeight="1" s="372"/>
    <row r="784" ht="15.75" customHeight="1" s="372"/>
    <row r="785" ht="15.75" customHeight="1" s="372"/>
    <row r="786" ht="15.75" customHeight="1" s="372"/>
    <row r="787" ht="15.75" customHeight="1" s="372"/>
    <row r="788" ht="15.75" customHeight="1" s="372"/>
    <row r="789" ht="15.75" customHeight="1" s="372"/>
    <row r="790" ht="15.75" customHeight="1" s="372"/>
    <row r="791" ht="15.75" customHeight="1" s="372"/>
    <row r="792" ht="15.75" customHeight="1" s="372"/>
    <row r="793" ht="15.75" customHeight="1" s="372"/>
    <row r="794" ht="15.75" customHeight="1" s="372"/>
    <row r="795" ht="15.75" customHeight="1" s="372"/>
    <row r="796" ht="15.75" customHeight="1" s="372"/>
    <row r="797" ht="15.75" customHeight="1" s="372"/>
    <row r="798" ht="15.75" customHeight="1" s="372"/>
    <row r="799" ht="15.75" customHeight="1" s="372"/>
    <row r="800" ht="15.75" customHeight="1" s="372"/>
    <row r="801" ht="15.75" customHeight="1" s="372"/>
    <row r="802" ht="15.75" customHeight="1" s="372"/>
    <row r="803" ht="15.75" customHeight="1" s="372"/>
    <row r="804" ht="15.75" customHeight="1" s="372"/>
    <row r="805" ht="15.75" customHeight="1" s="372"/>
    <row r="806" ht="15.75" customHeight="1" s="372"/>
    <row r="807" ht="15.75" customHeight="1" s="372"/>
    <row r="808" ht="15.75" customHeight="1" s="372"/>
    <row r="809" ht="15.75" customHeight="1" s="372"/>
    <row r="810" ht="15.75" customHeight="1" s="372"/>
    <row r="811" ht="15.75" customHeight="1" s="372"/>
    <row r="812" ht="15.75" customHeight="1" s="372"/>
    <row r="813" ht="15.75" customHeight="1" s="372"/>
    <row r="814" ht="15.75" customHeight="1" s="372"/>
    <row r="815" ht="15.75" customHeight="1" s="372"/>
    <row r="816" ht="15.75" customHeight="1" s="372"/>
    <row r="817" ht="15.75" customHeight="1" s="372"/>
    <row r="818" ht="15.75" customHeight="1" s="372"/>
    <row r="819" ht="15.75" customHeight="1" s="372"/>
    <row r="820" ht="15.75" customHeight="1" s="372"/>
    <row r="821" ht="15.75" customHeight="1" s="372"/>
    <row r="822" ht="15.75" customHeight="1" s="372"/>
    <row r="823" ht="15.75" customHeight="1" s="372"/>
    <row r="824" ht="15.75" customHeight="1" s="372"/>
    <row r="825" ht="15.75" customHeight="1" s="372"/>
    <row r="826" ht="15.75" customHeight="1" s="372"/>
    <row r="827" ht="15.75" customHeight="1" s="372"/>
    <row r="828" ht="15.75" customHeight="1" s="372"/>
    <row r="829" ht="15.75" customHeight="1" s="372"/>
    <row r="830" ht="15.75" customHeight="1" s="372"/>
    <row r="831" ht="15.75" customHeight="1" s="372"/>
    <row r="832" ht="15.75" customHeight="1" s="372"/>
    <row r="833" ht="15.75" customHeight="1" s="372"/>
    <row r="834" ht="15.75" customHeight="1" s="372"/>
    <row r="835" ht="15.75" customHeight="1" s="372"/>
    <row r="836" ht="15.75" customHeight="1" s="372"/>
    <row r="837" ht="15.75" customHeight="1" s="372"/>
    <row r="838" ht="15.75" customHeight="1" s="372"/>
    <row r="839" ht="15.75" customHeight="1" s="372"/>
    <row r="840" ht="15.75" customHeight="1" s="372"/>
    <row r="841" ht="15.75" customHeight="1" s="372"/>
    <row r="842" ht="15.75" customHeight="1" s="372"/>
    <row r="843" ht="15.75" customHeight="1" s="372"/>
    <row r="844" ht="15.75" customHeight="1" s="372"/>
    <row r="845" ht="15.75" customHeight="1" s="372"/>
    <row r="846" ht="15.75" customHeight="1" s="372"/>
    <row r="847" ht="15.75" customHeight="1" s="372"/>
    <row r="848" ht="15.75" customHeight="1" s="372"/>
    <row r="849" ht="15.75" customHeight="1" s="372"/>
    <row r="850" ht="15.75" customHeight="1" s="372"/>
    <row r="851" ht="15.75" customHeight="1" s="372"/>
    <row r="852" ht="15.75" customHeight="1" s="372"/>
    <row r="853" ht="15.75" customHeight="1" s="372"/>
    <row r="854" ht="15.75" customHeight="1" s="372"/>
    <row r="855" ht="15.75" customHeight="1" s="372"/>
    <row r="856" ht="15.75" customHeight="1" s="372"/>
    <row r="857" ht="15.75" customHeight="1" s="372"/>
    <row r="858" ht="15.75" customHeight="1" s="372"/>
    <row r="859" ht="15.75" customHeight="1" s="372"/>
    <row r="860" ht="15.75" customHeight="1" s="372"/>
    <row r="861" ht="15.75" customHeight="1" s="372"/>
    <row r="862" ht="15.75" customHeight="1" s="372"/>
    <row r="863" ht="15.75" customHeight="1" s="372"/>
    <row r="864" ht="15.75" customHeight="1" s="372"/>
    <row r="865" ht="15.75" customHeight="1" s="372"/>
    <row r="866" ht="15.75" customHeight="1" s="372"/>
    <row r="867" ht="15.75" customHeight="1" s="372"/>
    <row r="868" ht="15.75" customHeight="1" s="372"/>
    <row r="869" ht="15.75" customHeight="1" s="372"/>
    <row r="870" ht="15.75" customHeight="1" s="372"/>
    <row r="871" ht="15.75" customHeight="1" s="372"/>
    <row r="872" ht="15.75" customHeight="1" s="372"/>
    <row r="873" ht="15.75" customHeight="1" s="372"/>
    <row r="874" ht="15.75" customHeight="1" s="372"/>
    <row r="875" ht="15.75" customHeight="1" s="372"/>
    <row r="876" ht="15.75" customHeight="1" s="372"/>
    <row r="877" ht="15.75" customHeight="1" s="372"/>
    <row r="878" ht="15.75" customHeight="1" s="372"/>
    <row r="879" ht="15.75" customHeight="1" s="372"/>
    <row r="880" ht="15.75" customHeight="1" s="372"/>
    <row r="881" ht="15.75" customHeight="1" s="372"/>
    <row r="882" ht="15.75" customHeight="1" s="372"/>
    <row r="883" ht="15.75" customHeight="1" s="372"/>
    <row r="884" ht="15.75" customHeight="1" s="372"/>
    <row r="885" ht="15.75" customHeight="1" s="372"/>
    <row r="886" ht="15.75" customHeight="1" s="372"/>
    <row r="887" ht="15.75" customHeight="1" s="372"/>
    <row r="888" ht="15.75" customHeight="1" s="372"/>
    <row r="889" ht="15.75" customHeight="1" s="372"/>
    <row r="890" ht="15.75" customHeight="1" s="372"/>
    <row r="891" ht="15.75" customHeight="1" s="372"/>
    <row r="892" ht="15.75" customHeight="1" s="372"/>
    <row r="893" ht="15.75" customHeight="1" s="372"/>
    <row r="894" ht="15.75" customHeight="1" s="372"/>
    <row r="895" ht="15.75" customHeight="1" s="372"/>
    <row r="896" ht="15.75" customHeight="1" s="372"/>
    <row r="897" ht="15.75" customHeight="1" s="372"/>
    <row r="898" ht="15.75" customHeight="1" s="372"/>
    <row r="899" ht="15.75" customHeight="1" s="372"/>
    <row r="900" ht="15.75" customHeight="1" s="372"/>
    <row r="901" ht="15.75" customHeight="1" s="372"/>
    <row r="902" ht="15.75" customHeight="1" s="372"/>
    <row r="903" ht="15.75" customHeight="1" s="372"/>
    <row r="904" ht="15.75" customHeight="1" s="372"/>
    <row r="905" ht="15.75" customHeight="1" s="372"/>
    <row r="906" ht="15.75" customHeight="1" s="372"/>
    <row r="907" ht="15.75" customHeight="1" s="372"/>
    <row r="908" ht="15.75" customHeight="1" s="372"/>
    <row r="909" ht="15.75" customHeight="1" s="372"/>
    <row r="910" ht="15.75" customHeight="1" s="372"/>
    <row r="911" ht="15.75" customHeight="1" s="372"/>
    <row r="912" ht="15.75" customHeight="1" s="372"/>
    <row r="913" ht="15.75" customHeight="1" s="372"/>
    <row r="914" ht="15.75" customHeight="1" s="372"/>
    <row r="915" ht="15.75" customHeight="1" s="372"/>
    <row r="916" ht="15.75" customHeight="1" s="372"/>
    <row r="917" ht="15.75" customHeight="1" s="372"/>
    <row r="918" ht="15.75" customHeight="1" s="372"/>
    <row r="919" ht="15.75" customHeight="1" s="372"/>
    <row r="920" ht="15.75" customHeight="1" s="372"/>
    <row r="921" ht="15.75" customHeight="1" s="372"/>
    <row r="922" ht="15.75" customHeight="1" s="372"/>
    <row r="923" ht="15.75" customHeight="1" s="372"/>
    <row r="924" ht="15.75" customHeight="1" s="372"/>
    <row r="925" ht="15.75" customHeight="1" s="372"/>
    <row r="926" ht="15.75" customHeight="1" s="372"/>
    <row r="927" ht="15.75" customHeight="1" s="372"/>
    <row r="928" ht="15.75" customHeight="1" s="372"/>
    <row r="929" ht="15.75" customHeight="1" s="372"/>
    <row r="930" ht="15.75" customHeight="1" s="372"/>
    <row r="931" ht="15.75" customHeight="1" s="372"/>
    <row r="932" ht="15.75" customHeight="1" s="372"/>
    <row r="933" ht="15.75" customHeight="1" s="372"/>
    <row r="934" ht="15.75" customHeight="1" s="372"/>
    <row r="935" ht="15.75" customHeight="1" s="372"/>
    <row r="936" ht="15.75" customHeight="1" s="372"/>
    <row r="937" ht="15.75" customHeight="1" s="372"/>
    <row r="938" ht="15.75" customHeight="1" s="372"/>
    <row r="939" ht="15.75" customHeight="1" s="372"/>
    <row r="940" ht="15.75" customHeight="1" s="372"/>
    <row r="941" ht="15.75" customHeight="1" s="372"/>
    <row r="942" ht="15.75" customHeight="1" s="372"/>
    <row r="943" ht="15.75" customHeight="1" s="372"/>
    <row r="944" ht="15.75" customHeight="1" s="372"/>
    <row r="945" ht="15.75" customHeight="1" s="372"/>
    <row r="946" ht="15.75" customHeight="1" s="372"/>
    <row r="947" ht="15.75" customHeight="1" s="372"/>
    <row r="948" ht="15.75" customHeight="1" s="372"/>
    <row r="949" ht="15.75" customHeight="1" s="372"/>
    <row r="950" ht="15.75" customHeight="1" s="372"/>
    <row r="951" ht="15.75" customHeight="1" s="372"/>
    <row r="952" ht="15.75" customHeight="1" s="372"/>
    <row r="953" ht="15.75" customHeight="1" s="372"/>
    <row r="954" ht="15.75" customHeight="1" s="372"/>
    <row r="955" ht="15.75" customHeight="1" s="372"/>
    <row r="956" ht="15.75" customHeight="1" s="372"/>
    <row r="957" ht="15.75" customHeight="1" s="372"/>
    <row r="958" ht="15.75" customHeight="1" s="372"/>
    <row r="959" ht="15.75" customHeight="1" s="372"/>
    <row r="960" ht="15.75" customHeight="1" s="372"/>
    <row r="961" ht="15.75" customHeight="1" s="372"/>
    <row r="962" ht="15.75" customHeight="1" s="372"/>
    <row r="963" ht="15.75" customHeight="1" s="372"/>
    <row r="964" ht="15.75" customHeight="1" s="372"/>
    <row r="965" ht="15.75" customHeight="1" s="372"/>
    <row r="966" ht="15.75" customHeight="1" s="372"/>
    <row r="967" ht="15.75" customHeight="1" s="372"/>
    <row r="968" ht="15.75" customHeight="1" s="372"/>
    <row r="969" ht="15.75" customHeight="1" s="372"/>
    <row r="970" ht="15.75" customHeight="1" s="372"/>
    <row r="971" ht="15.75" customHeight="1" s="372"/>
    <row r="972" ht="15.75" customHeight="1" s="372"/>
    <row r="973" ht="15.75" customHeight="1" s="372"/>
    <row r="974" ht="15.75" customHeight="1" s="372"/>
    <row r="975" ht="15.75" customHeight="1" s="372"/>
    <row r="976" ht="15.75" customHeight="1" s="372"/>
    <row r="977" ht="15.75" customHeight="1" s="372"/>
    <row r="978" ht="15.75" customHeight="1" s="372"/>
    <row r="979" ht="15.75" customHeight="1" s="372"/>
    <row r="980" ht="15.75" customHeight="1" s="372"/>
    <row r="981" ht="15.75" customHeight="1" s="372"/>
    <row r="982" ht="15.75" customHeight="1" s="372"/>
    <row r="983" ht="15.75" customHeight="1" s="372"/>
    <row r="984" ht="15.75" customHeight="1" s="372"/>
    <row r="985" ht="15.75" customHeight="1" s="372"/>
    <row r="986" ht="15.75" customHeight="1" s="372"/>
    <row r="987" ht="15.75" customHeight="1" s="372"/>
    <row r="988" ht="15.75" customHeight="1" s="372"/>
    <row r="989" ht="15.75" customHeight="1" s="372"/>
    <row r="990" ht="15.75" customHeight="1" s="372"/>
    <row r="991" ht="15.75" customHeight="1" s="372"/>
    <row r="992" ht="15.75" customHeight="1" s="372"/>
    <row r="993" ht="15.75" customHeight="1" s="372"/>
    <row r="994" ht="15.75" customHeight="1" s="372"/>
    <row r="995" ht="15.75" customHeight="1" s="372"/>
    <row r="996" ht="15.75" customHeight="1" s="372"/>
    <row r="997" ht="15.75" customHeight="1" s="372"/>
    <row r="998" ht="15.75" customHeight="1" s="372"/>
    <row r="999" ht="15.75" customHeight="1" s="372"/>
    <row r="1000" ht="15.75" customHeight="1" s="372"/>
  </sheetData>
  <mergeCells count="7">
    <mergeCell ref="A9:D9"/>
    <mergeCell ref="H2:I2"/>
    <mergeCell ref="A1:M1"/>
    <mergeCell ref="E2:F2"/>
    <mergeCell ref="A2:D2"/>
    <mergeCell ref="A3:F3"/>
    <mergeCell ref="E9:F9"/>
  </mergeCells>
  <dataValidations count="3">
    <dataValidation sqref="D6:D8 D10:D29" showDropDown="0" showInputMessage="0" showErrorMessage="0" allowBlank="1" type="list">
      <formula1>"Observer,Participant,Leader"</formula1>
    </dataValidation>
    <dataValidation sqref="C6:C8 C10:C29" showDropDown="0" showInputMessage="0" showErrorMessage="0" allowBlank="1" type="list">
      <formula1>"Elementary,Middle,High,Central Office,Agency,Other"</formula1>
    </dataValidation>
    <dataValidation sqref="O6 O7 O8 O10 O11 O12 O13 O14 O15 O16 O17 O18 O19 O20 O21 O22 O23 O24 O25 O26 O27 O28" showDropDown="0" showInputMessage="1" showErrorMessage="0" allowBlank="1" promptTitle="Completed" prompt="Choose Yes once you have finished this experience." type="list">
      <formula1>"Yes"</formula1>
    </dataValidation>
  </dataValidations>
  <pageMargins left="0.75" right="0.75" top="1" bottom="1" header="0" footer="0"/>
  <pageSetup orientation="portrait" paperSize="9"/>
</worksheet>
</file>

<file path=xl/worksheets/sheet12.xml><?xml version="1.0" encoding="utf-8"?>
<worksheet xmlns="http://schemas.openxmlformats.org/spreadsheetml/2006/main">
  <sheetPr>
    <tabColor rgb="FFE57200"/>
    <outlinePr summaryBelow="1" summaryRight="1"/>
    <pageSetUpPr/>
  </sheetPr>
  <dimension ref="A1:Z239"/>
  <sheetViews>
    <sheetView workbookViewId="0">
      <pane ySplit="1" topLeftCell="A2" activePane="bottomLeft" state="frozen"/>
      <selection pane="bottomLeft" activeCell="B3" sqref="B3"/>
    </sheetView>
  </sheetViews>
  <sheetFormatPr baseColWidth="8" defaultColWidth="14.43" defaultRowHeight="15" customHeight="1"/>
  <cols>
    <col width="32" customWidth="1" style="372" min="1" max="1"/>
    <col width="14" customWidth="1" style="372" min="2" max="4"/>
    <col width="8.710000000000001" customWidth="1" style="372" min="5" max="24"/>
  </cols>
  <sheetData>
    <row r="1" ht="43.5" customHeight="1" s="372">
      <c r="A1" s="167" t="inlineStr">
        <is>
          <t>📊  INTERNSHIP PROGRESS DASHBOARD</t>
        </is>
      </c>
      <c r="E1" s="268" t="n"/>
      <c r="F1" s="268" t="n"/>
      <c r="G1" s="268" t="n"/>
      <c r="H1" s="268" t="n"/>
      <c r="I1" s="268" t="n"/>
      <c r="J1" s="268" t="n"/>
      <c r="K1" s="268" t="n"/>
      <c r="L1" s="268" t="n"/>
      <c r="M1" s="268" t="n"/>
      <c r="N1" s="268" t="n"/>
      <c r="O1" s="268" t="n"/>
      <c r="P1" s="268" t="n"/>
      <c r="Q1" s="268" t="n"/>
      <c r="R1" s="268" t="n"/>
      <c r="S1" s="268" t="n"/>
      <c r="T1" s="268" t="n"/>
      <c r="U1" s="268" t="n"/>
      <c r="V1" s="268" t="n"/>
      <c r="W1" s="268" t="n"/>
      <c r="X1" s="268" t="n"/>
      <c r="Y1" s="268" t="n"/>
      <c r="Z1" s="268" t="n"/>
    </row>
    <row r="2" ht="7.5" customHeight="1" s="372">
      <c r="A2" s="268" t="n"/>
      <c r="B2" s="268" t="n"/>
      <c r="C2" s="268" t="n"/>
      <c r="D2" s="268" t="n"/>
      <c r="E2" s="268" t="n"/>
      <c r="F2" s="268" t="n"/>
      <c r="G2" s="268" t="n"/>
      <c r="H2" s="268" t="n"/>
      <c r="I2" s="268" t="n"/>
      <c r="J2" s="268" t="n"/>
      <c r="K2" s="268" t="n"/>
      <c r="L2" s="268" t="n"/>
      <c r="M2" s="268" t="n"/>
      <c r="N2" s="268" t="n"/>
      <c r="O2" s="268" t="n"/>
      <c r="P2" s="268" t="n"/>
      <c r="Q2" s="268" t="n"/>
      <c r="R2" s="268" t="n"/>
      <c r="S2" s="268" t="n"/>
      <c r="T2" s="268" t="n"/>
      <c r="U2" s="268" t="n"/>
      <c r="V2" s="268" t="n"/>
      <c r="W2" s="268" t="n"/>
      <c r="X2" s="268" t="n"/>
      <c r="Y2" s="268" t="n"/>
      <c r="Z2" s="268" t="n"/>
    </row>
    <row r="3" ht="25.5" customHeight="1" s="372">
      <c r="A3" s="169" t="inlineStr">
        <is>
          <t>OVERALL HOURS PROGRESS  (Goal: 320 hours across 5 semesters)</t>
        </is>
      </c>
      <c r="E3" s="268" t="n"/>
      <c r="F3" s="268" t="n"/>
      <c r="G3" s="268" t="n"/>
      <c r="H3" s="268" t="n"/>
      <c r="I3" s="268" t="n"/>
      <c r="J3" s="268" t="n"/>
      <c r="K3" s="268" t="n"/>
      <c r="L3" s="268" t="n"/>
      <c r="M3" s="268" t="n"/>
      <c r="N3" s="268" t="n"/>
      <c r="O3" s="268" t="n"/>
      <c r="P3" s="268" t="n"/>
      <c r="Q3" s="268" t="n"/>
      <c r="R3" s="268" t="n"/>
      <c r="S3" s="268" t="n"/>
      <c r="T3" s="268" t="n"/>
      <c r="U3" s="268" t="n"/>
      <c r="V3" s="268" t="n"/>
      <c r="W3" s="268" t="n"/>
      <c r="X3" s="268" t="n"/>
      <c r="Y3" s="268" t="n"/>
      <c r="Z3" s="268" t="n"/>
    </row>
    <row r="4" ht="21.75" customHeight="1" s="372">
      <c r="A4" s="170" t="n"/>
      <c r="B4" s="171" t="inlineStr">
        <is>
          <t>Planned Hours</t>
        </is>
      </c>
      <c r="C4" s="171" t="inlineStr">
        <is>
          <t>Target Hours</t>
        </is>
      </c>
      <c r="D4" s="172" t="inlineStr">
        <is>
          <t>Remaining for CHOICE</t>
        </is>
      </c>
      <c r="E4" s="268" t="n"/>
      <c r="F4" s="268" t="n"/>
      <c r="G4" s="268" t="n"/>
      <c r="H4" s="268" t="n"/>
      <c r="I4" s="268" t="n"/>
      <c r="J4" s="268" t="n"/>
      <c r="K4" s="268" t="n"/>
      <c r="L4" s="268" t="n"/>
      <c r="M4" s="268" t="n"/>
      <c r="N4" s="268" t="n"/>
      <c r="O4" s="268" t="n"/>
      <c r="P4" s="268" t="n"/>
      <c r="Q4" s="268" t="n"/>
      <c r="R4" s="268" t="n"/>
      <c r="S4" s="268" t="n"/>
      <c r="T4" s="268" t="n"/>
      <c r="U4" s="268" t="n"/>
      <c r="V4" s="268" t="n"/>
      <c r="W4" s="268" t="n"/>
      <c r="X4" s="268" t="n"/>
      <c r="Y4" s="268" t="n"/>
      <c r="Z4" s="268" t="n"/>
    </row>
    <row r="5" ht="19.5" customHeight="1" s="372">
      <c r="A5" s="173" t="inlineStr">
        <is>
          <t>7806 – School &amp; Community Relations</t>
        </is>
      </c>
      <c r="B5" s="174">
        <f>'7806'!G2</f>
        <v/>
      </c>
      <c r="C5" s="175" t="n">
        <v>32</v>
      </c>
      <c r="D5" s="176">
        <f>C5-B5</f>
        <v/>
      </c>
      <c r="E5" s="268" t="n"/>
      <c r="F5" s="268" t="n"/>
      <c r="G5" s="268" t="n"/>
      <c r="H5" s="268" t="n"/>
      <c r="I5" s="268" t="n"/>
      <c r="J5" s="268" t="n"/>
      <c r="K5" s="268" t="n"/>
      <c r="L5" s="268" t="n"/>
      <c r="M5" s="268" t="n"/>
      <c r="N5" s="268" t="n"/>
      <c r="O5" s="268" t="n"/>
      <c r="P5" s="268" t="n"/>
      <c r="Q5" s="268" t="n"/>
      <c r="R5" s="268" t="n"/>
      <c r="S5" s="268" t="n"/>
      <c r="T5" s="268" t="n"/>
      <c r="U5" s="268" t="n"/>
      <c r="V5" s="268" t="n"/>
      <c r="W5" s="268" t="n"/>
      <c r="X5" s="268" t="n"/>
      <c r="Y5" s="268" t="n"/>
      <c r="Z5" s="268" t="n"/>
    </row>
    <row r="6" ht="19.5" customHeight="1" s="372">
      <c r="A6" s="181" t="inlineStr">
        <is>
          <t>7812 – Leading Continuous Improvement</t>
        </is>
      </c>
      <c r="B6" s="178">
        <f>'7812'!G2</f>
        <v/>
      </c>
      <c r="C6" s="179" t="n">
        <v>32</v>
      </c>
      <c r="D6" s="180">
        <f>C6-B6</f>
        <v/>
      </c>
      <c r="E6" s="268" t="n"/>
      <c r="F6" s="268" t="n"/>
      <c r="G6" s="268" t="n"/>
      <c r="H6" s="268" t="n"/>
      <c r="I6" s="268" t="n"/>
      <c r="J6" s="268" t="n"/>
      <c r="K6" s="268" t="n"/>
      <c r="L6" s="268" t="n"/>
      <c r="M6" s="268" t="n"/>
      <c r="N6" s="268" t="n"/>
      <c r="O6" s="268" t="n"/>
      <c r="P6" s="268" t="n"/>
      <c r="Q6" s="268" t="n"/>
      <c r="R6" s="268" t="n"/>
      <c r="S6" s="268" t="n"/>
      <c r="T6" s="268" t="n"/>
      <c r="U6" s="268" t="n"/>
      <c r="V6" s="268" t="n"/>
      <c r="W6" s="268" t="n"/>
      <c r="X6" s="268" t="n"/>
      <c r="Y6" s="268" t="n"/>
      <c r="Z6" s="268" t="n"/>
    </row>
    <row r="7" ht="19.5" customHeight="1" s="372">
      <c r="A7" s="173" t="inlineStr">
        <is>
          <t>7811 – Teaching &amp; Learning</t>
        </is>
      </c>
      <c r="B7" s="174">
        <f>'7811'!G2</f>
        <v/>
      </c>
      <c r="C7" s="175" t="n">
        <v>32</v>
      </c>
      <c r="D7" s="176">
        <f>C7-B7</f>
        <v/>
      </c>
      <c r="E7" s="268" t="n"/>
      <c r="F7" s="268" t="n"/>
      <c r="G7" s="268" t="n"/>
      <c r="H7" s="268" t="n"/>
      <c r="I7" s="268" t="n"/>
      <c r="J7" s="268" t="n"/>
      <c r="K7" s="268" t="n"/>
      <c r="L7" s="268" t="n"/>
      <c r="M7" s="268" t="n"/>
      <c r="N7" s="268" t="n"/>
      <c r="O7" s="268" t="n"/>
      <c r="P7" s="268" t="n"/>
      <c r="Q7" s="268" t="n"/>
      <c r="R7" s="268" t="n"/>
      <c r="S7" s="268" t="n"/>
      <c r="T7" s="268" t="n"/>
      <c r="U7" s="268" t="n"/>
      <c r="V7" s="268" t="n"/>
      <c r="W7" s="268" t="n"/>
      <c r="X7" s="268" t="n"/>
      <c r="Y7" s="268" t="n"/>
      <c r="Z7" s="268" t="n"/>
    </row>
    <row r="8" ht="19.5" customHeight="1" s="372">
      <c r="A8" s="181" t="inlineStr">
        <is>
          <t>7807 – Leadership I</t>
        </is>
      </c>
      <c r="B8" s="178">
        <f>'7807'!G2</f>
        <v/>
      </c>
      <c r="C8" s="179" t="n">
        <v>32</v>
      </c>
      <c r="D8" s="180">
        <f>C8-B8</f>
        <v/>
      </c>
      <c r="E8" s="268" t="n"/>
      <c r="F8" s="268" t="n"/>
      <c r="G8" s="268" t="n"/>
      <c r="H8" s="268" t="n"/>
      <c r="I8" s="268" t="n"/>
      <c r="J8" s="268" t="n"/>
      <c r="K8" s="268" t="n"/>
      <c r="L8" s="268" t="n"/>
      <c r="M8" s="268" t="n"/>
      <c r="N8" s="268" t="n"/>
      <c r="O8" s="268" t="n"/>
      <c r="P8" s="268" t="n"/>
      <c r="Q8" s="268" t="n"/>
      <c r="R8" s="268" t="n"/>
      <c r="S8" s="268" t="n"/>
      <c r="T8" s="268" t="n"/>
      <c r="U8" s="268" t="n"/>
      <c r="V8" s="268" t="n"/>
      <c r="W8" s="268" t="n"/>
      <c r="X8" s="268" t="n"/>
      <c r="Y8" s="268" t="n"/>
      <c r="Z8" s="268" t="n"/>
    </row>
    <row r="9" ht="19.5" customHeight="1" s="372">
      <c r="A9" s="173" t="inlineStr">
        <is>
          <t>7810 – School Law &amp; Policy</t>
        </is>
      </c>
      <c r="B9" s="174">
        <f>'7810'!G2</f>
        <v/>
      </c>
      <c r="C9" s="175" t="n">
        <v>32</v>
      </c>
      <c r="D9" s="176">
        <f>C9-B9</f>
        <v/>
      </c>
      <c r="E9" s="268" t="n"/>
      <c r="F9" s="268" t="n"/>
      <c r="G9" s="268" t="n"/>
      <c r="H9" s="268" t="n"/>
      <c r="I9" s="268" t="n"/>
      <c r="J9" s="268" t="n"/>
      <c r="K9" s="268" t="n"/>
      <c r="L9" s="268" t="n"/>
      <c r="M9" s="268" t="n"/>
      <c r="N9" s="268" t="n"/>
      <c r="O9" s="268" t="n"/>
      <c r="P9" s="268" t="n"/>
      <c r="Q9" s="268" t="n"/>
      <c r="R9" s="268" t="n"/>
      <c r="S9" s="268" t="n"/>
      <c r="T9" s="268" t="n"/>
      <c r="U9" s="268" t="n"/>
      <c r="V9" s="268" t="n"/>
      <c r="W9" s="268" t="n"/>
      <c r="X9" s="268" t="n"/>
      <c r="Y9" s="268" t="n"/>
      <c r="Z9" s="268" t="n"/>
    </row>
    <row r="10" ht="19.5" customHeight="1" s="372">
      <c r="A10" s="181" t="inlineStr">
        <is>
          <t>7140 – Leadership II (LEAD II)</t>
        </is>
      </c>
      <c r="B10" s="178">
        <f>'7140'!G2</f>
        <v/>
      </c>
      <c r="C10" s="179" t="n">
        <v>32</v>
      </c>
      <c r="D10" s="180">
        <f>C10-B10</f>
        <v/>
      </c>
      <c r="E10" s="268" t="n"/>
      <c r="F10" s="268" t="n"/>
      <c r="G10" s="268" t="n"/>
      <c r="H10" s="268" t="n"/>
      <c r="I10" s="268" t="n"/>
      <c r="J10" s="268" t="n"/>
      <c r="K10" s="268" t="n"/>
      <c r="L10" s="268" t="n"/>
      <c r="M10" s="268" t="n"/>
      <c r="N10" s="268" t="n"/>
      <c r="O10" s="268" t="n"/>
      <c r="P10" s="268" t="n"/>
      <c r="Q10" s="268" t="n"/>
      <c r="R10" s="268" t="n"/>
      <c r="S10" s="268" t="n"/>
      <c r="T10" s="268" t="n"/>
      <c r="U10" s="268" t="n"/>
      <c r="V10" s="268" t="n"/>
      <c r="W10" s="268" t="n"/>
      <c r="X10" s="268" t="n"/>
      <c r="Y10" s="268" t="n"/>
      <c r="Z10" s="268" t="n"/>
    </row>
    <row r="11" ht="19.5" customHeight="1" s="372">
      <c r="A11" s="173" t="inlineStr">
        <is>
          <t>7808 – School Finance</t>
        </is>
      </c>
      <c r="B11" s="174">
        <f>'7808'!G2</f>
        <v/>
      </c>
      <c r="C11" s="175" t="n">
        <v>32</v>
      </c>
      <c r="D11" s="176">
        <f>C11-B11</f>
        <v/>
      </c>
      <c r="E11" s="268" t="n"/>
      <c r="F11" s="268" t="n"/>
      <c r="G11" s="268" t="n"/>
      <c r="H11" s="268" t="n"/>
      <c r="I11" s="268" t="n"/>
      <c r="J11" s="268" t="n"/>
      <c r="K11" s="268" t="n"/>
      <c r="L11" s="268" t="n"/>
      <c r="M11" s="268" t="n"/>
      <c r="N11" s="268" t="n"/>
      <c r="O11" s="268" t="n"/>
      <c r="P11" s="268" t="n"/>
      <c r="Q11" s="268" t="n"/>
      <c r="R11" s="268" t="n"/>
      <c r="S11" s="268" t="n"/>
      <c r="T11" s="268" t="n"/>
      <c r="U11" s="268" t="n"/>
      <c r="V11" s="268" t="n"/>
      <c r="W11" s="268" t="n"/>
      <c r="X11" s="268" t="n"/>
      <c r="Y11" s="268" t="n"/>
      <c r="Z11" s="268" t="n"/>
    </row>
    <row r="12" ht="19.5" customHeight="1" s="372">
      <c r="A12" s="181" t="inlineStr">
        <is>
          <t>7805 – Cultivating Professional Capacity</t>
        </is>
      </c>
      <c r="B12" s="178">
        <f>'7805'!G2</f>
        <v/>
      </c>
      <c r="C12" s="179" t="n">
        <v>32</v>
      </c>
      <c r="D12" s="180">
        <f>C12-B12</f>
        <v/>
      </c>
      <c r="E12" s="268" t="n"/>
      <c r="F12" s="268" t="n"/>
      <c r="G12" s="268" t="n"/>
      <c r="H12" s="268" t="n"/>
      <c r="I12" s="268" t="n"/>
      <c r="J12" s="268" t="n"/>
      <c r="K12" s="268" t="n"/>
      <c r="L12" s="268" t="n"/>
      <c r="M12" s="268" t="n"/>
      <c r="N12" s="268" t="n"/>
      <c r="O12" s="268" t="n"/>
      <c r="P12" s="268" t="n"/>
      <c r="Q12" s="268" t="n"/>
      <c r="R12" s="268" t="n"/>
      <c r="S12" s="268" t="n"/>
      <c r="T12" s="268" t="n"/>
      <c r="U12" s="268" t="n"/>
      <c r="V12" s="268" t="n"/>
      <c r="W12" s="268" t="n"/>
      <c r="X12" s="268" t="n"/>
      <c r="Y12" s="268" t="n"/>
      <c r="Z12" s="268" t="n"/>
    </row>
    <row r="13" ht="19.5" customHeight="1" s="372">
      <c r="A13" s="173" t="inlineStr">
        <is>
          <t>7813 – Educational Technology</t>
        </is>
      </c>
      <c r="B13" s="174">
        <f>'7813'!G2</f>
        <v/>
      </c>
      <c r="C13" s="175" t="n">
        <v>32</v>
      </c>
      <c r="D13" s="176">
        <f>C13-B13</f>
        <v/>
      </c>
      <c r="E13" s="268" t="n"/>
      <c r="F13" s="268" t="n"/>
      <c r="G13" s="268" t="n"/>
      <c r="H13" s="268" t="n"/>
      <c r="I13" s="268" t="n"/>
      <c r="J13" s="268" t="n"/>
      <c r="K13" s="268" t="n"/>
      <c r="L13" s="268" t="n"/>
      <c r="M13" s="268" t="n"/>
      <c r="N13" s="268" t="n"/>
      <c r="O13" s="268" t="n"/>
      <c r="P13" s="268" t="n"/>
      <c r="Q13" s="268" t="n"/>
      <c r="R13" s="268" t="n"/>
      <c r="S13" s="268" t="n"/>
      <c r="T13" s="268" t="n"/>
      <c r="U13" s="268" t="n"/>
      <c r="V13" s="268" t="n"/>
      <c r="W13" s="268" t="n"/>
      <c r="X13" s="268" t="n"/>
      <c r="Y13" s="268" t="n"/>
      <c r="Z13" s="268" t="n"/>
    </row>
    <row r="14" ht="19.5" customHeight="1" s="372">
      <c r="A14" s="181" t="inlineStr">
        <is>
          <t>7815 – Leadership for Diverse Learners</t>
        </is>
      </c>
      <c r="B14" s="178">
        <f>'7815'!G2</f>
        <v/>
      </c>
      <c r="C14" s="179" t="n">
        <v>32</v>
      </c>
      <c r="D14" s="180">
        <f>C14-B14</f>
        <v/>
      </c>
      <c r="E14" s="268" t="n"/>
      <c r="F14" s="268" t="n"/>
      <c r="G14" s="268" t="n"/>
      <c r="H14" s="268" t="n"/>
      <c r="I14" s="268" t="n"/>
      <c r="J14" s="268" t="n"/>
      <c r="K14" s="268" t="n"/>
      <c r="L14" s="268" t="n"/>
      <c r="M14" s="268" t="n"/>
      <c r="N14" s="268" t="n"/>
      <c r="O14" s="268" t="n"/>
      <c r="P14" s="268" t="n"/>
      <c r="Q14" s="268" t="n"/>
      <c r="R14" s="268" t="n"/>
      <c r="S14" s="268" t="n"/>
      <c r="T14" s="268" t="n"/>
      <c r="U14" s="268" t="n"/>
      <c r="V14" s="268" t="n"/>
      <c r="W14" s="268" t="n"/>
      <c r="X14" s="268" t="n"/>
      <c r="Y14" s="268" t="n"/>
      <c r="Z14" s="268" t="n"/>
    </row>
    <row r="15" ht="25.5" customHeight="1" s="372">
      <c r="A15" s="182" t="inlineStr">
        <is>
          <t>TOTAL</t>
        </is>
      </c>
      <c r="B15" s="183">
        <f>SUM(B5:B14)</f>
        <v/>
      </c>
      <c r="C15" s="182">
        <f>SUM(C5:C14)</f>
        <v/>
      </c>
      <c r="D15" s="182">
        <f>C15-B15</f>
        <v/>
      </c>
      <c r="E15" s="268" t="n"/>
      <c r="F15" s="268" t="n"/>
      <c r="G15" s="268" t="n"/>
      <c r="H15" s="268" t="n"/>
      <c r="I15" s="268" t="n"/>
      <c r="J15" s="268" t="n"/>
      <c r="K15" s="268" t="n"/>
      <c r="L15" s="268" t="n"/>
      <c r="M15" s="268" t="n"/>
      <c r="N15" s="268" t="n"/>
      <c r="O15" s="268" t="n"/>
      <c r="P15" s="268" t="n"/>
      <c r="Q15" s="268" t="n"/>
      <c r="R15" s="268" t="n"/>
      <c r="S15" s="268" t="n"/>
      <c r="T15" s="268" t="n"/>
      <c r="U15" s="268" t="n"/>
      <c r="V15" s="268" t="n"/>
      <c r="W15" s="268" t="n"/>
      <c r="X15" s="268" t="n"/>
      <c r="Y15" s="268" t="n"/>
      <c r="Z15" s="268" t="n"/>
    </row>
    <row r="16" ht="9.75" customHeight="1" s="372">
      <c r="A16" s="268" t="n"/>
      <c r="B16" s="268" t="n"/>
      <c r="C16" s="268" t="n"/>
      <c r="D16" s="268" t="n"/>
      <c r="E16" s="268" t="n"/>
      <c r="F16" s="268" t="n"/>
      <c r="G16" s="268" t="n"/>
      <c r="H16" s="268" t="n"/>
      <c r="I16" s="268" t="n"/>
      <c r="J16" s="268" t="n"/>
      <c r="K16" s="268" t="n"/>
      <c r="L16" s="268" t="n"/>
      <c r="M16" s="268" t="n"/>
      <c r="N16" s="268" t="n"/>
      <c r="O16" s="268" t="n"/>
      <c r="P16" s="268" t="n"/>
      <c r="Q16" s="268" t="n"/>
      <c r="R16" s="268" t="n"/>
      <c r="S16" s="268" t="n"/>
      <c r="T16" s="268" t="n"/>
      <c r="U16" s="268" t="n"/>
      <c r="V16" s="268" t="n"/>
      <c r="W16" s="268" t="n"/>
      <c r="X16" s="268" t="n"/>
      <c r="Y16" s="268" t="n"/>
      <c r="Z16" s="268" t="n"/>
    </row>
    <row r="17" ht="25.5" customHeight="1" s="372">
      <c r="A17" s="169" t="inlineStr">
        <is>
          <t>HOURS BY COMPETENCY  (across all courses — Choice hours only)</t>
        </is>
      </c>
      <c r="E17" s="268" t="n"/>
      <c r="F17" s="268" t="n"/>
      <c r="G17" s="268" t="n"/>
      <c r="H17" s="268" t="n"/>
      <c r="I17" s="268" t="n"/>
      <c r="J17" s="268" t="n"/>
      <c r="K17" s="268" t="n"/>
      <c r="L17" s="268" t="n"/>
      <c r="M17" s="268" t="n"/>
      <c r="N17" s="268" t="n"/>
      <c r="O17" s="268" t="n"/>
      <c r="P17" s="268" t="n"/>
      <c r="Q17" s="268" t="n"/>
      <c r="R17" s="268" t="n"/>
      <c r="S17" s="268" t="n"/>
      <c r="T17" s="268" t="n"/>
      <c r="U17" s="268" t="n"/>
      <c r="V17" s="268" t="n"/>
      <c r="W17" s="268" t="n"/>
      <c r="X17" s="268" t="n"/>
      <c r="Y17" s="268" t="n"/>
      <c r="Z17" s="268" t="n"/>
    </row>
    <row r="18" ht="36" customHeight="1" s="372">
      <c r="A18" s="171" t="inlineStr">
        <is>
          <t>Competency</t>
        </is>
      </c>
      <c r="B18" s="172" t="inlineStr">
        <is>
          <t>Choice Hours Logged</t>
        </is>
      </c>
      <c r="C18" s="171" t="inlineStr">
        <is>
          <t>Min Required</t>
        </is>
      </c>
      <c r="D18" s="171" t="inlineStr">
        <is>
          <t>Remaining</t>
        </is>
      </c>
      <c r="E18" s="268" t="n"/>
      <c r="F18" s="268" t="n"/>
      <c r="G18" s="268" t="n"/>
      <c r="H18" s="268" t="n"/>
      <c r="I18" s="268" t="n"/>
      <c r="J18" s="268" t="n"/>
      <c r="K18" s="268" t="n"/>
      <c r="L18" s="268" t="n"/>
      <c r="M18" s="268" t="n"/>
      <c r="N18" s="268" t="n"/>
      <c r="O18" s="268" t="n"/>
      <c r="P18" s="268" t="n"/>
      <c r="Q18" s="268" t="n"/>
      <c r="R18" s="268" t="n"/>
      <c r="S18" s="268" t="n"/>
      <c r="T18" s="268" t="n"/>
      <c r="U18" s="268" t="n"/>
      <c r="V18" s="268" t="n"/>
      <c r="W18" s="268" t="n"/>
      <c r="X18" s="268" t="n"/>
      <c r="Y18" s="268" t="n"/>
      <c r="Z18" s="268" t="n"/>
    </row>
    <row r="19" ht="21.75" customHeight="1" s="372">
      <c r="A19" s="184" t="inlineStr">
        <is>
          <t>1. Instructional Leadership</t>
        </is>
      </c>
      <c r="B19" s="185">
        <f>SUMIFS('7806'!$F$6:$F$200,'7806'!$A$6:$A$200,"CHOICE",'7806'!G$6:G$200,"X")+SUMIFS('7812'!$F$6:$F$200,'7812'!$A$6:$A$200,"CHOICE",'7812'!G$6:G$200,"X")+SUMIFS('7811'!$F$6:$F$200,'7811'!$A$6:$A$200,"CHOICE",'7811'!G$6:G$200,"X")+SUMIFS('7807'!$F$6:$F$200,'7807'!$A$6:$A$200,"CHOICE",'7807'!G$6:G$200,"X")+SUMIFS('7810'!$F$6:$F$200,'7810'!$A$6:$A$200,"CHOICE",'7810'!G$6:G$200,"X")+SUMIFS('7140'!$F$6:$F$200,'7140'!$A$6:$A$200,"CHOICE",'7140'!G$6:G$200,"X")+SUMIFS('7808'!$F$6:$F$200,'7808'!$A$6:$A$200,"CHOICE",'7808'!G$6:G$200,"X")+SUMIFS('7805'!$F$6:$F$200,'7805'!$A$6:$A$200,"CHOICE",'7805'!G$6:G$200,"X")+SUMIFS('7813'!$F$6:$F$200,'7813'!$A$6:$A$200,"CHOICE",'7813'!G$6:G$200,"X")+SUMIFS('7815'!$F$6:$F$200,'7815'!$A$6:$A$200,"CHOICE",'7815'!G$6:G$200,"X")</f>
        <v/>
      </c>
      <c r="C19" s="186" t="n">
        <v>3</v>
      </c>
      <c r="D19" s="187">
        <f>MAX(0,C19-B19)</f>
        <v/>
      </c>
      <c r="E19" s="268" t="n"/>
      <c r="F19" s="268" t="n"/>
      <c r="G19" s="268" t="n"/>
      <c r="H19" s="188" t="n"/>
      <c r="I19" s="268" t="n"/>
      <c r="J19" s="268" t="n"/>
      <c r="K19" s="268" t="n"/>
      <c r="L19" s="268" t="n"/>
      <c r="M19" s="268" t="n"/>
      <c r="N19" s="268" t="n"/>
      <c r="O19" s="268" t="n"/>
      <c r="P19" s="268" t="n"/>
      <c r="Q19" s="268" t="n"/>
      <c r="R19" s="268" t="n"/>
      <c r="S19" s="268" t="n"/>
      <c r="T19" s="268" t="n"/>
      <c r="U19" s="268" t="n"/>
      <c r="V19" s="268" t="n"/>
      <c r="W19" s="268" t="n"/>
      <c r="X19" s="268" t="n"/>
      <c r="Y19" s="268" t="n"/>
      <c r="Z19" s="268" t="n"/>
    </row>
    <row r="20" ht="21.75" customHeight="1" s="372">
      <c r="A20" s="189" t="inlineStr">
        <is>
          <t>2. Organizational Management</t>
        </is>
      </c>
      <c r="B20" s="190">
        <f>SUMIFS('7806'!$F$6:$F$200,'7806'!$A$6:$A$200,"CHOICE",'7806'!H$6:H$200,"X")+SUMIFS('7812'!$F$6:$F$200,'7812'!$A$6:$A$200,"CHOICE",'7812'!H$6:H$200,"X")+SUMIFS('7811'!$F$6:$F$200,'7811'!$A$6:$A$200,"CHOICE",'7811'!H$6:H$200,"X")+SUMIFS('7807'!$F$6:$F$200,'7807'!$A$6:$A$200,"CHOICE",'7807'!H$6:H$200,"X")+SUMIFS('7810'!$F$6:$F$200,'7810'!$A$6:$A$200,"CHOICE",'7810'!H$6:H$200,"X")+SUMIFS('7140'!$F$6:$F$200,'7140'!$A$6:$A$200,"CHOICE",'7140'!H$6:H$200,"X")+SUMIFS('7808'!$F$6:$F$200,'7808'!$A$6:$A$200,"CHOICE",'7808'!H$6:H$200,"X")+SUMIFS('7805'!$F$6:$F$200,'7805'!$A$6:$A$200,"CHOICE",'7805'!H$6:H$200,"X")+SUMIFS('7813'!$F$6:$F$200,'7813'!$A$6:$A$200,"CHOICE",'7813'!H$6:H$200,"X")+SUMIFS('7815'!$F$6:$F$200,'7815'!$A$6:$A$200,"CHOICE",'7815'!H$6:H$200,"X")</f>
        <v/>
      </c>
      <c r="C20" s="191" t="n">
        <v>0</v>
      </c>
      <c r="D20" s="192">
        <f>MAX(0,C20-B20)</f>
        <v/>
      </c>
      <c r="E20" s="268" t="n"/>
      <c r="F20" s="268" t="n"/>
      <c r="G20" s="268" t="n"/>
      <c r="H20" s="268" t="n"/>
      <c r="I20" s="268" t="n"/>
      <c r="J20" s="268" t="n"/>
      <c r="K20" s="268" t="n"/>
      <c r="L20" s="268" t="n"/>
      <c r="M20" s="268" t="n"/>
      <c r="N20" s="268" t="n"/>
      <c r="O20" s="268" t="n"/>
      <c r="P20" s="268" t="n"/>
      <c r="Q20" s="268" t="n"/>
      <c r="R20" s="268" t="n"/>
      <c r="S20" s="268" t="n"/>
      <c r="T20" s="268" t="n"/>
      <c r="U20" s="268" t="n"/>
      <c r="V20" s="268" t="n"/>
      <c r="W20" s="268" t="n"/>
      <c r="X20" s="268" t="n"/>
      <c r="Y20" s="268" t="n"/>
      <c r="Z20" s="268" t="n"/>
    </row>
    <row r="21" ht="21.75" customHeight="1" s="372">
      <c r="A21" s="193" t="inlineStr">
        <is>
          <t>3. Operational Management</t>
        </is>
      </c>
      <c r="B21" s="194">
        <f>SUMIFS('7806'!$F$6:$F$200,'7806'!$A$6:$A$200,"CHOICE",'7806'!I$6:I$200,"X")+SUMIFS('7812'!$F$6:$F$200,'7812'!$A$6:$A$200,"CHOICE",'7812'!I$6:I$200,"X")+SUMIFS('7811'!$F$6:$F$200,'7811'!$A$6:$A$200,"CHOICE",'7811'!I$6:I$200,"X")+SUMIFS('7807'!$F$6:$F$200,'7807'!$A$6:$A$200,"CHOICE",'7807'!I$6:I$200,"X")+SUMIFS('7810'!$F$6:$F$200,'7810'!$A$6:$A$200,"CHOICE",'7810'!I$6:I$200,"X")+SUMIFS('7140'!$F$6:$F$200,'7140'!$A$6:$A$200,"CHOICE",'7140'!I$6:I$200,"X")+SUMIFS('7808'!$F$6:$F$200,'7808'!$A$6:$A$200,"CHOICE",'7808'!I$6:I$200,"X")+SUMIFS('7805'!$F$6:$F$200,'7805'!$A$6:$A$200,"CHOICE",'7805'!I$6:I$200,"X")+SUMIFS('7813'!$F$6:$F$200,'7813'!$A$6:$A$200,"CHOICE",'7813'!I$6:I$200,"X")+SUMIFS('7815'!$F$6:$F$200,'7815'!$A$6:$A$200,"CHOICE",'7815'!I$6:I$200,"X")</f>
        <v/>
      </c>
      <c r="C21" s="195" t="n">
        <v>23</v>
      </c>
      <c r="D21" s="196">
        <f>MAX(0,C21-B21)</f>
        <v/>
      </c>
      <c r="E21" s="268" t="n"/>
      <c r="F21" s="268" t="n"/>
      <c r="G21" s="268" t="n"/>
      <c r="H21" s="268" t="n"/>
      <c r="I21" s="268" t="n"/>
      <c r="J21" s="268" t="n"/>
      <c r="K21" s="268" t="n"/>
      <c r="L21" s="268" t="n"/>
      <c r="M21" s="268" t="n"/>
      <c r="N21" s="268" t="n"/>
      <c r="O21" s="268" t="n"/>
      <c r="P21" s="268" t="n"/>
      <c r="Q21" s="268" t="n"/>
      <c r="R21" s="268" t="n"/>
      <c r="S21" s="268" t="n"/>
      <c r="T21" s="268" t="n"/>
      <c r="U21" s="268" t="n"/>
      <c r="V21" s="268" t="n"/>
      <c r="W21" s="268" t="n"/>
      <c r="X21" s="268" t="n"/>
      <c r="Y21" s="268" t="n"/>
      <c r="Z21" s="268" t="n"/>
    </row>
    <row r="22" ht="21.75" customHeight="1" s="372">
      <c r="A22" s="197" t="inlineStr">
        <is>
          <t>4. Systemic Equity &amp; Community Engagement</t>
        </is>
      </c>
      <c r="B22" s="198">
        <f>SUMIFS('7806'!$F$6:$F$200,'7806'!$A$6:$A$200,"CHOICE",'7806'!J$6:J$200,"X")+SUMIFS('7812'!$F$6:$F$200,'7812'!$A$6:$A$200,"CHOICE",'7812'!J$6:J$200,"X")+SUMIFS('7811'!$F$6:$F$200,'7811'!$A$6:$A$200,"CHOICE",'7811'!J$6:J$200,"X")+SUMIFS('7807'!$F$6:$F$200,'7807'!$A$6:$A$200,"CHOICE",'7807'!J$6:J$200,"X")+SUMIFS('7810'!$F$6:$F$200,'7810'!$A$6:$A$200,"CHOICE",'7810'!J$6:J$200,"X")+SUMIFS('7140'!$F$6:$F$200,'7140'!$A$6:$A$200,"CHOICE",'7140'!J$6:J$200,"X")+SUMIFS('7808'!$F$6:$F$200,'7808'!$A$6:$A$200,"CHOICE",'7808'!J$6:J$200,"X")+SUMIFS('7805'!$F$6:$F$200,'7805'!$A$6:$A$200,"CHOICE",'7805'!J$6:J$200,"X")+SUMIFS('7813'!$F$6:$F$200,'7813'!$A$6:$A$200,"CHOICE",'7813'!J$6:J$200,"X")+SUMIFS('7815'!$F$6:$F$200,'7815'!$A$6:$A$200,"CHOICE",'7815'!J$6:J$200,"X")</f>
        <v/>
      </c>
      <c r="C22" s="199" t="n">
        <v>4</v>
      </c>
      <c r="D22" s="200">
        <f>MAX(0,C22-B22)</f>
        <v/>
      </c>
      <c r="E22" s="268" t="n"/>
      <c r="F22" s="268" t="n"/>
      <c r="G22" s="268" t="n"/>
      <c r="H22" s="268" t="n"/>
      <c r="I22" s="268" t="n"/>
      <c r="J22" s="268" t="n"/>
      <c r="K22" s="268" t="n"/>
      <c r="L22" s="268" t="n"/>
      <c r="M22" s="268" t="n"/>
      <c r="N22" s="268" t="n"/>
      <c r="O22" s="268" t="n"/>
      <c r="P22" s="268" t="n"/>
      <c r="Q22" s="268" t="n"/>
      <c r="R22" s="268" t="n"/>
      <c r="S22" s="268" t="n"/>
      <c r="T22" s="268" t="n"/>
      <c r="U22" s="268" t="n"/>
      <c r="V22" s="268" t="n"/>
      <c r="W22" s="268" t="n"/>
      <c r="X22" s="268" t="n"/>
      <c r="Y22" s="268" t="n"/>
      <c r="Z22" s="268" t="n"/>
    </row>
    <row r="23" ht="21.75" customHeight="1" s="372">
      <c r="A23" s="201" t="inlineStr">
        <is>
          <t>5. Professionalism</t>
        </is>
      </c>
      <c r="B23" s="202">
        <f>SUMIFS('7806'!$F$6:$F$200,'7806'!$A$6:$A$200,"CHOICE",'7806'!K$6:K$200,"X")+SUMIFS('7812'!$F$6:$F$200,'7812'!$A$6:$A$200,"CHOICE",'7812'!K$6:K$200,"X")+SUMIFS('7811'!$F$6:$F$200,'7811'!$A$6:$A$200,"CHOICE",'7811'!K$6:K$200,"X")+SUMIFS('7807'!$F$6:$F$200,'7807'!$A$6:$A$200,"CHOICE",'7807'!K$6:K$200,"X")+SUMIFS('7810'!$F$6:$F$200,'7810'!$A$6:$A$200,"CHOICE",'7810'!K$6:K$200,"X")+SUMIFS('7140'!$F$6:$F$200,'7140'!$A$6:$A$200,"CHOICE",'7140'!K$6:K$200,"X")+SUMIFS('7808'!$F$6:$F$200,'7808'!$A$6:$A$200,"CHOICE",'7808'!K$6:K$200,"X")+SUMIFS('7805'!$F$6:$F$200,'7805'!$A$6:$A$200,"CHOICE",'7805'!K$6:K$200,"X")+SUMIFS('7813'!$F$6:$F$200,'7813'!$A$6:$A$200,"CHOICE",'7813'!K$6:K$200,"X")+SUMIFS('7815'!$F$6:$F$200,'7815'!$A$6:$A$200,"CHOICE",'7815'!K$6:K$200,"X")</f>
        <v/>
      </c>
      <c r="C23" s="203" t="n">
        <v>23</v>
      </c>
      <c r="D23" s="204">
        <f>MAX(0,C23-B23)</f>
        <v/>
      </c>
      <c r="E23" s="268" t="n"/>
      <c r="F23" s="268" t="n"/>
      <c r="G23" s="268" t="n"/>
      <c r="H23" s="268" t="n"/>
      <c r="I23" s="268" t="n"/>
      <c r="J23" s="268" t="n"/>
      <c r="K23" s="268" t="n"/>
      <c r="L23" s="268" t="n"/>
      <c r="M23" s="268" t="n"/>
      <c r="N23" s="268" t="n"/>
      <c r="O23" s="268" t="n"/>
      <c r="P23" s="268" t="n"/>
      <c r="Q23" s="268" t="n"/>
      <c r="R23" s="268" t="n"/>
      <c r="S23" s="268" t="n"/>
      <c r="T23" s="268" t="n"/>
      <c r="U23" s="268" t="n"/>
      <c r="V23" s="268" t="n"/>
      <c r="W23" s="268" t="n"/>
      <c r="X23" s="268" t="n"/>
      <c r="Y23" s="268" t="n"/>
      <c r="Z23" s="268" t="n"/>
    </row>
    <row r="24" ht="21.75" customHeight="1" s="372">
      <c r="A24" s="205" t="inlineStr">
        <is>
          <t>6. Advocacy</t>
        </is>
      </c>
      <c r="B24" s="206">
        <f>SUMIFS('7806'!$F$6:$F$200,'7806'!$A$6:$A$200,"CHOICE",'7806'!L$6:L$200,"X")+SUMIFS('7812'!$F$6:$F$200,'7812'!$A$6:$A$200,"CHOICE",'7812'!L$6:L$200,"X")+SUMIFS('7811'!$F$6:$F$200,'7811'!$A$6:$A$200,"CHOICE",'7811'!L$6:L$200,"X")+SUMIFS('7807'!$F$6:$F$200,'7807'!$A$6:$A$200,"CHOICE",'7807'!L$6:L$200,"X")+SUMIFS('7810'!$F$6:$F$200,'7810'!$A$6:$A$200,"CHOICE",'7810'!L$6:L$200,"X")+SUMIFS('7140'!$F$6:$F$200,'7140'!$A$6:$A$200,"CHOICE",'7140'!L$6:L$200,"X")+SUMIFS('7808'!$F$6:$F$200,'7808'!$A$6:$A$200,"CHOICE",'7808'!L$6:L$200,"X")+SUMIFS('7805'!$F$6:$F$200,'7805'!$A$6:$A$200,"CHOICE",'7805'!L$6:L$200,"X")+SUMIFS('7813'!$F$6:$F$200,'7813'!$A$6:$A$200,"CHOICE",'7813'!L$6:L$200,"X")+SUMIFS('7815'!$F$6:$F$200,'7815'!$A$6:$A$200,"CHOICE",'7815'!L$6:L$200,"X")</f>
        <v/>
      </c>
      <c r="C24" s="207" t="n">
        <v>17</v>
      </c>
      <c r="D24" s="208">
        <f>MAX(0,C24-B24)</f>
        <v/>
      </c>
      <c r="E24" s="268" t="n"/>
      <c r="F24" s="268" t="n"/>
      <c r="G24" s="268" t="n"/>
      <c r="H24" s="268" t="n"/>
      <c r="I24" s="268" t="n"/>
      <c r="J24" s="268" t="n"/>
      <c r="K24" s="268" t="n"/>
      <c r="L24" s="268" t="n"/>
      <c r="M24" s="268" t="n"/>
      <c r="N24" s="268" t="n"/>
      <c r="O24" s="268" t="n"/>
      <c r="P24" s="268" t="n"/>
      <c r="Q24" s="268" t="n"/>
      <c r="R24" s="268" t="n"/>
      <c r="S24" s="268" t="n"/>
      <c r="T24" s="268" t="n"/>
      <c r="U24" s="268" t="n"/>
      <c r="V24" s="268" t="n"/>
      <c r="W24" s="268" t="n"/>
      <c r="X24" s="268" t="n"/>
      <c r="Y24" s="268" t="n"/>
      <c r="Z24" s="268" t="n"/>
    </row>
    <row r="25" ht="15.75" customHeight="1" s="372">
      <c r="A25" s="268" t="n"/>
      <c r="B25" s="268" t="n"/>
      <c r="C25" s="268" t="n"/>
      <c r="D25" s="268" t="n"/>
      <c r="E25" s="268" t="n"/>
      <c r="F25" s="268" t="n"/>
      <c r="G25" s="268" t="n"/>
      <c r="H25" s="268" t="n"/>
      <c r="I25" s="268" t="n"/>
      <c r="J25" s="268" t="n"/>
      <c r="K25" s="268" t="n"/>
      <c r="L25" s="268" t="n"/>
      <c r="M25" s="268" t="n"/>
      <c r="N25" s="268" t="n"/>
      <c r="O25" s="268" t="n"/>
      <c r="P25" s="268" t="n"/>
      <c r="Q25" s="268" t="n"/>
      <c r="R25" s="268" t="n"/>
      <c r="S25" s="268" t="n"/>
      <c r="T25" s="268" t="n"/>
      <c r="U25" s="268" t="n"/>
      <c r="V25" s="268" t="n"/>
      <c r="W25" s="268" t="n"/>
      <c r="X25" s="268" t="n"/>
      <c r="Y25" s="268" t="n"/>
      <c r="Z25" s="268" t="n"/>
    </row>
    <row r="26" ht="9.75" customHeight="1" s="372">
      <c r="A26" s="268" t="n"/>
      <c r="B26" s="268" t="n"/>
      <c r="C26" s="268" t="n"/>
      <c r="D26" s="268" t="n"/>
      <c r="E26" s="268" t="n"/>
      <c r="F26" s="268" t="n"/>
      <c r="G26" s="268" t="n"/>
      <c r="H26" s="268" t="n"/>
      <c r="I26" s="268" t="n"/>
      <c r="J26" s="268" t="n"/>
      <c r="K26" s="268" t="n"/>
      <c r="L26" s="268" t="n"/>
      <c r="M26" s="268" t="n"/>
      <c r="N26" s="268" t="n"/>
      <c r="O26" s="268" t="n"/>
      <c r="P26" s="268" t="n"/>
      <c r="Q26" s="268" t="n"/>
      <c r="R26" s="268" t="n"/>
      <c r="S26" s="268" t="n"/>
      <c r="T26" s="268" t="n"/>
      <c r="U26" s="268" t="n"/>
      <c r="V26" s="268" t="n"/>
      <c r="W26" s="268" t="n"/>
      <c r="X26" s="268" t="n"/>
      <c r="Y26" s="268" t="n"/>
      <c r="Z26" s="268" t="n"/>
    </row>
    <row r="27" ht="25.5" customHeight="1" s="372">
      <c r="A27" s="209" t="inlineStr">
        <is>
          <t>📍  LOCATION REQUIREMENT: At least 50 hours must be completed outside your own building (min. 12.5 per site type)</t>
        </is>
      </c>
      <c r="E27" s="268" t="n"/>
      <c r="F27" s="268" t="n"/>
      <c r="G27" s="268" t="n"/>
      <c r="H27" s="268" t="n"/>
      <c r="I27" s="268" t="n"/>
      <c r="J27" s="268" t="n"/>
      <c r="K27" s="268" t="n"/>
      <c r="L27" s="268" t="n"/>
      <c r="M27" s="268" t="n"/>
      <c r="N27" s="268" t="n"/>
      <c r="O27" s="268" t="n"/>
      <c r="P27" s="268" t="n"/>
      <c r="Q27" s="268" t="n"/>
      <c r="R27" s="268" t="n"/>
      <c r="S27" s="268" t="n"/>
      <c r="T27" s="268" t="n"/>
      <c r="U27" s="268" t="n"/>
      <c r="V27" s="268" t="n"/>
      <c r="W27" s="268" t="n"/>
      <c r="X27" s="268" t="n"/>
      <c r="Y27" s="268" t="n"/>
      <c r="Z27" s="268" t="n"/>
    </row>
    <row r="28" ht="15.75" customHeight="1" s="372">
      <c r="A28" s="268" t="n"/>
      <c r="B28" s="268" t="n"/>
      <c r="C28" s="268" t="n"/>
      <c r="D28" s="268" t="n"/>
      <c r="E28" s="268" t="n"/>
      <c r="F28" s="268" t="n"/>
      <c r="G28" s="268" t="n"/>
      <c r="H28" s="268" t="n"/>
      <c r="I28" s="268" t="n"/>
      <c r="J28" s="268" t="n"/>
      <c r="K28" s="268" t="n"/>
      <c r="L28" s="268" t="n"/>
      <c r="M28" s="268" t="n"/>
      <c r="N28" s="268" t="n"/>
      <c r="O28" s="268" t="n"/>
      <c r="P28" s="268" t="n"/>
      <c r="Q28" s="268" t="n"/>
      <c r="R28" s="268" t="n"/>
      <c r="S28" s="268" t="n"/>
      <c r="T28" s="268" t="n"/>
      <c r="U28" s="268" t="n"/>
      <c r="V28" s="268" t="n"/>
      <c r="W28" s="268" t="n"/>
      <c r="X28" s="268" t="n"/>
      <c r="Y28" s="268" t="n"/>
      <c r="Z28" s="268" t="n"/>
    </row>
    <row r="29" ht="15.75" customHeight="1" s="372">
      <c r="A29" s="268" t="n"/>
      <c r="B29" s="268" t="n"/>
      <c r="C29" s="268" t="n"/>
      <c r="D29" s="268" t="n"/>
      <c r="E29" s="268" t="n"/>
      <c r="F29" s="268" t="n"/>
      <c r="G29" s="268" t="n"/>
      <c r="H29" s="268" t="n"/>
      <c r="I29" s="268" t="n"/>
      <c r="J29" s="268" t="n"/>
      <c r="K29" s="268" t="n"/>
      <c r="L29" s="268" t="n"/>
      <c r="M29" s="268" t="n"/>
      <c r="N29" s="268" t="n"/>
      <c r="O29" s="268" t="n"/>
      <c r="P29" s="268" t="n"/>
      <c r="Q29" s="268" t="n"/>
      <c r="R29" s="268" t="n"/>
      <c r="S29" s="268" t="n"/>
      <c r="T29" s="268" t="n"/>
      <c r="U29" s="268" t="n"/>
      <c r="V29" s="268" t="n"/>
      <c r="W29" s="268" t="n"/>
      <c r="X29" s="268" t="n"/>
      <c r="Y29" s="268" t="n"/>
      <c r="Z29" s="268" t="n"/>
    </row>
    <row r="30" ht="15.75" customHeight="1" s="372">
      <c r="A30" s="169" t="inlineStr">
        <is>
          <t>📍  EXTERNAL HOURS TRACKER  (Requirement: 50 hrs outside your building | min. 12.5 per site type)</t>
        </is>
      </c>
      <c r="E30" s="268" t="n"/>
      <c r="F30" s="268" t="n"/>
      <c r="G30" s="268" t="n"/>
      <c r="H30" s="268" t="n"/>
      <c r="I30" s="268" t="n"/>
      <c r="J30" s="268" t="n"/>
      <c r="K30" s="268" t="n"/>
      <c r="L30" s="268" t="n"/>
      <c r="M30" s="268" t="n"/>
      <c r="N30" s="268" t="n"/>
      <c r="O30" s="268" t="n"/>
      <c r="P30" s="268" t="n"/>
      <c r="Q30" s="268" t="n"/>
      <c r="R30" s="268" t="n"/>
      <c r="S30" s="268" t="n"/>
      <c r="T30" s="268" t="n"/>
      <c r="U30" s="268" t="n"/>
      <c r="V30" s="268" t="n"/>
      <c r="W30" s="268" t="n"/>
      <c r="X30" s="268" t="n"/>
      <c r="Y30" s="268" t="n"/>
      <c r="Z30" s="268" t="n"/>
    </row>
    <row r="31" ht="15.75" customHeight="1" s="372">
      <c r="A31" s="210" t="inlineStr">
        <is>
          <t>Enter your location in column C of each course tab using the dropdown. 'Main Site' = your own building and is excluded from external totals.</t>
        </is>
      </c>
      <c r="E31" s="268" t="n"/>
      <c r="F31" s="268" t="n"/>
      <c r="G31" s="268" t="n"/>
      <c r="H31" s="268" t="n"/>
      <c r="I31" s="268" t="n"/>
      <c r="J31" s="268" t="n"/>
      <c r="K31" s="268" t="n"/>
      <c r="L31" s="268" t="n"/>
      <c r="M31" s="268" t="n"/>
      <c r="N31" s="268" t="n"/>
      <c r="O31" s="268" t="n"/>
      <c r="P31" s="268" t="n"/>
      <c r="Q31" s="268" t="n"/>
      <c r="R31" s="268" t="n"/>
      <c r="S31" s="268" t="n"/>
      <c r="T31" s="268" t="n"/>
      <c r="U31" s="268" t="n"/>
      <c r="V31" s="268" t="n"/>
      <c r="W31" s="268" t="n"/>
      <c r="X31" s="268" t="n"/>
      <c r="Y31" s="268" t="n"/>
      <c r="Z31" s="268" t="n"/>
    </row>
    <row r="32" ht="15.75" customHeight="1" s="372">
      <c r="A32" s="211" t="inlineStr">
        <is>
          <t>Location Type</t>
        </is>
      </c>
      <c r="B32" s="211" t="inlineStr">
        <is>
          <t>Hours Logged</t>
        </is>
      </c>
      <c r="C32" s="211" t="inlineStr">
        <is>
          <t>Minimum Required</t>
        </is>
      </c>
      <c r="D32" s="211" t="inlineStr">
        <is>
          <t>Still Needed</t>
        </is>
      </c>
      <c r="E32" s="268" t="n"/>
      <c r="F32" s="268" t="n"/>
      <c r="G32" s="268" t="n"/>
      <c r="H32" s="268" t="n"/>
      <c r="I32" s="268" t="n"/>
      <c r="J32" s="268" t="n"/>
      <c r="K32" s="268" t="n"/>
      <c r="L32" s="268" t="n"/>
      <c r="M32" s="268" t="n"/>
      <c r="N32" s="268" t="n"/>
      <c r="O32" s="268" t="n"/>
      <c r="P32" s="268" t="n"/>
      <c r="Q32" s="268" t="n"/>
      <c r="R32" s="268" t="n"/>
      <c r="S32" s="268" t="n"/>
      <c r="T32" s="268" t="n"/>
      <c r="U32" s="268" t="n"/>
      <c r="V32" s="268" t="n"/>
      <c r="W32" s="268" t="n"/>
      <c r="X32" s="268" t="n"/>
      <c r="Y32" s="268" t="n"/>
      <c r="Z32" s="268" t="n"/>
    </row>
    <row r="33" ht="15.75" customHeight="1" s="372">
      <c r="A33" s="212" t="inlineStr">
        <is>
          <t>Elementary</t>
        </is>
      </c>
      <c r="B33" s="213">
        <f>IFERROR(SUMIF('7806'!C6:C200,"Elementary",('7806'!F6:F200)),0)+IFERROR(SUMIF('7812'!C6:C200,"Elementary",('7812'!F6:F200)),0)+IFERROR(SUMIF('7811'!C6:C200,"Elementary",('7811'!F6:F200)),0)+IFERROR(SUMIF('7807'!C6:C200,"Elementary",('7807'!F6:F200)),0)+IFERROR(SUMIF('7810'!C6:C200,"Elementary",('7810'!F6:F200)),0)+IFERROR(SUMIF('7140'!C6:C200,"Elementary",('7140'!F6:F200)),0)+IFERROR(SUMIF('7808'!C6:C200,"Elementary",('7808'!F6:F200)),0)+IFERROR(SUMIF('7805'!C6:C200,"Elementary",('7805'!F6:F200)),0)+IFERROR(SUMIF('7813'!C6:C200,"Elementary",('7813'!F6:F200)),0)+IFERROR(SUMIF('7815'!C6:C200,"Elementary",('7815'!F6:F200)),0)</f>
        <v/>
      </c>
      <c r="C33" s="214" t="n">
        <v>12.5</v>
      </c>
      <c r="D33" s="215">
        <f>IF(B33&gt;=12.5,"✅ Met","⚠ "&amp;TEXT(MAX(0,12.5-B33),"0.0")&amp;" hrs needed")</f>
        <v/>
      </c>
      <c r="E33" s="268" t="n"/>
      <c r="F33" s="268" t="n"/>
      <c r="G33" s="268" t="n"/>
      <c r="H33" s="268" t="n"/>
      <c r="I33" s="268" t="n"/>
      <c r="J33" s="268" t="n"/>
      <c r="K33" s="268" t="n"/>
      <c r="L33" s="268" t="n"/>
      <c r="M33" s="268" t="n"/>
      <c r="N33" s="268" t="n"/>
      <c r="O33" s="268" t="n"/>
      <c r="P33" s="268" t="n"/>
      <c r="Q33" s="268" t="n"/>
      <c r="R33" s="268" t="n"/>
      <c r="S33" s="268" t="n"/>
      <c r="T33" s="268" t="n"/>
      <c r="U33" s="268" t="n"/>
      <c r="V33" s="268" t="n"/>
      <c r="W33" s="268" t="n"/>
      <c r="X33" s="268" t="n"/>
      <c r="Y33" s="268" t="n"/>
      <c r="Z33" s="268" t="n"/>
    </row>
    <row r="34" ht="15.75" customHeight="1" s="372">
      <c r="A34" s="216" t="inlineStr">
        <is>
          <t>Middle</t>
        </is>
      </c>
      <c r="B34" s="217">
        <f>IFERROR(SUMIF('7806'!C6:C200,"Middle",('7806'!F6:F200)),0)+IFERROR(SUMIF('7812'!C6:C200,"Middle",('7812'!F6:F200)),0)+IFERROR(SUMIF('7811'!C6:C200,"Middle",('7811'!F6:F200)),0)+IFERROR(SUMIF('7807'!C6:C200,"Middle",('7807'!F6:F200)),0)+IFERROR(SUMIF('7810'!C6:C200,"Middle",('7810'!F6:F200)),0)+IFERROR(SUMIF('7140'!C6:C200,"Middle",('7140'!F6:F200)),0)+IFERROR(SUMIF('7808'!C6:C200,"Middle",('7808'!F6:F200)),0)+IFERROR(SUMIF('7805'!C6:C200,"Middle",('7805'!F6:F200)),0)+IFERROR(SUMIF('7813'!C6:C200,"Middle",('7813'!F6:F200)),0)+IFERROR(SUMIF('7815'!C6:C200,"Middle",('7815'!F6:F200)),0)</f>
        <v/>
      </c>
      <c r="C34" s="214" t="n">
        <v>12.5</v>
      </c>
      <c r="D34" s="215">
        <f>IF(B34&gt;=12.5,"✅ Met","⚠ "&amp;TEXT(MAX(0,12.5-B34),"0.0")&amp;" hrs needed")</f>
        <v/>
      </c>
      <c r="E34" s="268" t="n"/>
      <c r="F34" s="268" t="n"/>
      <c r="G34" s="268" t="n"/>
      <c r="H34" s="268" t="n"/>
      <c r="I34" s="268" t="n"/>
      <c r="J34" s="268" t="n"/>
      <c r="K34" s="268" t="n"/>
      <c r="L34" s="268" t="n"/>
      <c r="M34" s="268" t="n"/>
      <c r="N34" s="268" t="n"/>
      <c r="O34" s="268" t="n"/>
      <c r="P34" s="268" t="n"/>
      <c r="Q34" s="268" t="n"/>
      <c r="R34" s="268" t="n"/>
      <c r="S34" s="268" t="n"/>
      <c r="T34" s="268" t="n"/>
      <c r="U34" s="268" t="n"/>
      <c r="V34" s="268" t="n"/>
      <c r="W34" s="268" t="n"/>
      <c r="X34" s="268" t="n"/>
      <c r="Y34" s="268" t="n"/>
      <c r="Z34" s="268" t="n"/>
    </row>
    <row r="35" ht="15.75" customHeight="1" s="372">
      <c r="A35" s="218" t="inlineStr">
        <is>
          <t>High</t>
        </is>
      </c>
      <c r="B35" s="219">
        <f>IFERROR(SUMIF('7806'!C6:C200,"High",('7806'!F6:F200)),0)+IFERROR(SUMIF('7812'!C6:C200,"High",('7812'!F6:F200)),0)+IFERROR(SUMIF('7811'!C6:C200,"High",('7811'!F6:F200)),0)+IFERROR(SUMIF('7807'!C6:C200,"High",('7807'!F6:F200)),0)+IFERROR(SUMIF('7810'!C6:C200,"High",('7810'!F6:F200)),0)+IFERROR(SUMIF('7140'!C6:C200,"High",('7140'!F6:F200)),0)+IFERROR(SUMIF('7808'!C6:C200,"High",('7808'!F6:F200)),0)+IFERROR(SUMIF('7805'!C6:C200,"High",('7805'!F6:F200)),0)+IFERROR(SUMIF('7813'!C6:C200,"High",('7813'!F6:F200)),0)+IFERROR(SUMIF('7815'!C6:C200,"High",('7815'!F6:F200)),0)</f>
        <v/>
      </c>
      <c r="C35" s="214" t="n">
        <v>12.5</v>
      </c>
      <c r="D35" s="215">
        <f>IF(B35&gt;=12.5,"✅ Met","⚠ "&amp;TEXT(MAX(0,12.5-B35),"0.0")&amp;" hrs needed")</f>
        <v/>
      </c>
      <c r="E35" s="268" t="n"/>
      <c r="F35" s="268" t="n"/>
      <c r="G35" s="268" t="n"/>
      <c r="H35" s="268" t="n"/>
      <c r="I35" s="268" t="n"/>
      <c r="J35" s="268" t="n"/>
      <c r="K35" s="268" t="n"/>
      <c r="L35" s="268" t="n"/>
      <c r="M35" s="268" t="n"/>
      <c r="N35" s="268" t="n"/>
      <c r="O35" s="268" t="n"/>
      <c r="P35" s="268" t="n"/>
      <c r="Q35" s="268" t="n"/>
      <c r="R35" s="268" t="n"/>
      <c r="S35" s="268" t="n"/>
      <c r="T35" s="268" t="n"/>
      <c r="U35" s="268" t="n"/>
      <c r="V35" s="268" t="n"/>
      <c r="W35" s="268" t="n"/>
      <c r="X35" s="268" t="n"/>
      <c r="Y35" s="268" t="n"/>
      <c r="Z35" s="268" t="n"/>
    </row>
    <row r="36" ht="15.75" customHeight="1" s="372">
      <c r="A36" s="220" t="inlineStr">
        <is>
          <t>Central Office</t>
        </is>
      </c>
      <c r="B36" s="221">
        <f>IFERROR(SUMIF('7806'!C6:C200,"Central Office",('7806'!F6:F200)),0)+IFERROR(SUMIF('7812'!C6:C200,"Central Office",('7812'!F6:F200)),0)+IFERROR(SUMIF('7811'!C6:C200,"Central Office",('7811'!F6:F200)),0)+IFERROR(SUMIF('7807'!C6:C200,"Central Office",('7807'!F6:F200)),0)+IFERROR(SUMIF('7810'!C6:C200,"Central Office",('7810'!F6:F200)),0)+IFERROR(SUMIF('7140'!C6:C200,"Central Office",('7140'!F6:F200)),0)+IFERROR(SUMIF('7808'!C6:C200,"Central Office",('7808'!F6:F200)),0)+IFERROR(SUMIF('7805'!C6:C200,"Central Office",('7805'!F6:F200)),0)+IFERROR(SUMIF('7813'!C6:C200,"Central Office",('7813'!F6:F200)),0)+IFERROR(SUMIF('7815'!C6:C200,"Central Office",('7815'!F6:F200)),0)</f>
        <v/>
      </c>
      <c r="C36" s="214" t="n">
        <v>12.5</v>
      </c>
      <c r="D36" s="215">
        <f>IF(B36&gt;=12.5,"✅ Met","⚠ "&amp;TEXT(MAX(0,12.5-B36),"0.0")&amp;" hrs needed")</f>
        <v/>
      </c>
      <c r="E36" s="268" t="n"/>
      <c r="F36" s="268" t="n"/>
      <c r="G36" s="268" t="n"/>
      <c r="H36" s="268" t="n"/>
      <c r="I36" s="268" t="n"/>
      <c r="J36" s="268" t="n"/>
      <c r="K36" s="268" t="n"/>
      <c r="L36" s="268" t="n"/>
      <c r="M36" s="268" t="n"/>
      <c r="N36" s="268" t="n"/>
      <c r="O36" s="268" t="n"/>
      <c r="P36" s="268" t="n"/>
      <c r="Q36" s="268" t="n"/>
      <c r="R36" s="268" t="n"/>
      <c r="S36" s="268" t="n"/>
      <c r="T36" s="268" t="n"/>
      <c r="U36" s="268" t="n"/>
      <c r="V36" s="268" t="n"/>
      <c r="W36" s="268" t="n"/>
      <c r="X36" s="268" t="n"/>
      <c r="Y36" s="268" t="n"/>
      <c r="Z36" s="268" t="n"/>
    </row>
    <row r="37" ht="15.75" customHeight="1" s="372">
      <c r="A37" s="222" t="inlineStr">
        <is>
          <t>Agency</t>
        </is>
      </c>
      <c r="B37" s="223">
        <f>IFERROR(SUMIF('7806'!C6:C200,"Agency",('7806'!F6:F200)),0)+IFERROR(SUMIF('7812'!C6:C200,"Agency",('7812'!F6:F200)),0)+IFERROR(SUMIF('7811'!C6:C200,"Agency",('7811'!F6:F200)),0)+IFERROR(SUMIF('7807'!C6:C200,"Agency",('7807'!F6:F200)),0)+IFERROR(SUMIF('7810'!C6:C200,"Agency",('7810'!F6:F200)),0)+IFERROR(SUMIF('7140'!C6:C200,"Agency",('7140'!F6:F200)),0)+IFERROR(SUMIF('7808'!C6:C200,"Agency",('7808'!F6:F200)),0)+IFERROR(SUMIF('7805'!C6:C200,"Agency",('7805'!F6:F200)),0)+IFERROR(SUMIF('7813'!C6:C200,"Agency",('7813'!F6:F200)),0)+IFERROR(SUMIF('7815'!C6:C200,"Agency",('7815'!F6:F200)),0)</f>
        <v/>
      </c>
      <c r="C37" s="214" t="n">
        <v>12.5</v>
      </c>
      <c r="D37" s="215">
        <f>IF(B37&gt;=12.5,"✅ Met","⚠ "&amp;TEXT(MAX(0,12.5-B37),"0.0")&amp;" hrs needed")</f>
        <v/>
      </c>
      <c r="E37" s="268" t="n"/>
      <c r="F37" s="268" t="n"/>
      <c r="G37" s="268" t="n"/>
      <c r="H37" s="268" t="n"/>
      <c r="I37" s="268" t="n"/>
      <c r="J37" s="268" t="n"/>
      <c r="K37" s="268" t="n"/>
      <c r="L37" s="268" t="n"/>
      <c r="M37" s="268" t="n"/>
      <c r="N37" s="268" t="n"/>
      <c r="O37" s="268" t="n"/>
      <c r="P37" s="268" t="n"/>
      <c r="Q37" s="268" t="n"/>
      <c r="R37" s="268" t="n"/>
      <c r="S37" s="268" t="n"/>
      <c r="T37" s="268" t="n"/>
      <c r="U37" s="268" t="n"/>
      <c r="V37" s="268" t="n"/>
      <c r="W37" s="268" t="n"/>
      <c r="X37" s="268" t="n"/>
      <c r="Y37" s="268" t="n"/>
      <c r="Z37" s="268" t="n"/>
    </row>
    <row r="38" ht="15.75" customHeight="1" s="372">
      <c r="A38" s="224" t="inlineStr">
        <is>
          <t>Other</t>
        </is>
      </c>
      <c r="B38" s="225">
        <f>IFERROR(SUMIF('7806'!C6:C200,"Other",('7806'!F6:F200)),0)+IFERROR(SUMIF('7812'!C6:C200,"Other",('7812'!F6:F200)),0)+IFERROR(SUMIF('7811'!C6:C200,"Other",('7811'!F6:F200)),0)+IFERROR(SUMIF('7807'!C6:C200,"Other",('7807'!F6:F200)),0)+IFERROR(SUMIF('7810'!C6:C200,"Other",('7810'!F6:F200)),0)+IFERROR(SUMIF('7140'!C6:C200,"Other",('7140'!F6:F200)),0)+IFERROR(SUMIF('7808'!C6:C200,"Other",('7808'!F6:F200)),0)+IFERROR(SUMIF('7805'!C6:C200,"Other",('7805'!F6:F200)),0)+IFERROR(SUMIF('7813'!C6:C200,"Other",('7813'!F6:F200)),0)+IFERROR(SUMIF('7815'!C6:C200,"Other",('7815'!F6:F200)),0)</f>
        <v/>
      </c>
      <c r="C38" s="214" t="inlineStr">
        <is>
          <t>—</t>
        </is>
      </c>
      <c r="D38" s="215" t="inlineStr">
        <is>
          <t>—</t>
        </is>
      </c>
      <c r="E38" s="268" t="n"/>
      <c r="F38" s="268" t="n"/>
      <c r="G38" s="268" t="n"/>
      <c r="H38" s="268" t="n"/>
      <c r="I38" s="268" t="n"/>
      <c r="J38" s="268" t="n"/>
      <c r="K38" s="268" t="n"/>
      <c r="L38" s="268" t="n"/>
      <c r="M38" s="268" t="n"/>
      <c r="N38" s="268" t="n"/>
      <c r="O38" s="268" t="n"/>
      <c r="P38" s="268" t="n"/>
      <c r="Q38" s="268" t="n"/>
      <c r="R38" s="268" t="n"/>
      <c r="S38" s="268" t="n"/>
      <c r="T38" s="268" t="n"/>
      <c r="U38" s="268" t="n"/>
      <c r="V38" s="268" t="n"/>
      <c r="W38" s="268" t="n"/>
      <c r="X38" s="268" t="n"/>
      <c r="Y38" s="268" t="n"/>
      <c r="Z38" s="268" t="n"/>
    </row>
    <row r="39" ht="15.75" customHeight="1" s="372">
      <c r="A39" s="226" t="inlineStr">
        <is>
          <t>TOTAL EXTERNAL HOURS</t>
        </is>
      </c>
      <c r="B39" s="183">
        <f>SUM(B33:B38)</f>
        <v/>
      </c>
      <c r="C39" s="227" t="n">
        <v>50</v>
      </c>
      <c r="D39" s="228">
        <f>IF(B39&gt;=50,IF(COUNTIF(B33:B37,"&lt;12.5")=0,"✅ Requirement Met!","✅ 50-hr total met, but "&amp;COUNTIF(B33:B37,"&lt;12.5")&amp;" site type(s) are under 12.5 hrs"),"⚠ "&amp;TEXT(MAX(0,50-B39),"0")&amp;" more external hrs needed")</f>
        <v/>
      </c>
      <c r="E39" s="268" t="n"/>
      <c r="F39" s="268" t="n"/>
      <c r="G39" s="268" t="n"/>
      <c r="H39" s="268" t="n"/>
      <c r="I39" s="268" t="n"/>
      <c r="J39" s="268" t="n"/>
      <c r="K39" s="268" t="n"/>
      <c r="L39" s="268" t="n"/>
      <c r="M39" s="268" t="n"/>
      <c r="N39" s="268" t="n"/>
      <c r="O39" s="268" t="n"/>
      <c r="P39" s="268" t="n"/>
      <c r="Q39" s="268" t="n"/>
      <c r="R39" s="268" t="n"/>
      <c r="S39" s="268" t="n"/>
      <c r="T39" s="268" t="n"/>
      <c r="U39" s="268" t="n"/>
      <c r="V39" s="268" t="n"/>
      <c r="W39" s="268" t="n"/>
      <c r="X39" s="268" t="n"/>
      <c r="Y39" s="268" t="n"/>
      <c r="Z39" s="268" t="n"/>
    </row>
    <row r="40" ht="15.75" customHeight="1" s="372">
      <c r="A40" s="268" t="n"/>
      <c r="B40" s="268" t="n"/>
      <c r="C40" s="268" t="n"/>
      <c r="D40" s="268" t="n"/>
      <c r="E40" s="268" t="n"/>
      <c r="F40" s="268" t="n"/>
      <c r="G40" s="268" t="n"/>
      <c r="H40" s="268" t="n"/>
      <c r="I40" s="268" t="n"/>
      <c r="J40" s="268" t="n"/>
      <c r="K40" s="268" t="n"/>
      <c r="L40" s="268" t="n"/>
      <c r="M40" s="268" t="n"/>
      <c r="N40" s="268" t="n"/>
      <c r="O40" s="268" t="n"/>
      <c r="P40" s="268" t="n"/>
      <c r="Q40" s="268" t="n"/>
      <c r="R40" s="268" t="n"/>
      <c r="S40" s="268" t="n"/>
      <c r="T40" s="268" t="n"/>
      <c r="U40" s="268" t="n"/>
      <c r="V40" s="268" t="n"/>
      <c r="W40" s="268" t="n"/>
      <c r="X40" s="268" t="n"/>
      <c r="Y40" s="268" t="n"/>
      <c r="Z40" s="268" t="n"/>
    </row>
    <row r="41" ht="15.75" customHeight="1" s="372">
      <c r="A41" s="268" t="n"/>
      <c r="B41" s="268" t="n"/>
      <c r="C41" s="268" t="n"/>
      <c r="D41" s="268" t="n"/>
      <c r="E41" s="268" t="n"/>
      <c r="F41" s="268" t="n"/>
      <c r="G41" s="268" t="n"/>
      <c r="H41" s="268" t="n"/>
      <c r="I41" s="268" t="n"/>
      <c r="J41" s="268" t="n"/>
      <c r="K41" s="268" t="n"/>
      <c r="L41" s="268" t="n"/>
      <c r="M41" s="268" t="n"/>
      <c r="N41" s="268" t="n"/>
      <c r="O41" s="268" t="n"/>
      <c r="P41" s="268" t="n"/>
      <c r="Q41" s="268" t="n"/>
      <c r="R41" s="268" t="n"/>
      <c r="S41" s="268" t="n"/>
      <c r="T41" s="268" t="n"/>
      <c r="U41" s="268" t="n"/>
      <c r="V41" s="268" t="n"/>
      <c r="W41" s="268" t="n"/>
      <c r="X41" s="268" t="n"/>
      <c r="Y41" s="268" t="n"/>
      <c r="Z41" s="268" t="n"/>
    </row>
    <row r="42" ht="15.75" customHeight="1" s="372">
      <c r="A42" s="268" t="n"/>
      <c r="B42" s="268" t="n"/>
      <c r="C42" s="268" t="n"/>
      <c r="D42" s="268" t="n"/>
      <c r="E42" s="268" t="n"/>
      <c r="F42" s="268" t="n"/>
      <c r="G42" s="268" t="n"/>
      <c r="H42" s="268" t="n"/>
      <c r="I42" s="268" t="n"/>
      <c r="J42" s="268" t="n"/>
      <c r="K42" s="268" t="n"/>
      <c r="L42" s="268" t="n"/>
      <c r="M42" s="268" t="n"/>
      <c r="N42" s="268" t="n"/>
      <c r="O42" s="268" t="n"/>
      <c r="P42" s="268" t="n"/>
      <c r="Q42" s="268" t="n"/>
      <c r="R42" s="268" t="n"/>
      <c r="S42" s="268" t="n"/>
      <c r="T42" s="268" t="n"/>
      <c r="U42" s="268" t="n"/>
      <c r="V42" s="268" t="n"/>
      <c r="W42" s="268" t="n"/>
      <c r="X42" s="268" t="n"/>
      <c r="Y42" s="268" t="n"/>
      <c r="Z42" s="268" t="n"/>
    </row>
    <row r="43" ht="15.75" customHeight="1" s="372">
      <c r="A43" s="268" t="n"/>
      <c r="B43" s="268" t="n"/>
      <c r="C43" s="268" t="n"/>
      <c r="D43" s="268" t="n"/>
      <c r="E43" s="268" t="n"/>
      <c r="F43" s="268" t="n"/>
      <c r="G43" s="268" t="n"/>
      <c r="H43" s="268" t="n"/>
      <c r="I43" s="268" t="n"/>
      <c r="J43" s="268" t="n"/>
      <c r="K43" s="268" t="n"/>
      <c r="L43" s="268" t="n"/>
      <c r="M43" s="268" t="n"/>
      <c r="N43" s="268" t="n"/>
      <c r="O43" s="268" t="n"/>
      <c r="P43" s="268" t="n"/>
      <c r="Q43" s="268" t="n"/>
      <c r="R43" s="268" t="n"/>
      <c r="S43" s="268" t="n"/>
      <c r="T43" s="268" t="n"/>
      <c r="U43" s="268" t="n"/>
      <c r="V43" s="268" t="n"/>
      <c r="W43" s="268" t="n"/>
      <c r="X43" s="268" t="n"/>
      <c r="Y43" s="268" t="n"/>
      <c r="Z43" s="268" t="n"/>
    </row>
    <row r="44" ht="15.75" customHeight="1" s="372">
      <c r="A44" s="268" t="n"/>
      <c r="B44" s="268" t="n"/>
      <c r="C44" s="268" t="n"/>
      <c r="D44" s="268" t="n"/>
      <c r="E44" s="268" t="n"/>
      <c r="F44" s="268" t="n"/>
      <c r="G44" s="268" t="n"/>
      <c r="H44" s="268" t="n"/>
      <c r="I44" s="268" t="n"/>
      <c r="J44" s="268" t="n"/>
      <c r="K44" s="268" t="n"/>
      <c r="L44" s="268" t="n"/>
      <c r="M44" s="268" t="n"/>
      <c r="N44" s="268" t="n"/>
      <c r="O44" s="268" t="n"/>
      <c r="P44" s="268" t="n"/>
      <c r="Q44" s="268" t="n"/>
      <c r="R44" s="268" t="n"/>
      <c r="S44" s="268" t="n"/>
      <c r="T44" s="268" t="n"/>
      <c r="U44" s="268" t="n"/>
      <c r="V44" s="268" t="n"/>
      <c r="W44" s="268" t="n"/>
      <c r="X44" s="268" t="n"/>
      <c r="Y44" s="268" t="n"/>
      <c r="Z44" s="268" t="n"/>
    </row>
    <row r="45" ht="15.75" customHeight="1" s="372">
      <c r="A45" s="268" t="n"/>
      <c r="B45" s="268" t="n"/>
      <c r="C45" s="268" t="n"/>
      <c r="D45" s="268" t="n"/>
      <c r="E45" s="268" t="n"/>
      <c r="F45" s="268" t="n"/>
      <c r="G45" s="268" t="n"/>
      <c r="H45" s="268" t="n"/>
      <c r="I45" s="268" t="n"/>
      <c r="J45" s="268" t="n"/>
      <c r="K45" s="268" t="n"/>
      <c r="L45" s="268" t="n"/>
      <c r="M45" s="268" t="n"/>
      <c r="N45" s="268" t="n"/>
      <c r="O45" s="268" t="n"/>
      <c r="P45" s="268" t="n"/>
      <c r="Q45" s="268" t="n"/>
      <c r="R45" s="268" t="n"/>
      <c r="S45" s="268" t="n"/>
      <c r="T45" s="268" t="n"/>
      <c r="U45" s="268" t="n"/>
      <c r="V45" s="268" t="n"/>
      <c r="W45" s="268" t="n"/>
      <c r="X45" s="268" t="n"/>
      <c r="Y45" s="268" t="n"/>
      <c r="Z45" s="268" t="n"/>
    </row>
    <row r="46" ht="15.75" customHeight="1" s="372">
      <c r="A46" s="268" t="n"/>
      <c r="B46" s="268" t="n"/>
      <c r="C46" s="268" t="n"/>
      <c r="D46" s="268" t="n"/>
      <c r="E46" s="268" t="n"/>
      <c r="F46" s="268" t="n"/>
      <c r="G46" s="268" t="n"/>
      <c r="H46" s="268" t="n"/>
      <c r="I46" s="268" t="n"/>
      <c r="J46" s="268" t="n"/>
      <c r="K46" s="268" t="n"/>
      <c r="L46" s="268" t="n"/>
      <c r="M46" s="268" t="n"/>
      <c r="N46" s="268" t="n"/>
      <c r="O46" s="268" t="n"/>
      <c r="P46" s="268" t="n"/>
      <c r="Q46" s="268" t="n"/>
      <c r="R46" s="268" t="n"/>
      <c r="S46" s="268" t="n"/>
      <c r="T46" s="268" t="n"/>
      <c r="U46" s="268" t="n"/>
      <c r="V46" s="268" t="n"/>
      <c r="W46" s="268" t="n"/>
      <c r="X46" s="268" t="n"/>
      <c r="Y46" s="268" t="n"/>
      <c r="Z46" s="268" t="n"/>
    </row>
    <row r="47" ht="15.75" customHeight="1" s="372">
      <c r="A47" s="268" t="n"/>
      <c r="B47" s="268" t="n"/>
      <c r="C47" s="268" t="n"/>
      <c r="D47" s="268" t="n"/>
      <c r="E47" s="268" t="n"/>
      <c r="F47" s="268" t="n"/>
      <c r="G47" s="268" t="n"/>
      <c r="H47" s="268" t="n"/>
      <c r="I47" s="268" t="n"/>
      <c r="J47" s="268" t="n"/>
      <c r="K47" s="268" t="n"/>
      <c r="L47" s="268" t="n"/>
      <c r="M47" s="268" t="n"/>
      <c r="N47" s="268" t="n"/>
      <c r="O47" s="268" t="n"/>
      <c r="P47" s="268" t="n"/>
      <c r="Q47" s="268" t="n"/>
      <c r="R47" s="268" t="n"/>
      <c r="S47" s="268" t="n"/>
      <c r="T47" s="268" t="n"/>
      <c r="U47" s="268" t="n"/>
      <c r="V47" s="268" t="n"/>
      <c r="W47" s="268" t="n"/>
      <c r="X47" s="268" t="n"/>
      <c r="Y47" s="268" t="n"/>
      <c r="Z47" s="268" t="n"/>
    </row>
    <row r="48" ht="15.75" customHeight="1" s="372">
      <c r="A48" s="268" t="n"/>
      <c r="B48" s="268" t="n"/>
      <c r="C48" s="268" t="n"/>
      <c r="D48" s="268" t="n"/>
      <c r="E48" s="268" t="n"/>
      <c r="F48" s="268" t="n"/>
      <c r="G48" s="268" t="n"/>
      <c r="H48" s="268" t="n"/>
      <c r="I48" s="268" t="n"/>
      <c r="J48" s="268" t="n"/>
      <c r="K48" s="268" t="n"/>
      <c r="L48" s="268" t="n"/>
      <c r="M48" s="268" t="n"/>
      <c r="N48" s="268" t="n"/>
      <c r="O48" s="268" t="n"/>
      <c r="P48" s="268" t="n"/>
      <c r="Q48" s="268" t="n"/>
      <c r="R48" s="268" t="n"/>
      <c r="S48" s="268" t="n"/>
      <c r="T48" s="268" t="n"/>
      <c r="U48" s="268" t="n"/>
      <c r="V48" s="268" t="n"/>
      <c r="W48" s="268" t="n"/>
      <c r="X48" s="268" t="n"/>
      <c r="Y48" s="268" t="n"/>
      <c r="Z48" s="268" t="n"/>
    </row>
    <row r="49" ht="15.75" customHeight="1" s="372">
      <c r="A49" s="268" t="n"/>
      <c r="B49" s="268" t="n"/>
      <c r="C49" s="268" t="n"/>
      <c r="D49" s="268" t="n"/>
      <c r="E49" s="268" t="n"/>
      <c r="F49" s="268" t="n"/>
      <c r="G49" s="268" t="n"/>
      <c r="H49" s="268" t="n"/>
      <c r="I49" s="268" t="n"/>
      <c r="J49" s="268" t="n"/>
      <c r="K49" s="268" t="n"/>
      <c r="L49" s="268" t="n"/>
      <c r="M49" s="268" t="n"/>
      <c r="N49" s="268" t="n"/>
      <c r="O49" s="268" t="n"/>
      <c r="P49" s="268" t="n"/>
      <c r="Q49" s="268" t="n"/>
      <c r="R49" s="268" t="n"/>
      <c r="S49" s="268" t="n"/>
      <c r="T49" s="268" t="n"/>
      <c r="U49" s="268" t="n"/>
      <c r="V49" s="268" t="n"/>
      <c r="W49" s="268" t="n"/>
      <c r="X49" s="268" t="n"/>
      <c r="Y49" s="268" t="n"/>
      <c r="Z49" s="268" t="n"/>
    </row>
    <row r="50" ht="15.75" customHeight="1" s="372">
      <c r="A50" s="268" t="n"/>
      <c r="B50" s="268" t="n"/>
      <c r="C50" s="268" t="n"/>
      <c r="D50" s="268" t="n"/>
      <c r="E50" s="268" t="n"/>
      <c r="F50" s="268" t="n"/>
      <c r="G50" s="268" t="n"/>
      <c r="H50" s="268" t="n"/>
      <c r="I50" s="268" t="n"/>
      <c r="J50" s="268" t="n"/>
      <c r="K50" s="268" t="n"/>
      <c r="L50" s="268" t="n"/>
      <c r="M50" s="268" t="n"/>
      <c r="N50" s="268" t="n"/>
      <c r="O50" s="268" t="n"/>
      <c r="P50" s="268" t="n"/>
      <c r="Q50" s="268" t="n"/>
      <c r="R50" s="268" t="n"/>
      <c r="S50" s="268" t="n"/>
      <c r="T50" s="268" t="n"/>
      <c r="U50" s="268" t="n"/>
      <c r="V50" s="268" t="n"/>
      <c r="W50" s="268" t="n"/>
      <c r="X50" s="268" t="n"/>
      <c r="Y50" s="268" t="n"/>
      <c r="Z50" s="268" t="n"/>
    </row>
    <row r="51" ht="15.75" customHeight="1" s="372">
      <c r="A51" s="268" t="n"/>
      <c r="B51" s="268" t="n"/>
      <c r="C51" s="268" t="n"/>
      <c r="D51" s="268" t="n"/>
      <c r="E51" s="268" t="n"/>
      <c r="F51" s="268" t="n"/>
      <c r="G51" s="268" t="n"/>
      <c r="H51" s="268" t="n"/>
      <c r="I51" s="268" t="n"/>
      <c r="J51" s="268" t="n"/>
      <c r="K51" s="268" t="n"/>
      <c r="L51" s="268" t="n"/>
      <c r="M51" s="268" t="n"/>
      <c r="N51" s="268" t="n"/>
      <c r="O51" s="268" t="n"/>
      <c r="P51" s="268" t="n"/>
      <c r="Q51" s="268" t="n"/>
      <c r="R51" s="268" t="n"/>
      <c r="S51" s="268" t="n"/>
      <c r="T51" s="268" t="n"/>
      <c r="U51" s="268" t="n"/>
      <c r="V51" s="268" t="n"/>
      <c r="W51" s="268" t="n"/>
      <c r="X51" s="268" t="n"/>
      <c r="Y51" s="268" t="n"/>
      <c r="Z51" s="268" t="n"/>
    </row>
    <row r="52" ht="15.75" customHeight="1" s="372">
      <c r="A52" s="268" t="n"/>
      <c r="B52" s="268" t="n"/>
      <c r="C52" s="268" t="n"/>
      <c r="D52" s="268" t="n"/>
      <c r="E52" s="268" t="n"/>
      <c r="F52" s="268" t="n"/>
      <c r="G52" s="268" t="n"/>
      <c r="H52" s="268" t="n"/>
      <c r="I52" s="268" t="n"/>
      <c r="J52" s="268" t="n"/>
      <c r="K52" s="268" t="n"/>
      <c r="L52" s="268" t="n"/>
      <c r="M52" s="268" t="n"/>
      <c r="N52" s="268" t="n"/>
      <c r="O52" s="268" t="n"/>
      <c r="P52" s="268" t="n"/>
      <c r="Q52" s="268" t="n"/>
      <c r="R52" s="268" t="n"/>
      <c r="S52" s="268" t="n"/>
      <c r="T52" s="268" t="n"/>
      <c r="U52" s="268" t="n"/>
      <c r="V52" s="268" t="n"/>
      <c r="W52" s="268" t="n"/>
      <c r="X52" s="268" t="n"/>
      <c r="Y52" s="268" t="n"/>
      <c r="Z52" s="268" t="n"/>
    </row>
    <row r="53" ht="15.75" customHeight="1" s="372">
      <c r="A53" s="268" t="n"/>
      <c r="B53" s="268" t="n"/>
      <c r="C53" s="268" t="n"/>
      <c r="D53" s="268" t="n"/>
      <c r="E53" s="268" t="n"/>
      <c r="F53" s="268" t="n"/>
      <c r="G53" s="268" t="n"/>
      <c r="H53" s="268" t="n"/>
      <c r="I53" s="268" t="n"/>
      <c r="J53" s="268" t="n"/>
      <c r="K53" s="268" t="n"/>
      <c r="L53" s="268" t="n"/>
      <c r="M53" s="268" t="n"/>
      <c r="N53" s="268" t="n"/>
      <c r="O53" s="268" t="n"/>
      <c r="P53" s="268" t="n"/>
      <c r="Q53" s="268" t="n"/>
      <c r="R53" s="268" t="n"/>
      <c r="S53" s="268" t="n"/>
      <c r="T53" s="268" t="n"/>
      <c r="U53" s="268" t="n"/>
      <c r="V53" s="268" t="n"/>
      <c r="W53" s="268" t="n"/>
      <c r="X53" s="268" t="n"/>
      <c r="Y53" s="268" t="n"/>
      <c r="Z53" s="268" t="n"/>
    </row>
    <row r="54" ht="15.75" customHeight="1" s="372">
      <c r="A54" s="268" t="n"/>
      <c r="B54" s="268" t="n"/>
      <c r="C54" s="268" t="n"/>
      <c r="D54" s="268" t="n"/>
      <c r="E54" s="268" t="n"/>
      <c r="F54" s="268" t="n"/>
      <c r="G54" s="268" t="n"/>
      <c r="H54" s="268" t="n"/>
      <c r="I54" s="268" t="n"/>
      <c r="J54" s="268" t="n"/>
      <c r="K54" s="268" t="n"/>
      <c r="L54" s="268" t="n"/>
      <c r="M54" s="268" t="n"/>
      <c r="N54" s="268" t="n"/>
      <c r="O54" s="268" t="n"/>
      <c r="P54" s="268" t="n"/>
      <c r="Q54" s="268" t="n"/>
      <c r="R54" s="268" t="n"/>
      <c r="S54" s="268" t="n"/>
      <c r="T54" s="268" t="n"/>
      <c r="U54" s="268" t="n"/>
      <c r="V54" s="268" t="n"/>
      <c r="W54" s="268" t="n"/>
      <c r="X54" s="268" t="n"/>
      <c r="Y54" s="268" t="n"/>
      <c r="Z54" s="268" t="n"/>
    </row>
    <row r="55" ht="15.75" customHeight="1" s="372">
      <c r="A55" s="268" t="n"/>
      <c r="B55" s="268" t="n"/>
      <c r="C55" s="268" t="n"/>
      <c r="D55" s="268" t="n"/>
      <c r="E55" s="268" t="n"/>
      <c r="F55" s="268" t="n"/>
      <c r="G55" s="268" t="n"/>
      <c r="H55" s="268" t="n"/>
      <c r="I55" s="268" t="n"/>
      <c r="J55" s="268" t="n"/>
      <c r="K55" s="268" t="n"/>
      <c r="L55" s="268" t="n"/>
      <c r="M55" s="268" t="n"/>
      <c r="N55" s="268" t="n"/>
      <c r="O55" s="268" t="n"/>
      <c r="P55" s="268" t="n"/>
      <c r="Q55" s="268" t="n"/>
      <c r="R55" s="268" t="n"/>
      <c r="S55" s="268" t="n"/>
      <c r="T55" s="268" t="n"/>
      <c r="U55" s="268" t="n"/>
      <c r="V55" s="268" t="n"/>
      <c r="W55" s="268" t="n"/>
      <c r="X55" s="268" t="n"/>
      <c r="Y55" s="268" t="n"/>
      <c r="Z55" s="268" t="n"/>
    </row>
    <row r="56" ht="15.75" customHeight="1" s="372">
      <c r="A56" s="268" t="n"/>
      <c r="B56" s="268" t="n"/>
      <c r="C56" s="268" t="n"/>
      <c r="D56" s="268" t="n"/>
      <c r="E56" s="268" t="n"/>
      <c r="F56" s="268" t="n"/>
      <c r="G56" s="268" t="n"/>
      <c r="H56" s="268" t="n"/>
      <c r="I56" s="268" t="n"/>
      <c r="J56" s="268" t="n"/>
      <c r="K56" s="268" t="n"/>
      <c r="L56" s="268" t="n"/>
      <c r="M56" s="268" t="n"/>
      <c r="N56" s="268" t="n"/>
      <c r="O56" s="268" t="n"/>
      <c r="P56" s="268" t="n"/>
      <c r="Q56" s="268" t="n"/>
      <c r="R56" s="268" t="n"/>
      <c r="S56" s="268" t="n"/>
      <c r="T56" s="268" t="n"/>
      <c r="U56" s="268" t="n"/>
      <c r="V56" s="268" t="n"/>
      <c r="W56" s="268" t="n"/>
      <c r="X56" s="268" t="n"/>
      <c r="Y56" s="268" t="n"/>
      <c r="Z56" s="268" t="n"/>
    </row>
    <row r="57" ht="15.75" customHeight="1" s="372">
      <c r="A57" s="268" t="n"/>
      <c r="B57" s="268" t="n"/>
      <c r="C57" s="268" t="n"/>
      <c r="D57" s="268" t="n"/>
      <c r="E57" s="268" t="n"/>
      <c r="F57" s="268" t="n"/>
      <c r="G57" s="268" t="n"/>
      <c r="H57" s="268" t="n"/>
      <c r="I57" s="268" t="n"/>
      <c r="J57" s="268" t="n"/>
      <c r="K57" s="268" t="n"/>
      <c r="L57" s="268" t="n"/>
      <c r="M57" s="268" t="n"/>
      <c r="N57" s="268" t="n"/>
      <c r="O57" s="268" t="n"/>
      <c r="P57" s="268" t="n"/>
      <c r="Q57" s="268" t="n"/>
      <c r="R57" s="268" t="n"/>
      <c r="S57" s="268" t="n"/>
      <c r="T57" s="268" t="n"/>
      <c r="U57" s="268" t="n"/>
      <c r="V57" s="268" t="n"/>
      <c r="W57" s="268" t="n"/>
      <c r="X57" s="268" t="n"/>
      <c r="Y57" s="268" t="n"/>
      <c r="Z57" s="268" t="n"/>
    </row>
    <row r="58" ht="15.75" customHeight="1" s="372">
      <c r="A58" s="268" t="n"/>
      <c r="B58" s="268" t="n"/>
      <c r="C58" s="268" t="n"/>
      <c r="D58" s="268" t="n"/>
      <c r="E58" s="268" t="n"/>
      <c r="F58" s="268" t="n"/>
      <c r="G58" s="268" t="n"/>
      <c r="H58" s="268" t="n"/>
      <c r="I58" s="268" t="n"/>
      <c r="J58" s="268" t="n"/>
      <c r="K58" s="268" t="n"/>
      <c r="L58" s="268" t="n"/>
      <c r="M58" s="268" t="n"/>
      <c r="N58" s="268" t="n"/>
      <c r="O58" s="268" t="n"/>
      <c r="P58" s="268" t="n"/>
      <c r="Q58" s="268" t="n"/>
      <c r="R58" s="268" t="n"/>
      <c r="S58" s="268" t="n"/>
      <c r="T58" s="268" t="n"/>
      <c r="U58" s="268" t="n"/>
      <c r="V58" s="268" t="n"/>
      <c r="W58" s="268" t="n"/>
      <c r="X58" s="268" t="n"/>
      <c r="Y58" s="268" t="n"/>
      <c r="Z58" s="268" t="n"/>
    </row>
    <row r="59" ht="15.75" customHeight="1" s="372">
      <c r="A59" s="268" t="n"/>
      <c r="B59" s="268" t="n"/>
      <c r="C59" s="268" t="n"/>
      <c r="D59" s="268" t="n"/>
      <c r="E59" s="268" t="n"/>
      <c r="F59" s="268" t="n"/>
      <c r="G59" s="268" t="n"/>
      <c r="H59" s="268" t="n"/>
      <c r="I59" s="268" t="n"/>
      <c r="J59" s="268" t="n"/>
      <c r="K59" s="268" t="n"/>
      <c r="L59" s="268" t="n"/>
      <c r="M59" s="268" t="n"/>
      <c r="N59" s="268" t="n"/>
      <c r="O59" s="268" t="n"/>
      <c r="P59" s="268" t="n"/>
      <c r="Q59" s="268" t="n"/>
      <c r="R59" s="268" t="n"/>
      <c r="S59" s="268" t="n"/>
      <c r="T59" s="268" t="n"/>
      <c r="U59" s="268" t="n"/>
      <c r="V59" s="268" t="n"/>
      <c r="W59" s="268" t="n"/>
      <c r="X59" s="268" t="n"/>
      <c r="Y59" s="268" t="n"/>
      <c r="Z59" s="268" t="n"/>
    </row>
    <row r="60" ht="15.75" customHeight="1" s="372">
      <c r="A60" s="268" t="n"/>
      <c r="B60" s="268" t="n"/>
      <c r="C60" s="268" t="n"/>
      <c r="D60" s="268" t="n"/>
      <c r="E60" s="268" t="n"/>
      <c r="F60" s="268" t="n"/>
      <c r="G60" s="268" t="n"/>
      <c r="H60" s="268" t="n"/>
      <c r="I60" s="268" t="n"/>
      <c r="J60" s="268" t="n"/>
      <c r="K60" s="268" t="n"/>
      <c r="L60" s="268" t="n"/>
      <c r="M60" s="268" t="n"/>
      <c r="N60" s="268" t="n"/>
      <c r="O60" s="268" t="n"/>
      <c r="P60" s="268" t="n"/>
      <c r="Q60" s="268" t="n"/>
      <c r="R60" s="268" t="n"/>
      <c r="S60" s="268" t="n"/>
      <c r="T60" s="268" t="n"/>
      <c r="U60" s="268" t="n"/>
      <c r="V60" s="268" t="n"/>
      <c r="W60" s="268" t="n"/>
      <c r="X60" s="268" t="n"/>
      <c r="Y60" s="268" t="n"/>
      <c r="Z60" s="268" t="n"/>
    </row>
    <row r="61" ht="15.75" customHeight="1" s="372">
      <c r="A61" s="268" t="n"/>
      <c r="B61" s="268" t="n"/>
      <c r="C61" s="268" t="n"/>
      <c r="D61" s="268" t="n"/>
      <c r="E61" s="268" t="n"/>
      <c r="F61" s="268" t="n"/>
      <c r="G61" s="268" t="n"/>
      <c r="H61" s="268" t="n"/>
      <c r="I61" s="268" t="n"/>
      <c r="J61" s="268" t="n"/>
      <c r="K61" s="268" t="n"/>
      <c r="L61" s="268" t="n"/>
      <c r="M61" s="268" t="n"/>
      <c r="N61" s="268" t="n"/>
      <c r="O61" s="268" t="n"/>
      <c r="P61" s="268" t="n"/>
      <c r="Q61" s="268" t="n"/>
      <c r="R61" s="268" t="n"/>
      <c r="S61" s="268" t="n"/>
      <c r="T61" s="268" t="n"/>
      <c r="U61" s="268" t="n"/>
      <c r="V61" s="268" t="n"/>
      <c r="W61" s="268" t="n"/>
      <c r="X61" s="268" t="n"/>
      <c r="Y61" s="268" t="n"/>
      <c r="Z61" s="268" t="n"/>
    </row>
    <row r="62" ht="15.75" customHeight="1" s="372">
      <c r="A62" s="268" t="n"/>
      <c r="B62" s="268" t="n"/>
      <c r="C62" s="268" t="n"/>
      <c r="D62" s="268" t="n"/>
      <c r="E62" s="268" t="n"/>
      <c r="F62" s="268" t="n"/>
      <c r="G62" s="268" t="n"/>
      <c r="H62" s="268" t="n"/>
      <c r="I62" s="268" t="n"/>
      <c r="J62" s="268" t="n"/>
      <c r="K62" s="268" t="n"/>
      <c r="L62" s="268" t="n"/>
      <c r="M62" s="268" t="n"/>
      <c r="N62" s="268" t="n"/>
      <c r="O62" s="268" t="n"/>
      <c r="P62" s="268" t="n"/>
      <c r="Q62" s="268" t="n"/>
      <c r="R62" s="268" t="n"/>
      <c r="S62" s="268" t="n"/>
      <c r="T62" s="268" t="n"/>
      <c r="U62" s="268" t="n"/>
      <c r="V62" s="268" t="n"/>
      <c r="W62" s="268" t="n"/>
      <c r="X62" s="268" t="n"/>
      <c r="Y62" s="268" t="n"/>
      <c r="Z62" s="268" t="n"/>
    </row>
    <row r="63" ht="15.75" customHeight="1" s="372">
      <c r="A63" s="268" t="n"/>
      <c r="B63" s="268" t="n"/>
      <c r="C63" s="268" t="n"/>
      <c r="D63" s="268" t="n"/>
      <c r="E63" s="268" t="n"/>
      <c r="F63" s="268" t="n"/>
      <c r="G63" s="268" t="n"/>
      <c r="H63" s="268" t="n"/>
      <c r="I63" s="268" t="n"/>
      <c r="J63" s="268" t="n"/>
      <c r="K63" s="268" t="n"/>
      <c r="L63" s="268" t="n"/>
      <c r="M63" s="268" t="n"/>
      <c r="N63" s="268" t="n"/>
      <c r="O63" s="268" t="n"/>
      <c r="P63" s="268" t="n"/>
      <c r="Q63" s="268" t="n"/>
      <c r="R63" s="268" t="n"/>
      <c r="S63" s="268" t="n"/>
      <c r="T63" s="268" t="n"/>
      <c r="U63" s="268" t="n"/>
      <c r="V63" s="268" t="n"/>
      <c r="W63" s="268" t="n"/>
      <c r="X63" s="268" t="n"/>
      <c r="Y63" s="268" t="n"/>
      <c r="Z63" s="268" t="n"/>
    </row>
    <row r="64" ht="15.75" customHeight="1" s="372">
      <c r="A64" s="268" t="n"/>
      <c r="B64" s="268" t="n"/>
      <c r="C64" s="268" t="n"/>
      <c r="D64" s="268" t="n"/>
      <c r="E64" s="268" t="n"/>
      <c r="F64" s="268" t="n"/>
      <c r="G64" s="268" t="n"/>
      <c r="H64" s="268" t="n"/>
      <c r="I64" s="268" t="n"/>
      <c r="J64" s="268" t="n"/>
      <c r="K64" s="268" t="n"/>
      <c r="L64" s="268" t="n"/>
      <c r="M64" s="268" t="n"/>
      <c r="N64" s="268" t="n"/>
      <c r="O64" s="268" t="n"/>
      <c r="P64" s="268" t="n"/>
      <c r="Q64" s="268" t="n"/>
      <c r="R64" s="268" t="n"/>
      <c r="S64" s="268" t="n"/>
      <c r="T64" s="268" t="n"/>
      <c r="U64" s="268" t="n"/>
      <c r="V64" s="268" t="n"/>
      <c r="W64" s="268" t="n"/>
      <c r="X64" s="268" t="n"/>
      <c r="Y64" s="268" t="n"/>
      <c r="Z64" s="268" t="n"/>
    </row>
    <row r="65" ht="15.75" customHeight="1" s="372">
      <c r="A65" s="268" t="n"/>
      <c r="B65" s="268" t="n"/>
      <c r="C65" s="268" t="n"/>
      <c r="D65" s="268" t="n"/>
      <c r="E65" s="268" t="n"/>
      <c r="F65" s="268" t="n"/>
      <c r="G65" s="268" t="n"/>
      <c r="H65" s="268" t="n"/>
      <c r="I65" s="268" t="n"/>
      <c r="J65" s="268" t="n"/>
      <c r="K65" s="268" t="n"/>
      <c r="L65" s="268" t="n"/>
      <c r="M65" s="268" t="n"/>
      <c r="N65" s="268" t="n"/>
      <c r="O65" s="268" t="n"/>
      <c r="P65" s="268" t="n"/>
      <c r="Q65" s="268" t="n"/>
      <c r="R65" s="268" t="n"/>
      <c r="S65" s="268" t="n"/>
      <c r="T65" s="268" t="n"/>
      <c r="U65" s="268" t="n"/>
      <c r="V65" s="268" t="n"/>
      <c r="W65" s="268" t="n"/>
      <c r="X65" s="268" t="n"/>
      <c r="Y65" s="268" t="n"/>
      <c r="Z65" s="268" t="n"/>
    </row>
    <row r="66" ht="15.75" customHeight="1" s="372">
      <c r="A66" s="268" t="n"/>
      <c r="B66" s="268" t="n"/>
      <c r="C66" s="268" t="n"/>
      <c r="D66" s="268" t="n"/>
      <c r="E66" s="268" t="n"/>
      <c r="F66" s="268" t="n"/>
      <c r="G66" s="268" t="n"/>
      <c r="H66" s="268" t="n"/>
      <c r="I66" s="268" t="n"/>
      <c r="J66" s="268" t="n"/>
      <c r="K66" s="268" t="n"/>
      <c r="L66" s="268" t="n"/>
      <c r="M66" s="268" t="n"/>
      <c r="N66" s="268" t="n"/>
      <c r="O66" s="268" t="n"/>
      <c r="P66" s="268" t="n"/>
      <c r="Q66" s="268" t="n"/>
      <c r="R66" s="268" t="n"/>
      <c r="S66" s="268" t="n"/>
      <c r="T66" s="268" t="n"/>
      <c r="U66" s="268" t="n"/>
      <c r="V66" s="268" t="n"/>
      <c r="W66" s="268" t="n"/>
      <c r="X66" s="268" t="n"/>
      <c r="Y66" s="268" t="n"/>
      <c r="Z66" s="268" t="n"/>
    </row>
    <row r="67" ht="15.75" customHeight="1" s="372">
      <c r="A67" s="268" t="n"/>
      <c r="B67" s="268" t="n"/>
      <c r="C67" s="268" t="n"/>
      <c r="D67" s="268" t="n"/>
      <c r="E67" s="268" t="n"/>
      <c r="F67" s="268" t="n"/>
      <c r="G67" s="268" t="n"/>
      <c r="H67" s="268" t="n"/>
      <c r="I67" s="268" t="n"/>
      <c r="J67" s="268" t="n"/>
      <c r="K67" s="268" t="n"/>
      <c r="L67" s="268" t="n"/>
      <c r="M67" s="268" t="n"/>
      <c r="N67" s="268" t="n"/>
      <c r="O67" s="268" t="n"/>
      <c r="P67" s="268" t="n"/>
      <c r="Q67" s="268" t="n"/>
      <c r="R67" s="268" t="n"/>
      <c r="S67" s="268" t="n"/>
      <c r="T67" s="268" t="n"/>
      <c r="U67" s="268" t="n"/>
      <c r="V67" s="268" t="n"/>
      <c r="W67" s="268" t="n"/>
      <c r="X67" s="268" t="n"/>
      <c r="Y67" s="268" t="n"/>
      <c r="Z67" s="268" t="n"/>
    </row>
    <row r="68" ht="15.75" customHeight="1" s="372">
      <c r="A68" s="268" t="n"/>
      <c r="B68" s="268" t="n"/>
      <c r="C68" s="268" t="n"/>
      <c r="D68" s="268" t="n"/>
      <c r="E68" s="268" t="n"/>
      <c r="F68" s="268" t="n"/>
      <c r="G68" s="268" t="n"/>
      <c r="H68" s="268" t="n"/>
      <c r="I68" s="268" t="n"/>
      <c r="J68" s="268" t="n"/>
      <c r="K68" s="268" t="n"/>
      <c r="L68" s="268" t="n"/>
      <c r="M68" s="268" t="n"/>
      <c r="N68" s="268" t="n"/>
      <c r="O68" s="268" t="n"/>
      <c r="P68" s="268" t="n"/>
      <c r="Q68" s="268" t="n"/>
      <c r="R68" s="268" t="n"/>
      <c r="S68" s="268" t="n"/>
      <c r="T68" s="268" t="n"/>
      <c r="U68" s="268" t="n"/>
      <c r="V68" s="268" t="n"/>
      <c r="W68" s="268" t="n"/>
      <c r="X68" s="268" t="n"/>
      <c r="Y68" s="268" t="n"/>
      <c r="Z68" s="268" t="n"/>
    </row>
    <row r="69" ht="15.75" customHeight="1" s="372">
      <c r="A69" s="268" t="n"/>
      <c r="B69" s="268" t="n"/>
      <c r="C69" s="268" t="n"/>
      <c r="D69" s="268" t="n"/>
      <c r="E69" s="268" t="n"/>
      <c r="F69" s="268" t="n"/>
      <c r="G69" s="268" t="n"/>
      <c r="H69" s="268" t="n"/>
      <c r="I69" s="268" t="n"/>
      <c r="J69" s="268" t="n"/>
      <c r="K69" s="268" t="n"/>
      <c r="L69" s="268" t="n"/>
      <c r="M69" s="268" t="n"/>
      <c r="N69" s="268" t="n"/>
      <c r="O69" s="268" t="n"/>
      <c r="P69" s="268" t="n"/>
      <c r="Q69" s="268" t="n"/>
      <c r="R69" s="268" t="n"/>
      <c r="S69" s="268" t="n"/>
      <c r="T69" s="268" t="n"/>
      <c r="U69" s="268" t="n"/>
      <c r="V69" s="268" t="n"/>
      <c r="W69" s="268" t="n"/>
      <c r="X69" s="268" t="n"/>
      <c r="Y69" s="268" t="n"/>
      <c r="Z69" s="268" t="n"/>
    </row>
    <row r="70" ht="15.75" customHeight="1" s="372">
      <c r="A70" s="268" t="n"/>
      <c r="B70" s="268" t="n"/>
      <c r="C70" s="268" t="n"/>
      <c r="D70" s="268" t="n"/>
      <c r="E70" s="268" t="n"/>
      <c r="F70" s="268" t="n"/>
      <c r="G70" s="268" t="n"/>
      <c r="H70" s="268" t="n"/>
      <c r="I70" s="268" t="n"/>
      <c r="J70" s="268" t="n"/>
      <c r="K70" s="268" t="n"/>
      <c r="L70" s="268" t="n"/>
      <c r="M70" s="268" t="n"/>
      <c r="N70" s="268" t="n"/>
      <c r="O70" s="268" t="n"/>
      <c r="P70" s="268" t="n"/>
      <c r="Q70" s="268" t="n"/>
      <c r="R70" s="268" t="n"/>
      <c r="S70" s="268" t="n"/>
      <c r="T70" s="268" t="n"/>
      <c r="U70" s="268" t="n"/>
      <c r="V70" s="268" t="n"/>
      <c r="W70" s="268" t="n"/>
      <c r="X70" s="268" t="n"/>
      <c r="Y70" s="268" t="n"/>
      <c r="Z70" s="268" t="n"/>
    </row>
    <row r="71" ht="15.75" customHeight="1" s="372">
      <c r="A71" s="268" t="n"/>
      <c r="B71" s="268" t="n"/>
      <c r="C71" s="268" t="n"/>
      <c r="D71" s="268" t="n"/>
      <c r="E71" s="268" t="n"/>
      <c r="F71" s="268" t="n"/>
      <c r="G71" s="268" t="n"/>
      <c r="H71" s="268" t="n"/>
      <c r="I71" s="268" t="n"/>
      <c r="J71" s="268" t="n"/>
      <c r="K71" s="268" t="n"/>
      <c r="L71" s="268" t="n"/>
      <c r="M71" s="268" t="n"/>
      <c r="N71" s="268" t="n"/>
      <c r="O71" s="268" t="n"/>
      <c r="P71" s="268" t="n"/>
      <c r="Q71" s="268" t="n"/>
      <c r="R71" s="268" t="n"/>
      <c r="S71" s="268" t="n"/>
      <c r="T71" s="268" t="n"/>
      <c r="U71" s="268" t="n"/>
      <c r="V71" s="268" t="n"/>
      <c r="W71" s="268" t="n"/>
      <c r="X71" s="268" t="n"/>
      <c r="Y71" s="268" t="n"/>
      <c r="Z71" s="268" t="n"/>
    </row>
    <row r="72" ht="15.75" customHeight="1" s="372">
      <c r="A72" s="268" t="n"/>
      <c r="B72" s="268" t="n"/>
      <c r="C72" s="268" t="n"/>
      <c r="D72" s="268" t="n"/>
      <c r="E72" s="268" t="n"/>
      <c r="F72" s="268" t="n"/>
      <c r="G72" s="268" t="n"/>
      <c r="H72" s="268" t="n"/>
      <c r="I72" s="268" t="n"/>
      <c r="J72" s="268" t="n"/>
      <c r="K72" s="268" t="n"/>
      <c r="L72" s="268" t="n"/>
      <c r="M72" s="268" t="n"/>
      <c r="N72" s="268" t="n"/>
      <c r="O72" s="268" t="n"/>
      <c r="P72" s="268" t="n"/>
      <c r="Q72" s="268" t="n"/>
      <c r="R72" s="268" t="n"/>
      <c r="S72" s="268" t="n"/>
      <c r="T72" s="268" t="n"/>
      <c r="U72" s="268" t="n"/>
      <c r="V72" s="268" t="n"/>
      <c r="W72" s="268" t="n"/>
      <c r="X72" s="268" t="n"/>
      <c r="Y72" s="268" t="n"/>
      <c r="Z72" s="268" t="n"/>
    </row>
    <row r="73" ht="15.75" customHeight="1" s="372">
      <c r="A73" s="268" t="n"/>
      <c r="B73" s="268" t="n"/>
      <c r="C73" s="268" t="n"/>
      <c r="D73" s="268" t="n"/>
      <c r="E73" s="268" t="n"/>
      <c r="F73" s="268" t="n"/>
      <c r="G73" s="268" t="n"/>
      <c r="H73" s="268" t="n"/>
      <c r="I73" s="268" t="n"/>
      <c r="J73" s="268" t="n"/>
      <c r="K73" s="268" t="n"/>
      <c r="L73" s="268" t="n"/>
      <c r="M73" s="268" t="n"/>
      <c r="N73" s="268" t="n"/>
      <c r="O73" s="268" t="n"/>
      <c r="P73" s="268" t="n"/>
      <c r="Q73" s="268" t="n"/>
      <c r="R73" s="268" t="n"/>
      <c r="S73" s="268" t="n"/>
      <c r="T73" s="268" t="n"/>
      <c r="U73" s="268" t="n"/>
      <c r="V73" s="268" t="n"/>
      <c r="W73" s="268" t="n"/>
      <c r="X73" s="268" t="n"/>
      <c r="Y73" s="268" t="n"/>
      <c r="Z73" s="268" t="n"/>
    </row>
    <row r="74" ht="15.75" customHeight="1" s="372">
      <c r="A74" s="268" t="n"/>
      <c r="B74" s="268" t="n"/>
      <c r="C74" s="268" t="n"/>
      <c r="D74" s="268" t="n"/>
      <c r="E74" s="268" t="n"/>
      <c r="F74" s="268" t="n"/>
      <c r="G74" s="268" t="n"/>
      <c r="H74" s="268" t="n"/>
      <c r="I74" s="268" t="n"/>
      <c r="J74" s="268" t="n"/>
      <c r="K74" s="268" t="n"/>
      <c r="L74" s="268" t="n"/>
      <c r="M74" s="268" t="n"/>
      <c r="N74" s="268" t="n"/>
      <c r="O74" s="268" t="n"/>
      <c r="P74" s="268" t="n"/>
      <c r="Q74" s="268" t="n"/>
      <c r="R74" s="268" t="n"/>
      <c r="S74" s="268" t="n"/>
      <c r="T74" s="268" t="n"/>
      <c r="U74" s="268" t="n"/>
      <c r="V74" s="268" t="n"/>
      <c r="W74" s="268" t="n"/>
      <c r="X74" s="268" t="n"/>
      <c r="Y74" s="268" t="n"/>
      <c r="Z74" s="268" t="n"/>
    </row>
    <row r="75" ht="15.75" customHeight="1" s="372">
      <c r="A75" s="268" t="n"/>
      <c r="B75" s="268" t="n"/>
      <c r="C75" s="268" t="n"/>
      <c r="D75" s="268" t="n"/>
      <c r="E75" s="268" t="n"/>
      <c r="F75" s="268" t="n"/>
      <c r="G75" s="268" t="n"/>
      <c r="H75" s="268" t="n"/>
      <c r="I75" s="268" t="n"/>
      <c r="J75" s="268" t="n"/>
      <c r="K75" s="268" t="n"/>
      <c r="L75" s="268" t="n"/>
      <c r="M75" s="268" t="n"/>
      <c r="N75" s="268" t="n"/>
      <c r="O75" s="268" t="n"/>
      <c r="P75" s="268" t="n"/>
      <c r="Q75" s="268" t="n"/>
      <c r="R75" s="268" t="n"/>
      <c r="S75" s="268" t="n"/>
      <c r="T75" s="268" t="n"/>
      <c r="U75" s="268" t="n"/>
      <c r="V75" s="268" t="n"/>
      <c r="W75" s="268" t="n"/>
      <c r="X75" s="268" t="n"/>
      <c r="Y75" s="268" t="n"/>
      <c r="Z75" s="268" t="n"/>
    </row>
    <row r="76" ht="15.75" customHeight="1" s="372">
      <c r="A76" s="268" t="n"/>
      <c r="B76" s="268" t="n"/>
      <c r="C76" s="268" t="n"/>
      <c r="D76" s="268" t="n"/>
      <c r="E76" s="268" t="n"/>
      <c r="F76" s="268" t="n"/>
      <c r="G76" s="268" t="n"/>
      <c r="H76" s="268" t="n"/>
      <c r="I76" s="268" t="n"/>
      <c r="J76" s="268" t="n"/>
      <c r="K76" s="268" t="n"/>
      <c r="L76" s="268" t="n"/>
      <c r="M76" s="268" t="n"/>
      <c r="N76" s="268" t="n"/>
      <c r="O76" s="268" t="n"/>
      <c r="P76" s="268" t="n"/>
      <c r="Q76" s="268" t="n"/>
      <c r="R76" s="268" t="n"/>
      <c r="S76" s="268" t="n"/>
      <c r="T76" s="268" t="n"/>
      <c r="U76" s="268" t="n"/>
      <c r="V76" s="268" t="n"/>
      <c r="W76" s="268" t="n"/>
      <c r="X76" s="268" t="n"/>
      <c r="Y76" s="268" t="n"/>
      <c r="Z76" s="268" t="n"/>
    </row>
    <row r="77" ht="15.75" customHeight="1" s="372">
      <c r="A77" s="268" t="n"/>
      <c r="B77" s="268" t="n"/>
      <c r="C77" s="268" t="n"/>
      <c r="D77" s="268" t="n"/>
      <c r="E77" s="268" t="n"/>
      <c r="F77" s="268" t="n"/>
      <c r="G77" s="268" t="n"/>
      <c r="H77" s="268" t="n"/>
      <c r="I77" s="268" t="n"/>
      <c r="J77" s="268" t="n"/>
      <c r="K77" s="268" t="n"/>
      <c r="L77" s="268" t="n"/>
      <c r="M77" s="268" t="n"/>
      <c r="N77" s="268" t="n"/>
      <c r="O77" s="268" t="n"/>
      <c r="P77" s="268" t="n"/>
      <c r="Q77" s="268" t="n"/>
      <c r="R77" s="268" t="n"/>
      <c r="S77" s="268" t="n"/>
      <c r="T77" s="268" t="n"/>
      <c r="U77" s="268" t="n"/>
      <c r="V77" s="268" t="n"/>
      <c r="W77" s="268" t="n"/>
      <c r="X77" s="268" t="n"/>
      <c r="Y77" s="268" t="n"/>
      <c r="Z77" s="268" t="n"/>
    </row>
    <row r="78" ht="15.75" customHeight="1" s="372">
      <c r="A78" s="268" t="n"/>
      <c r="B78" s="268" t="n"/>
      <c r="C78" s="268" t="n"/>
      <c r="D78" s="268" t="n"/>
      <c r="E78" s="268" t="n"/>
      <c r="F78" s="268" t="n"/>
      <c r="G78" s="268" t="n"/>
      <c r="H78" s="268" t="n"/>
      <c r="I78" s="268" t="n"/>
      <c r="J78" s="268" t="n"/>
      <c r="K78" s="268" t="n"/>
      <c r="L78" s="268" t="n"/>
      <c r="M78" s="268" t="n"/>
      <c r="N78" s="268" t="n"/>
      <c r="O78" s="268" t="n"/>
      <c r="P78" s="268" t="n"/>
      <c r="Q78" s="268" t="n"/>
      <c r="R78" s="268" t="n"/>
      <c r="S78" s="268" t="n"/>
      <c r="T78" s="268" t="n"/>
      <c r="U78" s="268" t="n"/>
      <c r="V78" s="268" t="n"/>
      <c r="W78" s="268" t="n"/>
      <c r="X78" s="268" t="n"/>
      <c r="Y78" s="268" t="n"/>
      <c r="Z78" s="268" t="n"/>
    </row>
    <row r="79" ht="15.75" customHeight="1" s="372">
      <c r="A79" s="268" t="n"/>
      <c r="B79" s="268" t="n"/>
      <c r="C79" s="268" t="n"/>
      <c r="D79" s="268" t="n"/>
      <c r="E79" s="268" t="n"/>
      <c r="F79" s="268" t="n"/>
      <c r="G79" s="268" t="n"/>
      <c r="H79" s="268" t="n"/>
      <c r="I79" s="268" t="n"/>
      <c r="J79" s="268" t="n"/>
      <c r="K79" s="268" t="n"/>
      <c r="L79" s="268" t="n"/>
      <c r="M79" s="268" t="n"/>
      <c r="N79" s="268" t="n"/>
      <c r="O79" s="268" t="n"/>
      <c r="P79" s="268" t="n"/>
      <c r="Q79" s="268" t="n"/>
      <c r="R79" s="268" t="n"/>
      <c r="S79" s="268" t="n"/>
      <c r="T79" s="268" t="n"/>
      <c r="U79" s="268" t="n"/>
      <c r="V79" s="268" t="n"/>
      <c r="W79" s="268" t="n"/>
      <c r="X79" s="268" t="n"/>
      <c r="Y79" s="268" t="n"/>
      <c r="Z79" s="268" t="n"/>
    </row>
    <row r="80" ht="15.75" customHeight="1" s="372">
      <c r="A80" s="268" t="n"/>
      <c r="B80" s="268" t="n"/>
      <c r="C80" s="268" t="n"/>
      <c r="D80" s="268" t="n"/>
      <c r="E80" s="268" t="n"/>
      <c r="F80" s="268" t="n"/>
      <c r="G80" s="268" t="n"/>
      <c r="H80" s="268" t="n"/>
      <c r="I80" s="268" t="n"/>
      <c r="J80" s="268" t="n"/>
      <c r="K80" s="268" t="n"/>
      <c r="L80" s="268" t="n"/>
      <c r="M80" s="268" t="n"/>
      <c r="N80" s="268" t="n"/>
      <c r="O80" s="268" t="n"/>
      <c r="P80" s="268" t="n"/>
      <c r="Q80" s="268" t="n"/>
      <c r="R80" s="268" t="n"/>
      <c r="S80" s="268" t="n"/>
      <c r="T80" s="268" t="n"/>
      <c r="U80" s="268" t="n"/>
      <c r="V80" s="268" t="n"/>
      <c r="W80" s="268" t="n"/>
      <c r="X80" s="268" t="n"/>
      <c r="Y80" s="268" t="n"/>
      <c r="Z80" s="268" t="n"/>
    </row>
    <row r="81" ht="15.75" customHeight="1" s="372">
      <c r="A81" s="268" t="n"/>
      <c r="B81" s="268" t="n"/>
      <c r="C81" s="268" t="n"/>
      <c r="D81" s="268" t="n"/>
      <c r="E81" s="268" t="n"/>
      <c r="F81" s="268" t="n"/>
      <c r="G81" s="268" t="n"/>
      <c r="H81" s="268" t="n"/>
      <c r="I81" s="268" t="n"/>
      <c r="J81" s="268" t="n"/>
      <c r="K81" s="268" t="n"/>
      <c r="L81" s="268" t="n"/>
      <c r="M81" s="268" t="n"/>
      <c r="N81" s="268" t="n"/>
      <c r="O81" s="268" t="n"/>
      <c r="P81" s="268" t="n"/>
      <c r="Q81" s="268" t="n"/>
      <c r="R81" s="268" t="n"/>
      <c r="S81" s="268" t="n"/>
      <c r="T81" s="268" t="n"/>
      <c r="U81" s="268" t="n"/>
      <c r="V81" s="268" t="n"/>
      <c r="W81" s="268" t="n"/>
      <c r="X81" s="268" t="n"/>
      <c r="Y81" s="268" t="n"/>
      <c r="Z81" s="268" t="n"/>
    </row>
    <row r="82" ht="15.75" customHeight="1" s="372">
      <c r="A82" s="268" t="n"/>
      <c r="B82" s="268" t="n"/>
      <c r="C82" s="268" t="n"/>
      <c r="D82" s="268" t="n"/>
      <c r="E82" s="268" t="n"/>
      <c r="F82" s="268" t="n"/>
      <c r="G82" s="268" t="n"/>
      <c r="H82" s="268" t="n"/>
      <c r="I82" s="268" t="n"/>
      <c r="J82" s="268" t="n"/>
      <c r="K82" s="268" t="n"/>
      <c r="L82" s="268" t="n"/>
      <c r="M82" s="268" t="n"/>
      <c r="N82" s="268" t="n"/>
      <c r="O82" s="268" t="n"/>
      <c r="P82" s="268" t="n"/>
      <c r="Q82" s="268" t="n"/>
      <c r="R82" s="268" t="n"/>
      <c r="S82" s="268" t="n"/>
      <c r="T82" s="268" t="n"/>
      <c r="U82" s="268" t="n"/>
      <c r="V82" s="268" t="n"/>
      <c r="W82" s="268" t="n"/>
      <c r="X82" s="268" t="n"/>
      <c r="Y82" s="268" t="n"/>
      <c r="Z82" s="268" t="n"/>
    </row>
    <row r="83" ht="15.75" customHeight="1" s="372">
      <c r="A83" s="268" t="n"/>
      <c r="B83" s="268" t="n"/>
      <c r="C83" s="268" t="n"/>
      <c r="D83" s="268" t="n"/>
      <c r="E83" s="268" t="n"/>
      <c r="F83" s="268" t="n"/>
      <c r="G83" s="268" t="n"/>
      <c r="H83" s="268" t="n"/>
      <c r="I83" s="268" t="n"/>
      <c r="J83" s="268" t="n"/>
      <c r="K83" s="268" t="n"/>
      <c r="L83" s="268" t="n"/>
      <c r="M83" s="268" t="n"/>
      <c r="N83" s="268" t="n"/>
      <c r="O83" s="268" t="n"/>
      <c r="P83" s="268" t="n"/>
      <c r="Q83" s="268" t="n"/>
      <c r="R83" s="268" t="n"/>
      <c r="S83" s="268" t="n"/>
      <c r="T83" s="268" t="n"/>
      <c r="U83" s="268" t="n"/>
      <c r="V83" s="268" t="n"/>
      <c r="W83" s="268" t="n"/>
      <c r="X83" s="268" t="n"/>
      <c r="Y83" s="268" t="n"/>
      <c r="Z83" s="268" t="n"/>
    </row>
    <row r="84" ht="15.75" customHeight="1" s="372">
      <c r="A84" s="268" t="n"/>
      <c r="B84" s="268" t="n"/>
      <c r="C84" s="268" t="n"/>
      <c r="D84" s="268" t="n"/>
      <c r="E84" s="268" t="n"/>
      <c r="F84" s="268" t="n"/>
      <c r="G84" s="268" t="n"/>
      <c r="H84" s="268" t="n"/>
      <c r="I84" s="268" t="n"/>
      <c r="J84" s="268" t="n"/>
      <c r="K84" s="268" t="n"/>
      <c r="L84" s="268" t="n"/>
      <c r="M84" s="268" t="n"/>
      <c r="N84" s="268" t="n"/>
      <c r="O84" s="268" t="n"/>
      <c r="P84" s="268" t="n"/>
      <c r="Q84" s="268" t="n"/>
      <c r="R84" s="268" t="n"/>
      <c r="S84" s="268" t="n"/>
      <c r="T84" s="268" t="n"/>
      <c r="U84" s="268" t="n"/>
      <c r="V84" s="268" t="n"/>
      <c r="W84" s="268" t="n"/>
      <c r="X84" s="268" t="n"/>
      <c r="Y84" s="268" t="n"/>
      <c r="Z84" s="268" t="n"/>
    </row>
    <row r="85" ht="15.75" customHeight="1" s="372">
      <c r="A85" s="268" t="n"/>
      <c r="B85" s="268" t="n"/>
      <c r="C85" s="268" t="n"/>
      <c r="D85" s="268" t="n"/>
      <c r="E85" s="268" t="n"/>
      <c r="F85" s="268" t="n"/>
      <c r="G85" s="268" t="n"/>
      <c r="H85" s="268" t="n"/>
      <c r="I85" s="268" t="n"/>
      <c r="J85" s="268" t="n"/>
      <c r="K85" s="268" t="n"/>
      <c r="L85" s="268" t="n"/>
      <c r="M85" s="268" t="n"/>
      <c r="N85" s="268" t="n"/>
      <c r="O85" s="268" t="n"/>
      <c r="P85" s="268" t="n"/>
      <c r="Q85" s="268" t="n"/>
      <c r="R85" s="268" t="n"/>
      <c r="S85" s="268" t="n"/>
      <c r="T85" s="268" t="n"/>
      <c r="U85" s="268" t="n"/>
      <c r="V85" s="268" t="n"/>
      <c r="W85" s="268" t="n"/>
      <c r="X85" s="268" t="n"/>
      <c r="Y85" s="268" t="n"/>
      <c r="Z85" s="268" t="n"/>
    </row>
    <row r="86" ht="15.75" customHeight="1" s="372">
      <c r="A86" s="268" t="n"/>
      <c r="B86" s="268" t="n"/>
      <c r="C86" s="268" t="n"/>
      <c r="D86" s="268" t="n"/>
      <c r="E86" s="268" t="n"/>
      <c r="F86" s="268" t="n"/>
      <c r="G86" s="268" t="n"/>
      <c r="H86" s="268" t="n"/>
      <c r="I86" s="268" t="n"/>
      <c r="J86" s="268" t="n"/>
      <c r="K86" s="268" t="n"/>
      <c r="L86" s="268" t="n"/>
      <c r="M86" s="268" t="n"/>
      <c r="N86" s="268" t="n"/>
      <c r="O86" s="268" t="n"/>
      <c r="P86" s="268" t="n"/>
      <c r="Q86" s="268" t="n"/>
      <c r="R86" s="268" t="n"/>
      <c r="S86" s="268" t="n"/>
      <c r="T86" s="268" t="n"/>
      <c r="U86" s="268" t="n"/>
      <c r="V86" s="268" t="n"/>
      <c r="W86" s="268" t="n"/>
      <c r="X86" s="268" t="n"/>
      <c r="Y86" s="268" t="n"/>
      <c r="Z86" s="268" t="n"/>
    </row>
    <row r="87" ht="15.75" customHeight="1" s="372">
      <c r="A87" s="268" t="n"/>
      <c r="B87" s="268" t="n"/>
      <c r="C87" s="268" t="n"/>
      <c r="D87" s="268" t="n"/>
      <c r="E87" s="268" t="n"/>
      <c r="F87" s="268" t="n"/>
      <c r="G87" s="268" t="n"/>
      <c r="H87" s="268" t="n"/>
      <c r="I87" s="268" t="n"/>
      <c r="J87" s="268" t="n"/>
      <c r="K87" s="268" t="n"/>
      <c r="L87" s="268" t="n"/>
      <c r="M87" s="268" t="n"/>
      <c r="N87" s="268" t="n"/>
      <c r="O87" s="268" t="n"/>
      <c r="P87" s="268" t="n"/>
      <c r="Q87" s="268" t="n"/>
      <c r="R87" s="268" t="n"/>
      <c r="S87" s="268" t="n"/>
      <c r="T87" s="268" t="n"/>
      <c r="U87" s="268" t="n"/>
      <c r="V87" s="268" t="n"/>
      <c r="W87" s="268" t="n"/>
      <c r="X87" s="268" t="n"/>
      <c r="Y87" s="268" t="n"/>
      <c r="Z87" s="268" t="n"/>
    </row>
    <row r="88" ht="15.75" customHeight="1" s="372">
      <c r="A88" s="268" t="n"/>
      <c r="B88" s="268" t="n"/>
      <c r="C88" s="268" t="n"/>
      <c r="D88" s="268" t="n"/>
      <c r="E88" s="268" t="n"/>
      <c r="F88" s="268" t="n"/>
      <c r="G88" s="268" t="n"/>
      <c r="H88" s="268" t="n"/>
      <c r="I88" s="268" t="n"/>
      <c r="J88" s="268" t="n"/>
      <c r="K88" s="268" t="n"/>
      <c r="L88" s="268" t="n"/>
      <c r="M88" s="268" t="n"/>
      <c r="N88" s="268" t="n"/>
      <c r="O88" s="268" t="n"/>
      <c r="P88" s="268" t="n"/>
      <c r="Q88" s="268" t="n"/>
      <c r="R88" s="268" t="n"/>
      <c r="S88" s="268" t="n"/>
      <c r="T88" s="268" t="n"/>
      <c r="U88" s="268" t="n"/>
      <c r="V88" s="268" t="n"/>
      <c r="W88" s="268" t="n"/>
      <c r="X88" s="268" t="n"/>
      <c r="Y88" s="268" t="n"/>
      <c r="Z88" s="268" t="n"/>
    </row>
    <row r="89" ht="15.75" customHeight="1" s="372">
      <c r="A89" s="268" t="n"/>
      <c r="B89" s="268" t="n"/>
      <c r="C89" s="268" t="n"/>
      <c r="D89" s="268" t="n"/>
      <c r="E89" s="268" t="n"/>
      <c r="F89" s="268" t="n"/>
      <c r="G89" s="268" t="n"/>
      <c r="H89" s="268" t="n"/>
      <c r="I89" s="268" t="n"/>
      <c r="J89" s="268" t="n"/>
      <c r="K89" s="268" t="n"/>
      <c r="L89" s="268" t="n"/>
      <c r="M89" s="268" t="n"/>
      <c r="N89" s="268" t="n"/>
      <c r="O89" s="268" t="n"/>
      <c r="P89" s="268" t="n"/>
      <c r="Q89" s="268" t="n"/>
      <c r="R89" s="268" t="n"/>
      <c r="S89" s="268" t="n"/>
      <c r="T89" s="268" t="n"/>
      <c r="U89" s="268" t="n"/>
      <c r="V89" s="268" t="n"/>
      <c r="W89" s="268" t="n"/>
      <c r="X89" s="268" t="n"/>
      <c r="Y89" s="268" t="n"/>
      <c r="Z89" s="268" t="n"/>
    </row>
    <row r="90" ht="15.75" customHeight="1" s="372">
      <c r="A90" s="268" t="n"/>
      <c r="B90" s="268" t="n"/>
      <c r="C90" s="268" t="n"/>
      <c r="D90" s="268" t="n"/>
      <c r="E90" s="268" t="n"/>
      <c r="F90" s="268" t="n"/>
      <c r="G90" s="268" t="n"/>
      <c r="H90" s="268" t="n"/>
      <c r="I90" s="268" t="n"/>
      <c r="J90" s="268" t="n"/>
      <c r="K90" s="268" t="n"/>
      <c r="L90" s="268" t="n"/>
      <c r="M90" s="268" t="n"/>
      <c r="N90" s="268" t="n"/>
      <c r="O90" s="268" t="n"/>
      <c r="P90" s="268" t="n"/>
      <c r="Q90" s="268" t="n"/>
      <c r="R90" s="268" t="n"/>
      <c r="S90" s="268" t="n"/>
      <c r="T90" s="268" t="n"/>
      <c r="U90" s="268" t="n"/>
      <c r="V90" s="268" t="n"/>
      <c r="W90" s="268" t="n"/>
      <c r="X90" s="268" t="n"/>
      <c r="Y90" s="268" t="n"/>
      <c r="Z90" s="268" t="n"/>
    </row>
    <row r="91" ht="15.75" customHeight="1" s="372">
      <c r="A91" s="268" t="n"/>
      <c r="B91" s="268" t="n"/>
      <c r="C91" s="268" t="n"/>
      <c r="D91" s="268" t="n"/>
      <c r="E91" s="268" t="n"/>
      <c r="F91" s="268" t="n"/>
      <c r="G91" s="268" t="n"/>
      <c r="H91" s="268" t="n"/>
      <c r="I91" s="268" t="n"/>
      <c r="J91" s="268" t="n"/>
      <c r="K91" s="268" t="n"/>
      <c r="L91" s="268" t="n"/>
      <c r="M91" s="268" t="n"/>
      <c r="N91" s="268" t="n"/>
      <c r="O91" s="268" t="n"/>
      <c r="P91" s="268" t="n"/>
      <c r="Q91" s="268" t="n"/>
      <c r="R91" s="268" t="n"/>
      <c r="S91" s="268" t="n"/>
      <c r="T91" s="268" t="n"/>
      <c r="U91" s="268" t="n"/>
      <c r="V91" s="268" t="n"/>
      <c r="W91" s="268" t="n"/>
      <c r="X91" s="268" t="n"/>
      <c r="Y91" s="268" t="n"/>
      <c r="Z91" s="268" t="n"/>
    </row>
    <row r="92" ht="15.75" customHeight="1" s="372">
      <c r="A92" s="268" t="n"/>
      <c r="B92" s="268" t="n"/>
      <c r="C92" s="268" t="n"/>
      <c r="D92" s="268" t="n"/>
      <c r="E92" s="268" t="n"/>
      <c r="F92" s="268" t="n"/>
      <c r="G92" s="268" t="n"/>
      <c r="H92" s="268" t="n"/>
      <c r="I92" s="268" t="n"/>
      <c r="J92" s="268" t="n"/>
      <c r="K92" s="268" t="n"/>
      <c r="L92" s="268" t="n"/>
      <c r="M92" s="268" t="n"/>
      <c r="N92" s="268" t="n"/>
      <c r="O92" s="268" t="n"/>
      <c r="P92" s="268" t="n"/>
      <c r="Q92" s="268" t="n"/>
      <c r="R92" s="268" t="n"/>
      <c r="S92" s="268" t="n"/>
      <c r="T92" s="268" t="n"/>
      <c r="U92" s="268" t="n"/>
      <c r="V92" s="268" t="n"/>
      <c r="W92" s="268" t="n"/>
      <c r="X92" s="268" t="n"/>
      <c r="Y92" s="268" t="n"/>
      <c r="Z92" s="268" t="n"/>
    </row>
    <row r="93" ht="15.75" customHeight="1" s="372">
      <c r="A93" s="268" t="n"/>
      <c r="B93" s="268" t="n"/>
      <c r="C93" s="268" t="n"/>
      <c r="D93" s="268" t="n"/>
      <c r="E93" s="268" t="n"/>
      <c r="F93" s="268" t="n"/>
      <c r="G93" s="268" t="n"/>
      <c r="H93" s="268" t="n"/>
      <c r="I93" s="268" t="n"/>
      <c r="J93" s="268" t="n"/>
      <c r="K93" s="268" t="n"/>
      <c r="L93" s="268" t="n"/>
      <c r="M93" s="268" t="n"/>
      <c r="N93" s="268" t="n"/>
      <c r="O93" s="268" t="n"/>
      <c r="P93" s="268" t="n"/>
      <c r="Q93" s="268" t="n"/>
      <c r="R93" s="268" t="n"/>
      <c r="S93" s="268" t="n"/>
      <c r="T93" s="268" t="n"/>
      <c r="U93" s="268" t="n"/>
      <c r="V93" s="268" t="n"/>
      <c r="W93" s="268" t="n"/>
      <c r="X93" s="268" t="n"/>
      <c r="Y93" s="268" t="n"/>
      <c r="Z93" s="268" t="n"/>
    </row>
    <row r="94" ht="15.75" customHeight="1" s="372">
      <c r="A94" s="268" t="n"/>
      <c r="B94" s="268" t="n"/>
      <c r="C94" s="268" t="n"/>
      <c r="D94" s="268" t="n"/>
      <c r="E94" s="268" t="n"/>
      <c r="F94" s="268" t="n"/>
      <c r="G94" s="268" t="n"/>
      <c r="H94" s="268" t="n"/>
      <c r="I94" s="268" t="n"/>
      <c r="J94" s="268" t="n"/>
      <c r="K94" s="268" t="n"/>
      <c r="L94" s="268" t="n"/>
      <c r="M94" s="268" t="n"/>
      <c r="N94" s="268" t="n"/>
      <c r="O94" s="268" t="n"/>
      <c r="P94" s="268" t="n"/>
      <c r="Q94" s="268" t="n"/>
      <c r="R94" s="268" t="n"/>
      <c r="S94" s="268" t="n"/>
      <c r="T94" s="268" t="n"/>
      <c r="U94" s="268" t="n"/>
      <c r="V94" s="268" t="n"/>
      <c r="W94" s="268" t="n"/>
      <c r="X94" s="268" t="n"/>
      <c r="Y94" s="268" t="n"/>
      <c r="Z94" s="268" t="n"/>
    </row>
    <row r="95" ht="15.75" customHeight="1" s="372">
      <c r="A95" s="268" t="n"/>
      <c r="B95" s="268" t="n"/>
      <c r="C95" s="268" t="n"/>
      <c r="D95" s="268" t="n"/>
      <c r="E95" s="268" t="n"/>
      <c r="F95" s="268" t="n"/>
      <c r="G95" s="268" t="n"/>
      <c r="H95" s="268" t="n"/>
      <c r="I95" s="268" t="n"/>
      <c r="J95" s="268" t="n"/>
      <c r="K95" s="268" t="n"/>
      <c r="L95" s="268" t="n"/>
      <c r="M95" s="268" t="n"/>
      <c r="N95" s="268" t="n"/>
      <c r="O95" s="268" t="n"/>
      <c r="P95" s="268" t="n"/>
      <c r="Q95" s="268" t="n"/>
      <c r="R95" s="268" t="n"/>
      <c r="S95" s="268" t="n"/>
      <c r="T95" s="268" t="n"/>
      <c r="U95" s="268" t="n"/>
      <c r="V95" s="268" t="n"/>
      <c r="W95" s="268" t="n"/>
      <c r="X95" s="268" t="n"/>
      <c r="Y95" s="268" t="n"/>
      <c r="Z95" s="268" t="n"/>
    </row>
    <row r="96" ht="15.75" customHeight="1" s="372">
      <c r="A96" s="268" t="n"/>
      <c r="B96" s="268" t="n"/>
      <c r="C96" s="268" t="n"/>
      <c r="D96" s="268" t="n"/>
      <c r="E96" s="268" t="n"/>
      <c r="F96" s="268" t="n"/>
      <c r="G96" s="268" t="n"/>
      <c r="H96" s="268" t="n"/>
      <c r="I96" s="268" t="n"/>
      <c r="J96" s="268" t="n"/>
      <c r="K96" s="268" t="n"/>
      <c r="L96" s="268" t="n"/>
      <c r="M96" s="268" t="n"/>
      <c r="N96" s="268" t="n"/>
      <c r="O96" s="268" t="n"/>
      <c r="P96" s="268" t="n"/>
      <c r="Q96" s="268" t="n"/>
      <c r="R96" s="268" t="n"/>
      <c r="S96" s="268" t="n"/>
      <c r="T96" s="268" t="n"/>
      <c r="U96" s="268" t="n"/>
      <c r="V96" s="268" t="n"/>
      <c r="W96" s="268" t="n"/>
      <c r="X96" s="268" t="n"/>
      <c r="Y96" s="268" t="n"/>
      <c r="Z96" s="268" t="n"/>
    </row>
    <row r="97" ht="15.75" customHeight="1" s="372">
      <c r="A97" s="268" t="n"/>
      <c r="B97" s="268" t="n"/>
      <c r="C97" s="268" t="n"/>
      <c r="D97" s="268" t="n"/>
      <c r="E97" s="268" t="n"/>
      <c r="F97" s="268" t="n"/>
      <c r="G97" s="268" t="n"/>
      <c r="H97" s="268" t="n"/>
      <c r="I97" s="268" t="n"/>
      <c r="J97" s="268" t="n"/>
      <c r="K97" s="268" t="n"/>
      <c r="L97" s="268" t="n"/>
      <c r="M97" s="268" t="n"/>
      <c r="N97" s="268" t="n"/>
      <c r="O97" s="268" t="n"/>
      <c r="P97" s="268" t="n"/>
      <c r="Q97" s="268" t="n"/>
      <c r="R97" s="268" t="n"/>
      <c r="S97" s="268" t="n"/>
      <c r="T97" s="268" t="n"/>
      <c r="U97" s="268" t="n"/>
      <c r="V97" s="268" t="n"/>
      <c r="W97" s="268" t="n"/>
      <c r="X97" s="268" t="n"/>
      <c r="Y97" s="268" t="n"/>
      <c r="Z97" s="268" t="n"/>
    </row>
    <row r="98" ht="15.75" customHeight="1" s="372">
      <c r="A98" s="268" t="n"/>
      <c r="B98" s="268" t="n"/>
      <c r="C98" s="268" t="n"/>
      <c r="D98" s="268" t="n"/>
      <c r="E98" s="268" t="n"/>
      <c r="F98" s="268" t="n"/>
      <c r="G98" s="268" t="n"/>
      <c r="H98" s="268" t="n"/>
      <c r="I98" s="268" t="n"/>
      <c r="J98" s="268" t="n"/>
      <c r="K98" s="268" t="n"/>
      <c r="L98" s="268" t="n"/>
      <c r="M98" s="268" t="n"/>
      <c r="N98" s="268" t="n"/>
      <c r="O98" s="268" t="n"/>
      <c r="P98" s="268" t="n"/>
      <c r="Q98" s="268" t="n"/>
      <c r="R98" s="268" t="n"/>
      <c r="S98" s="268" t="n"/>
      <c r="T98" s="268" t="n"/>
      <c r="U98" s="268" t="n"/>
      <c r="V98" s="268" t="n"/>
      <c r="W98" s="268" t="n"/>
      <c r="X98" s="268" t="n"/>
      <c r="Y98" s="268" t="n"/>
      <c r="Z98" s="268" t="n"/>
    </row>
    <row r="99" ht="15.75" customHeight="1" s="372">
      <c r="A99" s="268" t="n"/>
      <c r="B99" s="268" t="n"/>
      <c r="C99" s="268" t="n"/>
      <c r="D99" s="268" t="n"/>
      <c r="E99" s="268" t="n"/>
      <c r="F99" s="268" t="n"/>
      <c r="G99" s="268" t="n"/>
      <c r="H99" s="268" t="n"/>
      <c r="I99" s="268" t="n"/>
      <c r="J99" s="268" t="n"/>
      <c r="K99" s="268" t="n"/>
      <c r="L99" s="268" t="n"/>
      <c r="M99" s="268" t="n"/>
      <c r="N99" s="268" t="n"/>
      <c r="O99" s="268" t="n"/>
      <c r="P99" s="268" t="n"/>
      <c r="Q99" s="268" t="n"/>
      <c r="R99" s="268" t="n"/>
      <c r="S99" s="268" t="n"/>
      <c r="T99" s="268" t="n"/>
      <c r="U99" s="268" t="n"/>
      <c r="V99" s="268" t="n"/>
      <c r="W99" s="268" t="n"/>
      <c r="X99" s="268" t="n"/>
      <c r="Y99" s="268" t="n"/>
      <c r="Z99" s="268" t="n"/>
    </row>
    <row r="100" ht="15.75" customHeight="1" s="372">
      <c r="A100" s="268" t="n"/>
      <c r="B100" s="268" t="n"/>
      <c r="C100" s="268" t="n"/>
      <c r="D100" s="268" t="n"/>
      <c r="E100" s="268" t="n"/>
      <c r="F100" s="268" t="n"/>
      <c r="G100" s="268" t="n"/>
      <c r="H100" s="268" t="n"/>
      <c r="I100" s="268" t="n"/>
      <c r="J100" s="268" t="n"/>
      <c r="K100" s="268" t="n"/>
      <c r="L100" s="268" t="n"/>
      <c r="M100" s="268" t="n"/>
      <c r="N100" s="268" t="n"/>
      <c r="O100" s="268" t="n"/>
      <c r="P100" s="268" t="n"/>
      <c r="Q100" s="268" t="n"/>
      <c r="R100" s="268" t="n"/>
      <c r="S100" s="268" t="n"/>
      <c r="T100" s="268" t="n"/>
      <c r="U100" s="268" t="n"/>
      <c r="V100" s="268" t="n"/>
      <c r="W100" s="268" t="n"/>
      <c r="X100" s="268" t="n"/>
      <c r="Y100" s="268" t="n"/>
      <c r="Z100" s="268" t="n"/>
    </row>
    <row r="101" ht="15.75" customHeight="1" s="372">
      <c r="A101" s="268" t="n"/>
      <c r="B101" s="268" t="n"/>
      <c r="C101" s="268" t="n"/>
      <c r="D101" s="268" t="n"/>
      <c r="E101" s="268" t="n"/>
      <c r="F101" s="268" t="n"/>
      <c r="G101" s="268" t="n"/>
      <c r="H101" s="268" t="n"/>
      <c r="I101" s="268" t="n"/>
      <c r="J101" s="268" t="n"/>
      <c r="K101" s="268" t="n"/>
      <c r="L101" s="268" t="n"/>
      <c r="M101" s="268" t="n"/>
      <c r="N101" s="268" t="n"/>
      <c r="O101" s="268" t="n"/>
      <c r="P101" s="268" t="n"/>
      <c r="Q101" s="268" t="n"/>
      <c r="R101" s="268" t="n"/>
      <c r="S101" s="268" t="n"/>
      <c r="T101" s="268" t="n"/>
      <c r="U101" s="268" t="n"/>
      <c r="V101" s="268" t="n"/>
      <c r="W101" s="268" t="n"/>
      <c r="X101" s="268" t="n"/>
      <c r="Y101" s="268" t="n"/>
      <c r="Z101" s="268" t="n"/>
    </row>
    <row r="102" ht="15.75" customHeight="1" s="372">
      <c r="A102" s="268" t="n"/>
      <c r="B102" s="268" t="n"/>
      <c r="C102" s="268" t="n"/>
      <c r="D102" s="268" t="n"/>
      <c r="E102" s="268" t="n"/>
      <c r="F102" s="268" t="n"/>
      <c r="G102" s="268" t="n"/>
      <c r="H102" s="268" t="n"/>
      <c r="I102" s="268" t="n"/>
      <c r="J102" s="268" t="n"/>
      <c r="K102" s="268" t="n"/>
      <c r="L102" s="268" t="n"/>
      <c r="M102" s="268" t="n"/>
      <c r="N102" s="268" t="n"/>
      <c r="O102" s="268" t="n"/>
      <c r="P102" s="268" t="n"/>
      <c r="Q102" s="268" t="n"/>
      <c r="R102" s="268" t="n"/>
      <c r="S102" s="268" t="n"/>
      <c r="T102" s="268" t="n"/>
      <c r="U102" s="268" t="n"/>
      <c r="V102" s="268" t="n"/>
      <c r="W102" s="268" t="n"/>
      <c r="X102" s="268" t="n"/>
      <c r="Y102" s="268" t="n"/>
      <c r="Z102" s="268" t="n"/>
    </row>
    <row r="103" ht="15.75" customHeight="1" s="372">
      <c r="A103" s="268" t="n"/>
      <c r="B103" s="268" t="n"/>
      <c r="C103" s="268" t="n"/>
      <c r="D103" s="268" t="n"/>
      <c r="E103" s="268" t="n"/>
      <c r="F103" s="268" t="n"/>
      <c r="G103" s="268" t="n"/>
      <c r="H103" s="268" t="n"/>
      <c r="I103" s="268" t="n"/>
      <c r="J103" s="268" t="n"/>
      <c r="K103" s="268" t="n"/>
      <c r="L103" s="268" t="n"/>
      <c r="M103" s="268" t="n"/>
      <c r="N103" s="268" t="n"/>
      <c r="O103" s="268" t="n"/>
      <c r="P103" s="268" t="n"/>
      <c r="Q103" s="268" t="n"/>
      <c r="R103" s="268" t="n"/>
      <c r="S103" s="268" t="n"/>
      <c r="T103" s="268" t="n"/>
      <c r="U103" s="268" t="n"/>
      <c r="V103" s="268" t="n"/>
      <c r="W103" s="268" t="n"/>
      <c r="X103" s="268" t="n"/>
      <c r="Y103" s="268" t="n"/>
      <c r="Z103" s="268" t="n"/>
    </row>
    <row r="104" ht="15.75" customHeight="1" s="372">
      <c r="A104" s="268" t="n"/>
      <c r="B104" s="268" t="n"/>
      <c r="C104" s="268" t="n"/>
      <c r="D104" s="268" t="n"/>
      <c r="E104" s="268" t="n"/>
      <c r="F104" s="268" t="n"/>
      <c r="G104" s="268" t="n"/>
      <c r="H104" s="268" t="n"/>
      <c r="I104" s="268" t="n"/>
      <c r="J104" s="268" t="n"/>
      <c r="K104" s="268" t="n"/>
      <c r="L104" s="268" t="n"/>
      <c r="M104" s="268" t="n"/>
      <c r="N104" s="268" t="n"/>
      <c r="O104" s="268" t="n"/>
      <c r="P104" s="268" t="n"/>
      <c r="Q104" s="268" t="n"/>
      <c r="R104" s="268" t="n"/>
      <c r="S104" s="268" t="n"/>
      <c r="T104" s="268" t="n"/>
      <c r="U104" s="268" t="n"/>
      <c r="V104" s="268" t="n"/>
      <c r="W104" s="268" t="n"/>
      <c r="X104" s="268" t="n"/>
      <c r="Y104" s="268" t="n"/>
      <c r="Z104" s="268" t="n"/>
    </row>
    <row r="105" ht="15.75" customHeight="1" s="372">
      <c r="A105" s="268" t="n"/>
      <c r="B105" s="268" t="n"/>
      <c r="C105" s="268" t="n"/>
      <c r="D105" s="268" t="n"/>
      <c r="E105" s="268" t="n"/>
      <c r="F105" s="268" t="n"/>
      <c r="G105" s="268" t="n"/>
      <c r="H105" s="268" t="n"/>
      <c r="I105" s="268" t="n"/>
      <c r="J105" s="268" t="n"/>
      <c r="K105" s="268" t="n"/>
      <c r="L105" s="268" t="n"/>
      <c r="M105" s="268" t="n"/>
      <c r="N105" s="268" t="n"/>
      <c r="O105" s="268" t="n"/>
      <c r="P105" s="268" t="n"/>
      <c r="Q105" s="268" t="n"/>
      <c r="R105" s="268" t="n"/>
      <c r="S105" s="268" t="n"/>
      <c r="T105" s="268" t="n"/>
      <c r="U105" s="268" t="n"/>
      <c r="V105" s="268" t="n"/>
      <c r="W105" s="268" t="n"/>
      <c r="X105" s="268" t="n"/>
      <c r="Y105" s="268" t="n"/>
      <c r="Z105" s="268" t="n"/>
    </row>
    <row r="106" ht="15.75" customHeight="1" s="372">
      <c r="A106" s="268" t="n"/>
      <c r="B106" s="268" t="n"/>
      <c r="C106" s="268" t="n"/>
      <c r="D106" s="268" t="n"/>
      <c r="E106" s="268" t="n"/>
      <c r="F106" s="268" t="n"/>
      <c r="G106" s="268" t="n"/>
      <c r="H106" s="268" t="n"/>
      <c r="I106" s="268" t="n"/>
      <c r="J106" s="268" t="n"/>
      <c r="K106" s="268" t="n"/>
      <c r="L106" s="268" t="n"/>
      <c r="M106" s="268" t="n"/>
      <c r="N106" s="268" t="n"/>
      <c r="O106" s="268" t="n"/>
      <c r="P106" s="268" t="n"/>
      <c r="Q106" s="268" t="n"/>
      <c r="R106" s="268" t="n"/>
      <c r="S106" s="268" t="n"/>
      <c r="T106" s="268" t="n"/>
      <c r="U106" s="268" t="n"/>
      <c r="V106" s="268" t="n"/>
      <c r="W106" s="268" t="n"/>
      <c r="X106" s="268" t="n"/>
      <c r="Y106" s="268" t="n"/>
      <c r="Z106" s="268" t="n"/>
    </row>
    <row r="107" ht="15.75" customHeight="1" s="372">
      <c r="A107" s="268" t="n"/>
      <c r="B107" s="268" t="n"/>
      <c r="C107" s="268" t="n"/>
      <c r="D107" s="268" t="n"/>
      <c r="E107" s="268" t="n"/>
      <c r="F107" s="268" t="n"/>
      <c r="G107" s="268" t="n"/>
      <c r="H107" s="268" t="n"/>
      <c r="I107" s="268" t="n"/>
      <c r="J107" s="268" t="n"/>
      <c r="K107" s="268" t="n"/>
      <c r="L107" s="268" t="n"/>
      <c r="M107" s="268" t="n"/>
      <c r="N107" s="268" t="n"/>
      <c r="O107" s="268" t="n"/>
      <c r="P107" s="268" t="n"/>
      <c r="Q107" s="268" t="n"/>
      <c r="R107" s="268" t="n"/>
      <c r="S107" s="268" t="n"/>
      <c r="T107" s="268" t="n"/>
      <c r="U107" s="268" t="n"/>
      <c r="V107" s="268" t="n"/>
      <c r="W107" s="268" t="n"/>
      <c r="X107" s="268" t="n"/>
      <c r="Y107" s="268" t="n"/>
      <c r="Z107" s="268" t="n"/>
    </row>
    <row r="108" ht="15.75" customHeight="1" s="372">
      <c r="A108" s="268" t="n"/>
      <c r="B108" s="268" t="n"/>
      <c r="C108" s="268" t="n"/>
      <c r="D108" s="268" t="n"/>
      <c r="E108" s="268" t="n"/>
      <c r="F108" s="268" t="n"/>
      <c r="G108" s="268" t="n"/>
      <c r="H108" s="268" t="n"/>
      <c r="I108" s="268" t="n"/>
      <c r="J108" s="268" t="n"/>
      <c r="K108" s="268" t="n"/>
      <c r="L108" s="268" t="n"/>
      <c r="M108" s="268" t="n"/>
      <c r="N108" s="268" t="n"/>
      <c r="O108" s="268" t="n"/>
      <c r="P108" s="268" t="n"/>
      <c r="Q108" s="268" t="n"/>
      <c r="R108" s="268" t="n"/>
      <c r="S108" s="268" t="n"/>
      <c r="T108" s="268" t="n"/>
      <c r="U108" s="268" t="n"/>
      <c r="V108" s="268" t="n"/>
      <c r="W108" s="268" t="n"/>
      <c r="X108" s="268" t="n"/>
      <c r="Y108" s="268" t="n"/>
      <c r="Z108" s="268" t="n"/>
    </row>
    <row r="109" ht="15.75" customHeight="1" s="372">
      <c r="A109" s="268" t="n"/>
      <c r="B109" s="268" t="n"/>
      <c r="C109" s="268" t="n"/>
      <c r="D109" s="268" t="n"/>
      <c r="E109" s="268" t="n"/>
      <c r="F109" s="268" t="n"/>
      <c r="G109" s="268" t="n"/>
      <c r="H109" s="268" t="n"/>
      <c r="I109" s="268" t="n"/>
      <c r="J109" s="268" t="n"/>
      <c r="K109" s="268" t="n"/>
      <c r="L109" s="268" t="n"/>
      <c r="M109" s="268" t="n"/>
      <c r="N109" s="268" t="n"/>
      <c r="O109" s="268" t="n"/>
      <c r="P109" s="268" t="n"/>
      <c r="Q109" s="268" t="n"/>
      <c r="R109" s="268" t="n"/>
      <c r="S109" s="268" t="n"/>
      <c r="T109" s="268" t="n"/>
      <c r="U109" s="268" t="n"/>
      <c r="V109" s="268" t="n"/>
      <c r="W109" s="268" t="n"/>
      <c r="X109" s="268" t="n"/>
      <c r="Y109" s="268" t="n"/>
      <c r="Z109" s="268" t="n"/>
    </row>
    <row r="110" ht="15.75" customHeight="1" s="372">
      <c r="A110" s="268" t="n"/>
      <c r="B110" s="268" t="n"/>
      <c r="C110" s="268" t="n"/>
      <c r="D110" s="268" t="n"/>
      <c r="E110" s="268" t="n"/>
      <c r="F110" s="268" t="n"/>
      <c r="G110" s="268" t="n"/>
      <c r="H110" s="268" t="n"/>
      <c r="I110" s="268" t="n"/>
      <c r="J110" s="268" t="n"/>
      <c r="K110" s="268" t="n"/>
      <c r="L110" s="268" t="n"/>
      <c r="M110" s="268" t="n"/>
      <c r="N110" s="268" t="n"/>
      <c r="O110" s="268" t="n"/>
      <c r="P110" s="268" t="n"/>
      <c r="Q110" s="268" t="n"/>
      <c r="R110" s="268" t="n"/>
      <c r="S110" s="268" t="n"/>
      <c r="T110" s="268" t="n"/>
      <c r="U110" s="268" t="n"/>
      <c r="V110" s="268" t="n"/>
      <c r="W110" s="268" t="n"/>
      <c r="X110" s="268" t="n"/>
      <c r="Y110" s="268" t="n"/>
      <c r="Z110" s="268" t="n"/>
    </row>
    <row r="111" ht="15.75" customHeight="1" s="372">
      <c r="A111" s="268" t="n"/>
      <c r="B111" s="268" t="n"/>
      <c r="C111" s="268" t="n"/>
      <c r="D111" s="268" t="n"/>
      <c r="E111" s="268" t="n"/>
      <c r="F111" s="268" t="n"/>
      <c r="G111" s="268" t="n"/>
      <c r="H111" s="268" t="n"/>
      <c r="I111" s="268" t="n"/>
      <c r="J111" s="268" t="n"/>
      <c r="K111" s="268" t="n"/>
      <c r="L111" s="268" t="n"/>
      <c r="M111" s="268" t="n"/>
      <c r="N111" s="268" t="n"/>
      <c r="O111" s="268" t="n"/>
      <c r="P111" s="268" t="n"/>
      <c r="Q111" s="268" t="n"/>
      <c r="R111" s="268" t="n"/>
      <c r="S111" s="268" t="n"/>
      <c r="T111" s="268" t="n"/>
      <c r="U111" s="268" t="n"/>
      <c r="V111" s="268" t="n"/>
      <c r="W111" s="268" t="n"/>
      <c r="X111" s="268" t="n"/>
      <c r="Y111" s="268" t="n"/>
      <c r="Z111" s="268" t="n"/>
    </row>
    <row r="112" ht="15.75" customHeight="1" s="372">
      <c r="A112" s="268" t="n"/>
      <c r="B112" s="268" t="n"/>
      <c r="C112" s="268" t="n"/>
      <c r="D112" s="268" t="n"/>
      <c r="E112" s="268" t="n"/>
      <c r="F112" s="268" t="n"/>
      <c r="G112" s="268" t="n"/>
      <c r="H112" s="268" t="n"/>
      <c r="I112" s="268" t="n"/>
      <c r="J112" s="268" t="n"/>
      <c r="K112" s="268" t="n"/>
      <c r="L112" s="268" t="n"/>
      <c r="M112" s="268" t="n"/>
      <c r="N112" s="268" t="n"/>
      <c r="O112" s="268" t="n"/>
      <c r="P112" s="268" t="n"/>
      <c r="Q112" s="268" t="n"/>
      <c r="R112" s="268" t="n"/>
      <c r="S112" s="268" t="n"/>
      <c r="T112" s="268" t="n"/>
      <c r="U112" s="268" t="n"/>
      <c r="V112" s="268" t="n"/>
      <c r="W112" s="268" t="n"/>
      <c r="X112" s="268" t="n"/>
      <c r="Y112" s="268" t="n"/>
      <c r="Z112" s="268" t="n"/>
    </row>
    <row r="113" ht="15.75" customHeight="1" s="372">
      <c r="A113" s="268" t="n"/>
      <c r="B113" s="268" t="n"/>
      <c r="C113" s="268" t="n"/>
      <c r="D113" s="268" t="n"/>
      <c r="E113" s="268" t="n"/>
      <c r="F113" s="268" t="n"/>
      <c r="G113" s="268" t="n"/>
      <c r="H113" s="268" t="n"/>
      <c r="I113" s="268" t="n"/>
      <c r="J113" s="268" t="n"/>
      <c r="K113" s="268" t="n"/>
      <c r="L113" s="268" t="n"/>
      <c r="M113" s="268" t="n"/>
      <c r="N113" s="268" t="n"/>
      <c r="O113" s="268" t="n"/>
      <c r="P113" s="268" t="n"/>
      <c r="Q113" s="268" t="n"/>
      <c r="R113" s="268" t="n"/>
      <c r="S113" s="268" t="n"/>
      <c r="T113" s="268" t="n"/>
      <c r="U113" s="268" t="n"/>
      <c r="V113" s="268" t="n"/>
      <c r="W113" s="268" t="n"/>
      <c r="X113" s="268" t="n"/>
      <c r="Y113" s="268" t="n"/>
      <c r="Z113" s="268" t="n"/>
    </row>
    <row r="114" ht="15.75" customHeight="1" s="372">
      <c r="A114" s="268" t="n"/>
      <c r="B114" s="268" t="n"/>
      <c r="C114" s="268" t="n"/>
      <c r="D114" s="268" t="n"/>
      <c r="E114" s="268" t="n"/>
      <c r="F114" s="268" t="n"/>
      <c r="G114" s="268" t="n"/>
      <c r="H114" s="268" t="n"/>
      <c r="I114" s="268" t="n"/>
      <c r="J114" s="268" t="n"/>
      <c r="K114" s="268" t="n"/>
      <c r="L114" s="268" t="n"/>
      <c r="M114" s="268" t="n"/>
      <c r="N114" s="268" t="n"/>
      <c r="O114" s="268" t="n"/>
      <c r="P114" s="268" t="n"/>
      <c r="Q114" s="268" t="n"/>
      <c r="R114" s="268" t="n"/>
      <c r="S114" s="268" t="n"/>
      <c r="T114" s="268" t="n"/>
      <c r="U114" s="268" t="n"/>
      <c r="V114" s="268" t="n"/>
      <c r="W114" s="268" t="n"/>
      <c r="X114" s="268" t="n"/>
      <c r="Y114" s="268" t="n"/>
      <c r="Z114" s="268" t="n"/>
    </row>
    <row r="115" ht="15.75" customHeight="1" s="372">
      <c r="A115" s="268" t="n"/>
      <c r="B115" s="268" t="n"/>
      <c r="C115" s="268" t="n"/>
      <c r="D115" s="268" t="n"/>
      <c r="E115" s="268" t="n"/>
      <c r="F115" s="268" t="n"/>
      <c r="G115" s="268" t="n"/>
      <c r="H115" s="268" t="n"/>
      <c r="I115" s="268" t="n"/>
      <c r="J115" s="268" t="n"/>
      <c r="K115" s="268" t="n"/>
      <c r="L115" s="268" t="n"/>
      <c r="M115" s="268" t="n"/>
      <c r="N115" s="268" t="n"/>
      <c r="O115" s="268" t="n"/>
      <c r="P115" s="268" t="n"/>
      <c r="Q115" s="268" t="n"/>
      <c r="R115" s="268" t="n"/>
      <c r="S115" s="268" t="n"/>
      <c r="T115" s="268" t="n"/>
      <c r="U115" s="268" t="n"/>
      <c r="V115" s="268" t="n"/>
      <c r="W115" s="268" t="n"/>
      <c r="X115" s="268" t="n"/>
      <c r="Y115" s="268" t="n"/>
      <c r="Z115" s="268" t="n"/>
    </row>
    <row r="116" ht="15.75" customHeight="1" s="372">
      <c r="A116" s="268" t="n"/>
      <c r="B116" s="268" t="n"/>
      <c r="C116" s="268" t="n"/>
      <c r="D116" s="268" t="n"/>
      <c r="E116" s="268" t="n"/>
      <c r="F116" s="268" t="n"/>
      <c r="G116" s="268" t="n"/>
      <c r="H116" s="268" t="n"/>
      <c r="I116" s="268" t="n"/>
      <c r="J116" s="268" t="n"/>
      <c r="K116" s="268" t="n"/>
      <c r="L116" s="268" t="n"/>
      <c r="M116" s="268" t="n"/>
      <c r="N116" s="268" t="n"/>
      <c r="O116" s="268" t="n"/>
      <c r="P116" s="268" t="n"/>
      <c r="Q116" s="268" t="n"/>
      <c r="R116" s="268" t="n"/>
      <c r="S116" s="268" t="n"/>
      <c r="T116" s="268" t="n"/>
      <c r="U116" s="268" t="n"/>
      <c r="V116" s="268" t="n"/>
      <c r="W116" s="268" t="n"/>
      <c r="X116" s="268" t="n"/>
      <c r="Y116" s="268" t="n"/>
      <c r="Z116" s="268" t="n"/>
    </row>
    <row r="117" ht="15.75" customHeight="1" s="372">
      <c r="A117" s="268" t="n"/>
      <c r="B117" s="268" t="n"/>
      <c r="C117" s="268" t="n"/>
      <c r="D117" s="268" t="n"/>
      <c r="E117" s="268" t="n"/>
      <c r="F117" s="268" t="n"/>
      <c r="G117" s="268" t="n"/>
      <c r="H117" s="268" t="n"/>
      <c r="I117" s="268" t="n"/>
      <c r="J117" s="268" t="n"/>
      <c r="K117" s="268" t="n"/>
      <c r="L117" s="268" t="n"/>
      <c r="M117" s="268" t="n"/>
      <c r="N117" s="268" t="n"/>
      <c r="O117" s="268" t="n"/>
      <c r="P117" s="268" t="n"/>
      <c r="Q117" s="268" t="n"/>
      <c r="R117" s="268" t="n"/>
      <c r="S117" s="268" t="n"/>
      <c r="T117" s="268" t="n"/>
      <c r="U117" s="268" t="n"/>
      <c r="V117" s="268" t="n"/>
      <c r="W117" s="268" t="n"/>
      <c r="X117" s="268" t="n"/>
      <c r="Y117" s="268" t="n"/>
      <c r="Z117" s="268" t="n"/>
    </row>
    <row r="118" ht="15.75" customHeight="1" s="372">
      <c r="A118" s="268" t="n"/>
      <c r="B118" s="268" t="n"/>
      <c r="C118" s="268" t="n"/>
      <c r="D118" s="268" t="n"/>
      <c r="E118" s="268" t="n"/>
      <c r="F118" s="268" t="n"/>
      <c r="G118" s="268" t="n"/>
      <c r="H118" s="268" t="n"/>
      <c r="I118" s="268" t="n"/>
      <c r="J118" s="268" t="n"/>
      <c r="K118" s="268" t="n"/>
      <c r="L118" s="268" t="n"/>
      <c r="M118" s="268" t="n"/>
      <c r="N118" s="268" t="n"/>
      <c r="O118" s="268" t="n"/>
      <c r="P118" s="268" t="n"/>
      <c r="Q118" s="268" t="n"/>
      <c r="R118" s="268" t="n"/>
      <c r="S118" s="268" t="n"/>
      <c r="T118" s="268" t="n"/>
      <c r="U118" s="268" t="n"/>
      <c r="V118" s="268" t="n"/>
      <c r="W118" s="268" t="n"/>
      <c r="X118" s="268" t="n"/>
      <c r="Y118" s="268" t="n"/>
      <c r="Z118" s="268" t="n"/>
    </row>
    <row r="119" ht="15.75" customHeight="1" s="372">
      <c r="A119" s="268" t="n"/>
      <c r="B119" s="268" t="n"/>
      <c r="C119" s="268" t="n"/>
      <c r="D119" s="268" t="n"/>
      <c r="E119" s="268" t="n"/>
      <c r="F119" s="268" t="n"/>
      <c r="G119" s="268" t="n"/>
      <c r="H119" s="268" t="n"/>
      <c r="I119" s="268" t="n"/>
      <c r="J119" s="268" t="n"/>
      <c r="K119" s="268" t="n"/>
      <c r="L119" s="268" t="n"/>
      <c r="M119" s="268" t="n"/>
      <c r="N119" s="268" t="n"/>
      <c r="O119" s="268" t="n"/>
      <c r="P119" s="268" t="n"/>
      <c r="Q119" s="268" t="n"/>
      <c r="R119" s="268" t="n"/>
      <c r="S119" s="268" t="n"/>
      <c r="T119" s="268" t="n"/>
      <c r="U119" s="268" t="n"/>
      <c r="V119" s="268" t="n"/>
      <c r="W119" s="268" t="n"/>
      <c r="X119" s="268" t="n"/>
      <c r="Y119" s="268" t="n"/>
      <c r="Z119" s="268" t="n"/>
    </row>
    <row r="120" ht="15.75" customHeight="1" s="372">
      <c r="A120" s="268" t="n"/>
      <c r="B120" s="268" t="n"/>
      <c r="C120" s="268" t="n"/>
      <c r="D120" s="268" t="n"/>
      <c r="E120" s="268" t="n"/>
      <c r="F120" s="268" t="n"/>
      <c r="G120" s="268" t="n"/>
      <c r="H120" s="268" t="n"/>
      <c r="I120" s="268" t="n"/>
      <c r="J120" s="268" t="n"/>
      <c r="K120" s="268" t="n"/>
      <c r="L120" s="268" t="n"/>
      <c r="M120" s="268" t="n"/>
      <c r="N120" s="268" t="n"/>
      <c r="O120" s="268" t="n"/>
      <c r="P120" s="268" t="n"/>
      <c r="Q120" s="268" t="n"/>
      <c r="R120" s="268" t="n"/>
      <c r="S120" s="268" t="n"/>
      <c r="T120" s="268" t="n"/>
      <c r="U120" s="268" t="n"/>
      <c r="V120" s="268" t="n"/>
      <c r="W120" s="268" t="n"/>
      <c r="X120" s="268" t="n"/>
      <c r="Y120" s="268" t="n"/>
      <c r="Z120" s="268" t="n"/>
    </row>
    <row r="121" ht="15.75" customHeight="1" s="372">
      <c r="A121" s="268" t="n"/>
      <c r="B121" s="268" t="n"/>
      <c r="C121" s="268" t="n"/>
      <c r="D121" s="268" t="n"/>
      <c r="E121" s="268" t="n"/>
      <c r="F121" s="268" t="n"/>
      <c r="G121" s="268" t="n"/>
      <c r="H121" s="268" t="n"/>
      <c r="I121" s="268" t="n"/>
      <c r="J121" s="268" t="n"/>
      <c r="K121" s="268" t="n"/>
      <c r="L121" s="268" t="n"/>
      <c r="M121" s="268" t="n"/>
      <c r="N121" s="268" t="n"/>
      <c r="O121" s="268" t="n"/>
      <c r="P121" s="268" t="n"/>
      <c r="Q121" s="268" t="n"/>
      <c r="R121" s="268" t="n"/>
      <c r="S121" s="268" t="n"/>
      <c r="T121" s="268" t="n"/>
      <c r="U121" s="268" t="n"/>
      <c r="V121" s="268" t="n"/>
      <c r="W121" s="268" t="n"/>
      <c r="X121" s="268" t="n"/>
      <c r="Y121" s="268" t="n"/>
      <c r="Z121" s="268" t="n"/>
    </row>
    <row r="122" ht="15.75" customHeight="1" s="372">
      <c r="A122" s="268" t="n"/>
      <c r="B122" s="268" t="n"/>
      <c r="C122" s="268" t="n"/>
      <c r="D122" s="268" t="n"/>
      <c r="E122" s="268" t="n"/>
      <c r="F122" s="268" t="n"/>
      <c r="G122" s="268" t="n"/>
      <c r="H122" s="268" t="n"/>
      <c r="I122" s="268" t="n"/>
      <c r="J122" s="268" t="n"/>
      <c r="K122" s="268" t="n"/>
      <c r="L122" s="268" t="n"/>
      <c r="M122" s="268" t="n"/>
      <c r="N122" s="268" t="n"/>
      <c r="O122" s="268" t="n"/>
      <c r="P122" s="268" t="n"/>
      <c r="Q122" s="268" t="n"/>
      <c r="R122" s="268" t="n"/>
      <c r="S122" s="268" t="n"/>
      <c r="T122" s="268" t="n"/>
      <c r="U122" s="268" t="n"/>
      <c r="V122" s="268" t="n"/>
      <c r="W122" s="268" t="n"/>
      <c r="X122" s="268" t="n"/>
      <c r="Y122" s="268" t="n"/>
      <c r="Z122" s="268" t="n"/>
    </row>
    <row r="123" ht="15.75" customHeight="1" s="372">
      <c r="A123" s="268" t="n"/>
      <c r="B123" s="268" t="n"/>
      <c r="C123" s="268" t="n"/>
      <c r="D123" s="268" t="n"/>
      <c r="E123" s="268" t="n"/>
      <c r="F123" s="268" t="n"/>
      <c r="G123" s="268" t="n"/>
      <c r="H123" s="268" t="n"/>
      <c r="I123" s="268" t="n"/>
      <c r="J123" s="268" t="n"/>
      <c r="K123" s="268" t="n"/>
      <c r="L123" s="268" t="n"/>
      <c r="M123" s="268" t="n"/>
      <c r="N123" s="268" t="n"/>
      <c r="O123" s="268" t="n"/>
      <c r="P123" s="268" t="n"/>
      <c r="Q123" s="268" t="n"/>
      <c r="R123" s="268" t="n"/>
      <c r="S123" s="268" t="n"/>
      <c r="T123" s="268" t="n"/>
      <c r="U123" s="268" t="n"/>
      <c r="V123" s="268" t="n"/>
      <c r="W123" s="268" t="n"/>
      <c r="X123" s="268" t="n"/>
      <c r="Y123" s="268" t="n"/>
      <c r="Z123" s="268" t="n"/>
    </row>
    <row r="124" ht="15.75" customHeight="1" s="372">
      <c r="A124" s="268" t="n"/>
      <c r="B124" s="268" t="n"/>
      <c r="C124" s="268" t="n"/>
      <c r="D124" s="268" t="n"/>
      <c r="E124" s="268" t="n"/>
      <c r="F124" s="268" t="n"/>
      <c r="G124" s="268" t="n"/>
      <c r="H124" s="268" t="n"/>
      <c r="I124" s="268" t="n"/>
      <c r="J124" s="268" t="n"/>
      <c r="K124" s="268" t="n"/>
      <c r="L124" s="268" t="n"/>
      <c r="M124" s="268" t="n"/>
      <c r="N124" s="268" t="n"/>
      <c r="O124" s="268" t="n"/>
      <c r="P124" s="268" t="n"/>
      <c r="Q124" s="268" t="n"/>
      <c r="R124" s="268" t="n"/>
      <c r="S124" s="268" t="n"/>
      <c r="T124" s="268" t="n"/>
      <c r="U124" s="268" t="n"/>
      <c r="V124" s="268" t="n"/>
      <c r="W124" s="268" t="n"/>
      <c r="X124" s="268" t="n"/>
      <c r="Y124" s="268" t="n"/>
      <c r="Z124" s="268" t="n"/>
    </row>
    <row r="125" ht="15.75" customHeight="1" s="372">
      <c r="A125" s="268" t="n"/>
      <c r="B125" s="268" t="n"/>
      <c r="C125" s="268" t="n"/>
      <c r="D125" s="268" t="n"/>
      <c r="E125" s="268" t="n"/>
      <c r="F125" s="268" t="n"/>
      <c r="G125" s="268" t="n"/>
      <c r="H125" s="268" t="n"/>
      <c r="I125" s="268" t="n"/>
      <c r="J125" s="268" t="n"/>
      <c r="K125" s="268" t="n"/>
      <c r="L125" s="268" t="n"/>
      <c r="M125" s="268" t="n"/>
      <c r="N125" s="268" t="n"/>
      <c r="O125" s="268" t="n"/>
      <c r="P125" s="268" t="n"/>
      <c r="Q125" s="268" t="n"/>
      <c r="R125" s="268" t="n"/>
      <c r="S125" s="268" t="n"/>
      <c r="T125" s="268" t="n"/>
      <c r="U125" s="268" t="n"/>
      <c r="V125" s="268" t="n"/>
      <c r="W125" s="268" t="n"/>
      <c r="X125" s="268" t="n"/>
      <c r="Y125" s="268" t="n"/>
      <c r="Z125" s="268" t="n"/>
    </row>
    <row r="126" ht="15.75" customHeight="1" s="372">
      <c r="A126" s="268" t="n"/>
      <c r="B126" s="268" t="n"/>
      <c r="C126" s="268" t="n"/>
      <c r="D126" s="268" t="n"/>
      <c r="E126" s="268" t="n"/>
      <c r="F126" s="268" t="n"/>
      <c r="G126" s="268" t="n"/>
      <c r="H126" s="268" t="n"/>
      <c r="I126" s="268" t="n"/>
      <c r="J126" s="268" t="n"/>
      <c r="K126" s="268" t="n"/>
      <c r="L126" s="268" t="n"/>
      <c r="M126" s="268" t="n"/>
      <c r="N126" s="268" t="n"/>
      <c r="O126" s="268" t="n"/>
      <c r="P126" s="268" t="n"/>
      <c r="Q126" s="268" t="n"/>
      <c r="R126" s="268" t="n"/>
      <c r="S126" s="268" t="n"/>
      <c r="T126" s="268" t="n"/>
      <c r="U126" s="268" t="n"/>
      <c r="V126" s="268" t="n"/>
      <c r="W126" s="268" t="n"/>
      <c r="X126" s="268" t="n"/>
      <c r="Y126" s="268" t="n"/>
      <c r="Z126" s="268" t="n"/>
    </row>
    <row r="127" ht="15.75" customHeight="1" s="372">
      <c r="A127" s="268" t="n"/>
      <c r="B127" s="268" t="n"/>
      <c r="C127" s="268" t="n"/>
      <c r="D127" s="268" t="n"/>
      <c r="E127" s="268" t="n"/>
      <c r="F127" s="268" t="n"/>
      <c r="G127" s="268" t="n"/>
      <c r="H127" s="268" t="n"/>
      <c r="I127" s="268" t="n"/>
      <c r="J127" s="268" t="n"/>
      <c r="K127" s="268" t="n"/>
      <c r="L127" s="268" t="n"/>
      <c r="M127" s="268" t="n"/>
      <c r="N127" s="268" t="n"/>
      <c r="O127" s="268" t="n"/>
      <c r="P127" s="268" t="n"/>
      <c r="Q127" s="268" t="n"/>
      <c r="R127" s="268" t="n"/>
      <c r="S127" s="268" t="n"/>
      <c r="T127" s="268" t="n"/>
      <c r="U127" s="268" t="n"/>
      <c r="V127" s="268" t="n"/>
      <c r="W127" s="268" t="n"/>
      <c r="X127" s="268" t="n"/>
      <c r="Y127" s="268" t="n"/>
      <c r="Z127" s="268" t="n"/>
    </row>
    <row r="128" ht="15.75" customHeight="1" s="372">
      <c r="A128" s="268" t="n"/>
      <c r="B128" s="268" t="n"/>
      <c r="C128" s="268" t="n"/>
      <c r="D128" s="268" t="n"/>
      <c r="E128" s="268" t="n"/>
      <c r="F128" s="268" t="n"/>
      <c r="G128" s="268" t="n"/>
      <c r="H128" s="268" t="n"/>
      <c r="I128" s="268" t="n"/>
      <c r="J128" s="268" t="n"/>
      <c r="K128" s="268" t="n"/>
      <c r="L128" s="268" t="n"/>
      <c r="M128" s="268" t="n"/>
      <c r="N128" s="268" t="n"/>
      <c r="O128" s="268" t="n"/>
      <c r="P128" s="268" t="n"/>
      <c r="Q128" s="268" t="n"/>
      <c r="R128" s="268" t="n"/>
      <c r="S128" s="268" t="n"/>
      <c r="T128" s="268" t="n"/>
      <c r="U128" s="268" t="n"/>
      <c r="V128" s="268" t="n"/>
      <c r="W128" s="268" t="n"/>
      <c r="X128" s="268" t="n"/>
      <c r="Y128" s="268" t="n"/>
      <c r="Z128" s="268" t="n"/>
    </row>
    <row r="129" ht="15.75" customHeight="1" s="372">
      <c r="A129" s="268" t="n"/>
      <c r="B129" s="268" t="n"/>
      <c r="C129" s="268" t="n"/>
      <c r="D129" s="268" t="n"/>
      <c r="E129" s="268" t="n"/>
      <c r="F129" s="268" t="n"/>
      <c r="G129" s="268" t="n"/>
      <c r="H129" s="268" t="n"/>
      <c r="I129" s="268" t="n"/>
      <c r="J129" s="268" t="n"/>
      <c r="K129" s="268" t="n"/>
      <c r="L129" s="268" t="n"/>
      <c r="M129" s="268" t="n"/>
      <c r="N129" s="268" t="n"/>
      <c r="O129" s="268" t="n"/>
      <c r="P129" s="268" t="n"/>
      <c r="Q129" s="268" t="n"/>
      <c r="R129" s="268" t="n"/>
      <c r="S129" s="268" t="n"/>
      <c r="T129" s="268" t="n"/>
      <c r="U129" s="268" t="n"/>
      <c r="V129" s="268" t="n"/>
      <c r="W129" s="268" t="n"/>
      <c r="X129" s="268" t="n"/>
      <c r="Y129" s="268" t="n"/>
      <c r="Z129" s="268" t="n"/>
    </row>
    <row r="130" ht="15.75" customHeight="1" s="372">
      <c r="A130" s="268" t="n"/>
      <c r="B130" s="268" t="n"/>
      <c r="C130" s="268" t="n"/>
      <c r="D130" s="268" t="n"/>
      <c r="E130" s="268" t="n"/>
      <c r="F130" s="268" t="n"/>
      <c r="G130" s="268" t="n"/>
      <c r="H130" s="268" t="n"/>
      <c r="I130" s="268" t="n"/>
      <c r="J130" s="268" t="n"/>
      <c r="K130" s="268" t="n"/>
      <c r="L130" s="268" t="n"/>
      <c r="M130" s="268" t="n"/>
      <c r="N130" s="268" t="n"/>
      <c r="O130" s="268" t="n"/>
      <c r="P130" s="268" t="n"/>
      <c r="Q130" s="268" t="n"/>
      <c r="R130" s="268" t="n"/>
      <c r="S130" s="268" t="n"/>
      <c r="T130" s="268" t="n"/>
      <c r="U130" s="268" t="n"/>
      <c r="V130" s="268" t="n"/>
      <c r="W130" s="268" t="n"/>
      <c r="X130" s="268" t="n"/>
      <c r="Y130" s="268" t="n"/>
      <c r="Z130" s="268" t="n"/>
    </row>
    <row r="131" ht="15.75" customHeight="1" s="372">
      <c r="A131" s="268" t="n"/>
      <c r="B131" s="268" t="n"/>
      <c r="C131" s="268" t="n"/>
      <c r="D131" s="268" t="n"/>
      <c r="E131" s="268" t="n"/>
      <c r="F131" s="268" t="n"/>
      <c r="G131" s="268" t="n"/>
      <c r="H131" s="268" t="n"/>
      <c r="I131" s="268" t="n"/>
      <c r="J131" s="268" t="n"/>
      <c r="K131" s="268" t="n"/>
      <c r="L131" s="268" t="n"/>
      <c r="M131" s="268" t="n"/>
      <c r="N131" s="268" t="n"/>
      <c r="O131" s="268" t="n"/>
      <c r="P131" s="268" t="n"/>
      <c r="Q131" s="268" t="n"/>
      <c r="R131" s="268" t="n"/>
      <c r="S131" s="268" t="n"/>
      <c r="T131" s="268" t="n"/>
      <c r="U131" s="268" t="n"/>
      <c r="V131" s="268" t="n"/>
      <c r="W131" s="268" t="n"/>
      <c r="X131" s="268" t="n"/>
      <c r="Y131" s="268" t="n"/>
      <c r="Z131" s="268" t="n"/>
    </row>
    <row r="132" ht="15.75" customHeight="1" s="372">
      <c r="A132" s="268" t="n"/>
      <c r="B132" s="268" t="n"/>
      <c r="C132" s="268" t="n"/>
      <c r="D132" s="268" t="n"/>
      <c r="E132" s="268" t="n"/>
      <c r="F132" s="268" t="n"/>
      <c r="G132" s="268" t="n"/>
      <c r="H132" s="268" t="n"/>
      <c r="I132" s="268" t="n"/>
      <c r="J132" s="268" t="n"/>
      <c r="K132" s="268" t="n"/>
      <c r="L132" s="268" t="n"/>
      <c r="M132" s="268" t="n"/>
      <c r="N132" s="268" t="n"/>
      <c r="O132" s="268" t="n"/>
      <c r="P132" s="268" t="n"/>
      <c r="Q132" s="268" t="n"/>
      <c r="R132" s="268" t="n"/>
      <c r="S132" s="268" t="n"/>
      <c r="T132" s="268" t="n"/>
      <c r="U132" s="268" t="n"/>
      <c r="V132" s="268" t="n"/>
      <c r="W132" s="268" t="n"/>
      <c r="X132" s="268" t="n"/>
      <c r="Y132" s="268" t="n"/>
      <c r="Z132" s="268" t="n"/>
    </row>
    <row r="133" ht="15.75" customHeight="1" s="372">
      <c r="A133" s="268" t="n"/>
      <c r="B133" s="268" t="n"/>
      <c r="C133" s="268" t="n"/>
      <c r="D133" s="268" t="n"/>
      <c r="E133" s="268" t="n"/>
      <c r="F133" s="268" t="n"/>
      <c r="G133" s="268" t="n"/>
      <c r="H133" s="268" t="n"/>
      <c r="I133" s="268" t="n"/>
      <c r="J133" s="268" t="n"/>
      <c r="K133" s="268" t="n"/>
      <c r="L133" s="268" t="n"/>
      <c r="M133" s="268" t="n"/>
      <c r="N133" s="268" t="n"/>
      <c r="O133" s="268" t="n"/>
      <c r="P133" s="268" t="n"/>
      <c r="Q133" s="268" t="n"/>
      <c r="R133" s="268" t="n"/>
      <c r="S133" s="268" t="n"/>
      <c r="T133" s="268" t="n"/>
      <c r="U133" s="268" t="n"/>
      <c r="V133" s="268" t="n"/>
      <c r="W133" s="268" t="n"/>
      <c r="X133" s="268" t="n"/>
      <c r="Y133" s="268" t="n"/>
      <c r="Z133" s="268" t="n"/>
    </row>
    <row r="134" ht="15.75" customHeight="1" s="372">
      <c r="A134" s="268" t="n"/>
      <c r="B134" s="268" t="n"/>
      <c r="C134" s="268" t="n"/>
      <c r="D134" s="268" t="n"/>
      <c r="E134" s="268" t="n"/>
      <c r="F134" s="268" t="n"/>
      <c r="G134" s="268" t="n"/>
      <c r="H134" s="268" t="n"/>
      <c r="I134" s="268" t="n"/>
      <c r="J134" s="268" t="n"/>
      <c r="K134" s="268" t="n"/>
      <c r="L134" s="268" t="n"/>
      <c r="M134" s="268" t="n"/>
      <c r="N134" s="268" t="n"/>
      <c r="O134" s="268" t="n"/>
      <c r="P134" s="268" t="n"/>
      <c r="Q134" s="268" t="n"/>
      <c r="R134" s="268" t="n"/>
      <c r="S134" s="268" t="n"/>
      <c r="T134" s="268" t="n"/>
      <c r="U134" s="268" t="n"/>
      <c r="V134" s="268" t="n"/>
      <c r="W134" s="268" t="n"/>
      <c r="X134" s="268" t="n"/>
      <c r="Y134" s="268" t="n"/>
      <c r="Z134" s="268" t="n"/>
    </row>
    <row r="135" ht="15.75" customHeight="1" s="372">
      <c r="A135" s="268" t="n"/>
      <c r="B135" s="268" t="n"/>
      <c r="C135" s="268" t="n"/>
      <c r="D135" s="268" t="n"/>
      <c r="E135" s="268" t="n"/>
      <c r="F135" s="268" t="n"/>
      <c r="G135" s="268" t="n"/>
      <c r="H135" s="268" t="n"/>
      <c r="I135" s="268" t="n"/>
      <c r="J135" s="268" t="n"/>
      <c r="K135" s="268" t="n"/>
      <c r="L135" s="268" t="n"/>
      <c r="M135" s="268" t="n"/>
      <c r="N135" s="268" t="n"/>
      <c r="O135" s="268" t="n"/>
      <c r="P135" s="268" t="n"/>
      <c r="Q135" s="268" t="n"/>
      <c r="R135" s="268" t="n"/>
      <c r="S135" s="268" t="n"/>
      <c r="T135" s="268" t="n"/>
      <c r="U135" s="268" t="n"/>
      <c r="V135" s="268" t="n"/>
      <c r="W135" s="268" t="n"/>
      <c r="X135" s="268" t="n"/>
      <c r="Y135" s="268" t="n"/>
      <c r="Z135" s="268" t="n"/>
    </row>
    <row r="136" ht="15.75" customHeight="1" s="372">
      <c r="A136" s="268" t="n"/>
      <c r="B136" s="268" t="n"/>
      <c r="C136" s="268" t="n"/>
      <c r="D136" s="268" t="n"/>
      <c r="E136" s="268" t="n"/>
      <c r="F136" s="268" t="n"/>
      <c r="G136" s="268" t="n"/>
      <c r="H136" s="268" t="n"/>
      <c r="I136" s="268" t="n"/>
      <c r="J136" s="268" t="n"/>
      <c r="K136" s="268" t="n"/>
      <c r="L136" s="268" t="n"/>
      <c r="M136" s="268" t="n"/>
      <c r="N136" s="268" t="n"/>
      <c r="O136" s="268" t="n"/>
      <c r="P136" s="268" t="n"/>
      <c r="Q136" s="268" t="n"/>
      <c r="R136" s="268" t="n"/>
      <c r="S136" s="268" t="n"/>
      <c r="T136" s="268" t="n"/>
      <c r="U136" s="268" t="n"/>
      <c r="V136" s="268" t="n"/>
      <c r="W136" s="268" t="n"/>
      <c r="X136" s="268" t="n"/>
      <c r="Y136" s="268" t="n"/>
      <c r="Z136" s="268" t="n"/>
    </row>
    <row r="137" ht="15.75" customHeight="1" s="372">
      <c r="A137" s="268" t="n"/>
      <c r="B137" s="268" t="n"/>
      <c r="C137" s="268" t="n"/>
      <c r="D137" s="268" t="n"/>
      <c r="E137" s="268" t="n"/>
      <c r="F137" s="268" t="n"/>
      <c r="G137" s="268" t="n"/>
      <c r="H137" s="268" t="n"/>
      <c r="I137" s="268" t="n"/>
      <c r="J137" s="268" t="n"/>
      <c r="K137" s="268" t="n"/>
      <c r="L137" s="268" t="n"/>
      <c r="M137" s="268" t="n"/>
      <c r="N137" s="268" t="n"/>
      <c r="O137" s="268" t="n"/>
      <c r="P137" s="268" t="n"/>
      <c r="Q137" s="268" t="n"/>
      <c r="R137" s="268" t="n"/>
      <c r="S137" s="268" t="n"/>
      <c r="T137" s="268" t="n"/>
      <c r="U137" s="268" t="n"/>
      <c r="V137" s="268" t="n"/>
      <c r="W137" s="268" t="n"/>
      <c r="X137" s="268" t="n"/>
      <c r="Y137" s="268" t="n"/>
      <c r="Z137" s="268" t="n"/>
    </row>
    <row r="138" ht="15.75" customHeight="1" s="372">
      <c r="A138" s="268" t="n"/>
      <c r="B138" s="268" t="n"/>
      <c r="C138" s="268" t="n"/>
      <c r="D138" s="268" t="n"/>
      <c r="E138" s="268" t="n"/>
      <c r="F138" s="268" t="n"/>
      <c r="G138" s="268" t="n"/>
      <c r="H138" s="268" t="n"/>
      <c r="I138" s="268" t="n"/>
      <c r="J138" s="268" t="n"/>
      <c r="K138" s="268" t="n"/>
      <c r="L138" s="268" t="n"/>
      <c r="M138" s="268" t="n"/>
      <c r="N138" s="268" t="n"/>
      <c r="O138" s="268" t="n"/>
      <c r="P138" s="268" t="n"/>
      <c r="Q138" s="268" t="n"/>
      <c r="R138" s="268" t="n"/>
      <c r="S138" s="268" t="n"/>
      <c r="T138" s="268" t="n"/>
      <c r="U138" s="268" t="n"/>
      <c r="V138" s="268" t="n"/>
      <c r="W138" s="268" t="n"/>
      <c r="X138" s="268" t="n"/>
      <c r="Y138" s="268" t="n"/>
      <c r="Z138" s="268" t="n"/>
    </row>
    <row r="139" ht="15.75" customHeight="1" s="372">
      <c r="A139" s="268" t="n"/>
      <c r="B139" s="268" t="n"/>
      <c r="C139" s="268" t="n"/>
      <c r="D139" s="268" t="n"/>
      <c r="E139" s="268" t="n"/>
      <c r="F139" s="268" t="n"/>
      <c r="G139" s="268" t="n"/>
      <c r="H139" s="268" t="n"/>
      <c r="I139" s="268" t="n"/>
      <c r="J139" s="268" t="n"/>
      <c r="K139" s="268" t="n"/>
      <c r="L139" s="268" t="n"/>
      <c r="M139" s="268" t="n"/>
      <c r="N139" s="268" t="n"/>
      <c r="O139" s="268" t="n"/>
      <c r="P139" s="268" t="n"/>
      <c r="Q139" s="268" t="n"/>
      <c r="R139" s="268" t="n"/>
      <c r="S139" s="268" t="n"/>
      <c r="T139" s="268" t="n"/>
      <c r="U139" s="268" t="n"/>
      <c r="V139" s="268" t="n"/>
      <c r="W139" s="268" t="n"/>
      <c r="X139" s="268" t="n"/>
      <c r="Y139" s="268" t="n"/>
      <c r="Z139" s="268" t="n"/>
    </row>
    <row r="140" ht="15.75" customHeight="1" s="372">
      <c r="A140" s="268" t="n"/>
      <c r="B140" s="268" t="n"/>
      <c r="C140" s="268" t="n"/>
      <c r="D140" s="268" t="n"/>
      <c r="E140" s="268" t="n"/>
      <c r="F140" s="268" t="n"/>
      <c r="G140" s="268" t="n"/>
      <c r="H140" s="268" t="n"/>
      <c r="I140" s="268" t="n"/>
      <c r="J140" s="268" t="n"/>
      <c r="K140" s="268" t="n"/>
      <c r="L140" s="268" t="n"/>
      <c r="M140" s="268" t="n"/>
      <c r="N140" s="268" t="n"/>
      <c r="O140" s="268" t="n"/>
      <c r="P140" s="268" t="n"/>
      <c r="Q140" s="268" t="n"/>
      <c r="R140" s="268" t="n"/>
      <c r="S140" s="268" t="n"/>
      <c r="T140" s="268" t="n"/>
      <c r="U140" s="268" t="n"/>
      <c r="V140" s="268" t="n"/>
      <c r="W140" s="268" t="n"/>
      <c r="X140" s="268" t="n"/>
      <c r="Y140" s="268" t="n"/>
      <c r="Z140" s="268" t="n"/>
    </row>
    <row r="141" ht="15.75" customHeight="1" s="372">
      <c r="A141" s="268" t="n"/>
      <c r="B141" s="268" t="n"/>
      <c r="C141" s="268" t="n"/>
      <c r="D141" s="268" t="n"/>
      <c r="E141" s="268" t="n"/>
      <c r="F141" s="268" t="n"/>
      <c r="G141" s="268" t="n"/>
      <c r="H141" s="268" t="n"/>
      <c r="I141" s="268" t="n"/>
      <c r="J141" s="268" t="n"/>
      <c r="K141" s="268" t="n"/>
      <c r="L141" s="268" t="n"/>
      <c r="M141" s="268" t="n"/>
      <c r="N141" s="268" t="n"/>
      <c r="O141" s="268" t="n"/>
      <c r="P141" s="268" t="n"/>
      <c r="Q141" s="268" t="n"/>
      <c r="R141" s="268" t="n"/>
      <c r="S141" s="268" t="n"/>
      <c r="T141" s="268" t="n"/>
      <c r="U141" s="268" t="n"/>
      <c r="V141" s="268" t="n"/>
      <c r="W141" s="268" t="n"/>
      <c r="X141" s="268" t="n"/>
      <c r="Y141" s="268" t="n"/>
      <c r="Z141" s="268" t="n"/>
    </row>
    <row r="142" ht="15.75" customHeight="1" s="372">
      <c r="A142" s="268" t="n"/>
      <c r="B142" s="268" t="n"/>
      <c r="C142" s="268" t="n"/>
      <c r="D142" s="268" t="n"/>
      <c r="E142" s="268" t="n"/>
      <c r="F142" s="268" t="n"/>
      <c r="G142" s="268" t="n"/>
      <c r="H142" s="268" t="n"/>
      <c r="I142" s="268" t="n"/>
      <c r="J142" s="268" t="n"/>
      <c r="K142" s="268" t="n"/>
      <c r="L142" s="268" t="n"/>
      <c r="M142" s="268" t="n"/>
      <c r="N142" s="268" t="n"/>
      <c r="O142" s="268" t="n"/>
      <c r="P142" s="268" t="n"/>
      <c r="Q142" s="268" t="n"/>
      <c r="R142" s="268" t="n"/>
      <c r="S142" s="268" t="n"/>
      <c r="T142" s="268" t="n"/>
      <c r="U142" s="268" t="n"/>
      <c r="V142" s="268" t="n"/>
      <c r="W142" s="268" t="n"/>
      <c r="X142" s="268" t="n"/>
      <c r="Y142" s="268" t="n"/>
      <c r="Z142" s="268" t="n"/>
    </row>
    <row r="143" ht="15.75" customHeight="1" s="372">
      <c r="A143" s="268" t="n"/>
      <c r="B143" s="268" t="n"/>
      <c r="C143" s="268" t="n"/>
      <c r="D143" s="268" t="n"/>
      <c r="E143" s="268" t="n"/>
      <c r="F143" s="268" t="n"/>
      <c r="G143" s="268" t="n"/>
      <c r="H143" s="268" t="n"/>
      <c r="I143" s="268" t="n"/>
      <c r="J143" s="268" t="n"/>
      <c r="K143" s="268" t="n"/>
      <c r="L143" s="268" t="n"/>
      <c r="M143" s="268" t="n"/>
      <c r="N143" s="268" t="n"/>
      <c r="O143" s="268" t="n"/>
      <c r="P143" s="268" t="n"/>
      <c r="Q143" s="268" t="n"/>
      <c r="R143" s="268" t="n"/>
      <c r="S143" s="268" t="n"/>
      <c r="T143" s="268" t="n"/>
      <c r="U143" s="268" t="n"/>
      <c r="V143" s="268" t="n"/>
      <c r="W143" s="268" t="n"/>
      <c r="X143" s="268" t="n"/>
      <c r="Y143" s="268" t="n"/>
      <c r="Z143" s="268" t="n"/>
    </row>
    <row r="144" ht="15.75" customHeight="1" s="372">
      <c r="A144" s="268" t="n"/>
      <c r="B144" s="268" t="n"/>
      <c r="C144" s="268" t="n"/>
      <c r="D144" s="268" t="n"/>
      <c r="E144" s="268" t="n"/>
      <c r="F144" s="268" t="n"/>
      <c r="G144" s="268" t="n"/>
      <c r="H144" s="268" t="n"/>
      <c r="I144" s="268" t="n"/>
      <c r="J144" s="268" t="n"/>
      <c r="K144" s="268" t="n"/>
      <c r="L144" s="268" t="n"/>
      <c r="M144" s="268" t="n"/>
      <c r="N144" s="268" t="n"/>
      <c r="O144" s="268" t="n"/>
      <c r="P144" s="268" t="n"/>
      <c r="Q144" s="268" t="n"/>
      <c r="R144" s="268" t="n"/>
      <c r="S144" s="268" t="n"/>
      <c r="T144" s="268" t="n"/>
      <c r="U144" s="268" t="n"/>
      <c r="V144" s="268" t="n"/>
      <c r="W144" s="268" t="n"/>
      <c r="X144" s="268" t="n"/>
      <c r="Y144" s="268" t="n"/>
      <c r="Z144" s="268" t="n"/>
    </row>
    <row r="145" ht="15.75" customHeight="1" s="372">
      <c r="A145" s="268" t="n"/>
      <c r="B145" s="268" t="n"/>
      <c r="C145" s="268" t="n"/>
      <c r="D145" s="268" t="n"/>
      <c r="E145" s="268" t="n"/>
      <c r="F145" s="268" t="n"/>
      <c r="G145" s="268" t="n"/>
      <c r="H145" s="268" t="n"/>
      <c r="I145" s="268" t="n"/>
      <c r="J145" s="268" t="n"/>
      <c r="K145" s="268" t="n"/>
      <c r="L145" s="268" t="n"/>
      <c r="M145" s="268" t="n"/>
      <c r="N145" s="268" t="n"/>
      <c r="O145" s="268" t="n"/>
      <c r="P145" s="268" t="n"/>
      <c r="Q145" s="268" t="n"/>
      <c r="R145" s="268" t="n"/>
      <c r="S145" s="268" t="n"/>
      <c r="T145" s="268" t="n"/>
      <c r="U145" s="268" t="n"/>
      <c r="V145" s="268" t="n"/>
      <c r="W145" s="268" t="n"/>
      <c r="X145" s="268" t="n"/>
      <c r="Y145" s="268" t="n"/>
      <c r="Z145" s="268" t="n"/>
    </row>
    <row r="146" ht="15.75" customHeight="1" s="372">
      <c r="A146" s="268" t="n"/>
      <c r="B146" s="268" t="n"/>
      <c r="C146" s="268" t="n"/>
      <c r="D146" s="268" t="n"/>
      <c r="E146" s="268" t="n"/>
      <c r="F146" s="268" t="n"/>
      <c r="G146" s="268" t="n"/>
      <c r="H146" s="268" t="n"/>
      <c r="I146" s="268" t="n"/>
      <c r="J146" s="268" t="n"/>
      <c r="K146" s="268" t="n"/>
      <c r="L146" s="268" t="n"/>
      <c r="M146" s="268" t="n"/>
      <c r="N146" s="268" t="n"/>
      <c r="O146" s="268" t="n"/>
      <c r="P146" s="268" t="n"/>
      <c r="Q146" s="268" t="n"/>
      <c r="R146" s="268" t="n"/>
      <c r="S146" s="268" t="n"/>
      <c r="T146" s="268" t="n"/>
      <c r="U146" s="268" t="n"/>
      <c r="V146" s="268" t="n"/>
      <c r="W146" s="268" t="n"/>
      <c r="X146" s="268" t="n"/>
      <c r="Y146" s="268" t="n"/>
      <c r="Z146" s="268" t="n"/>
    </row>
    <row r="147" ht="15.75" customHeight="1" s="372">
      <c r="A147" s="268" t="n"/>
      <c r="B147" s="268" t="n"/>
      <c r="C147" s="268" t="n"/>
      <c r="D147" s="268" t="n"/>
      <c r="E147" s="268" t="n"/>
      <c r="F147" s="268" t="n"/>
      <c r="G147" s="268" t="n"/>
      <c r="H147" s="268" t="n"/>
      <c r="I147" s="268" t="n"/>
      <c r="J147" s="268" t="n"/>
      <c r="K147" s="268" t="n"/>
      <c r="L147" s="268" t="n"/>
      <c r="M147" s="268" t="n"/>
      <c r="N147" s="268" t="n"/>
      <c r="O147" s="268" t="n"/>
      <c r="P147" s="268" t="n"/>
      <c r="Q147" s="268" t="n"/>
      <c r="R147" s="268" t="n"/>
      <c r="S147" s="268" t="n"/>
      <c r="T147" s="268" t="n"/>
      <c r="U147" s="268" t="n"/>
      <c r="V147" s="268" t="n"/>
      <c r="W147" s="268" t="n"/>
      <c r="X147" s="268" t="n"/>
      <c r="Y147" s="268" t="n"/>
      <c r="Z147" s="268" t="n"/>
    </row>
    <row r="148" ht="15.75" customHeight="1" s="372">
      <c r="A148" s="268" t="n"/>
      <c r="B148" s="268" t="n"/>
      <c r="C148" s="268" t="n"/>
      <c r="D148" s="268" t="n"/>
      <c r="E148" s="268" t="n"/>
      <c r="F148" s="268" t="n"/>
      <c r="G148" s="268" t="n"/>
      <c r="H148" s="268" t="n"/>
      <c r="I148" s="268" t="n"/>
      <c r="J148" s="268" t="n"/>
      <c r="K148" s="268" t="n"/>
      <c r="L148" s="268" t="n"/>
      <c r="M148" s="268" t="n"/>
      <c r="N148" s="268" t="n"/>
      <c r="O148" s="268" t="n"/>
      <c r="P148" s="268" t="n"/>
      <c r="Q148" s="268" t="n"/>
      <c r="R148" s="268" t="n"/>
      <c r="S148" s="268" t="n"/>
      <c r="T148" s="268" t="n"/>
      <c r="U148" s="268" t="n"/>
      <c r="V148" s="268" t="n"/>
      <c r="W148" s="268" t="n"/>
      <c r="X148" s="268" t="n"/>
      <c r="Y148" s="268" t="n"/>
      <c r="Z148" s="268" t="n"/>
    </row>
    <row r="149" ht="15.75" customHeight="1" s="372">
      <c r="A149" s="268" t="n"/>
      <c r="B149" s="268" t="n"/>
      <c r="C149" s="268" t="n"/>
      <c r="D149" s="268" t="n"/>
      <c r="E149" s="268" t="n"/>
      <c r="F149" s="268" t="n"/>
      <c r="G149" s="268" t="n"/>
      <c r="H149" s="268" t="n"/>
      <c r="I149" s="268" t="n"/>
      <c r="J149" s="268" t="n"/>
      <c r="K149" s="268" t="n"/>
      <c r="L149" s="268" t="n"/>
      <c r="M149" s="268" t="n"/>
      <c r="N149" s="268" t="n"/>
      <c r="O149" s="268" t="n"/>
      <c r="P149" s="268" t="n"/>
      <c r="Q149" s="268" t="n"/>
      <c r="R149" s="268" t="n"/>
      <c r="S149" s="268" t="n"/>
      <c r="T149" s="268" t="n"/>
      <c r="U149" s="268" t="n"/>
      <c r="V149" s="268" t="n"/>
      <c r="W149" s="268" t="n"/>
      <c r="X149" s="268" t="n"/>
      <c r="Y149" s="268" t="n"/>
      <c r="Z149" s="268" t="n"/>
    </row>
    <row r="150" ht="15.75" customHeight="1" s="372">
      <c r="A150" s="268" t="n"/>
      <c r="B150" s="268" t="n"/>
      <c r="C150" s="268" t="n"/>
      <c r="D150" s="268" t="n"/>
      <c r="E150" s="268" t="n"/>
      <c r="F150" s="268" t="n"/>
      <c r="G150" s="268" t="n"/>
      <c r="H150" s="268" t="n"/>
      <c r="I150" s="268" t="n"/>
      <c r="J150" s="268" t="n"/>
      <c r="K150" s="268" t="n"/>
      <c r="L150" s="268" t="n"/>
      <c r="M150" s="268" t="n"/>
      <c r="N150" s="268" t="n"/>
      <c r="O150" s="268" t="n"/>
      <c r="P150" s="268" t="n"/>
      <c r="Q150" s="268" t="n"/>
      <c r="R150" s="268" t="n"/>
      <c r="S150" s="268" t="n"/>
      <c r="T150" s="268" t="n"/>
      <c r="U150" s="268" t="n"/>
      <c r="V150" s="268" t="n"/>
      <c r="W150" s="268" t="n"/>
      <c r="X150" s="268" t="n"/>
      <c r="Y150" s="268" t="n"/>
      <c r="Z150" s="268" t="n"/>
    </row>
    <row r="151" ht="15.75" customHeight="1" s="372">
      <c r="A151" s="268" t="n"/>
      <c r="B151" s="268" t="n"/>
      <c r="C151" s="268" t="n"/>
      <c r="D151" s="268" t="n"/>
      <c r="E151" s="268" t="n"/>
      <c r="F151" s="268" t="n"/>
      <c r="G151" s="268" t="n"/>
      <c r="H151" s="268" t="n"/>
      <c r="I151" s="268" t="n"/>
      <c r="J151" s="268" t="n"/>
      <c r="K151" s="268" t="n"/>
      <c r="L151" s="268" t="n"/>
      <c r="M151" s="268" t="n"/>
      <c r="N151" s="268" t="n"/>
      <c r="O151" s="268" t="n"/>
      <c r="P151" s="268" t="n"/>
      <c r="Q151" s="268" t="n"/>
      <c r="R151" s="268" t="n"/>
      <c r="S151" s="268" t="n"/>
      <c r="T151" s="268" t="n"/>
      <c r="U151" s="268" t="n"/>
      <c r="V151" s="268" t="n"/>
      <c r="W151" s="268" t="n"/>
      <c r="X151" s="268" t="n"/>
      <c r="Y151" s="268" t="n"/>
      <c r="Z151" s="268" t="n"/>
    </row>
    <row r="152" ht="15.75" customHeight="1" s="372">
      <c r="A152" s="268" t="n"/>
      <c r="B152" s="268" t="n"/>
      <c r="C152" s="268" t="n"/>
      <c r="D152" s="268" t="n"/>
      <c r="E152" s="268" t="n"/>
      <c r="F152" s="268" t="n"/>
      <c r="G152" s="268" t="n"/>
      <c r="H152" s="268" t="n"/>
      <c r="I152" s="268" t="n"/>
      <c r="J152" s="268" t="n"/>
      <c r="K152" s="268" t="n"/>
      <c r="L152" s="268" t="n"/>
      <c r="M152" s="268" t="n"/>
      <c r="N152" s="268" t="n"/>
      <c r="O152" s="268" t="n"/>
      <c r="P152" s="268" t="n"/>
      <c r="Q152" s="268" t="n"/>
      <c r="R152" s="268" t="n"/>
      <c r="S152" s="268" t="n"/>
      <c r="T152" s="268" t="n"/>
      <c r="U152" s="268" t="n"/>
      <c r="V152" s="268" t="n"/>
      <c r="W152" s="268" t="n"/>
      <c r="X152" s="268" t="n"/>
      <c r="Y152" s="268" t="n"/>
      <c r="Z152" s="268" t="n"/>
    </row>
    <row r="153" ht="15.75" customHeight="1" s="372">
      <c r="A153" s="268" t="n"/>
      <c r="B153" s="268" t="n"/>
      <c r="C153" s="268" t="n"/>
      <c r="D153" s="268" t="n"/>
      <c r="E153" s="268" t="n"/>
      <c r="F153" s="268" t="n"/>
      <c r="G153" s="268" t="n"/>
      <c r="H153" s="268" t="n"/>
      <c r="I153" s="268" t="n"/>
      <c r="J153" s="268" t="n"/>
      <c r="K153" s="268" t="n"/>
      <c r="L153" s="268" t="n"/>
      <c r="M153" s="268" t="n"/>
      <c r="N153" s="268" t="n"/>
      <c r="O153" s="268" t="n"/>
      <c r="P153" s="268" t="n"/>
      <c r="Q153" s="268" t="n"/>
      <c r="R153" s="268" t="n"/>
      <c r="S153" s="268" t="n"/>
      <c r="T153" s="268" t="n"/>
      <c r="U153" s="268" t="n"/>
      <c r="V153" s="268" t="n"/>
      <c r="W153" s="268" t="n"/>
      <c r="X153" s="268" t="n"/>
      <c r="Y153" s="268" t="n"/>
      <c r="Z153" s="268" t="n"/>
    </row>
    <row r="154" ht="15.75" customHeight="1" s="372">
      <c r="A154" s="268" t="n"/>
      <c r="B154" s="268" t="n"/>
      <c r="C154" s="268" t="n"/>
      <c r="D154" s="268" t="n"/>
      <c r="E154" s="268" t="n"/>
      <c r="F154" s="268" t="n"/>
      <c r="G154" s="268" t="n"/>
      <c r="H154" s="268" t="n"/>
      <c r="I154" s="268" t="n"/>
      <c r="J154" s="268" t="n"/>
      <c r="K154" s="268" t="n"/>
      <c r="L154" s="268" t="n"/>
      <c r="M154" s="268" t="n"/>
      <c r="N154" s="268" t="n"/>
      <c r="O154" s="268" t="n"/>
      <c r="P154" s="268" t="n"/>
      <c r="Q154" s="268" t="n"/>
      <c r="R154" s="268" t="n"/>
      <c r="S154" s="268" t="n"/>
      <c r="T154" s="268" t="n"/>
      <c r="U154" s="268" t="n"/>
      <c r="V154" s="268" t="n"/>
      <c r="W154" s="268" t="n"/>
      <c r="X154" s="268" t="n"/>
      <c r="Y154" s="268" t="n"/>
      <c r="Z154" s="268" t="n"/>
    </row>
    <row r="155" ht="15.75" customHeight="1" s="372">
      <c r="A155" s="268" t="n"/>
      <c r="B155" s="268" t="n"/>
      <c r="C155" s="268" t="n"/>
      <c r="D155" s="268" t="n"/>
      <c r="E155" s="268" t="n"/>
      <c r="F155" s="268" t="n"/>
      <c r="G155" s="268" t="n"/>
      <c r="H155" s="268" t="n"/>
      <c r="I155" s="268" t="n"/>
      <c r="J155" s="268" t="n"/>
      <c r="K155" s="268" t="n"/>
      <c r="L155" s="268" t="n"/>
      <c r="M155" s="268" t="n"/>
      <c r="N155" s="268" t="n"/>
      <c r="O155" s="268" t="n"/>
      <c r="P155" s="268" t="n"/>
      <c r="Q155" s="268" t="n"/>
      <c r="R155" s="268" t="n"/>
      <c r="S155" s="268" t="n"/>
      <c r="T155" s="268" t="n"/>
      <c r="U155" s="268" t="n"/>
      <c r="V155" s="268" t="n"/>
      <c r="W155" s="268" t="n"/>
      <c r="X155" s="268" t="n"/>
      <c r="Y155" s="268" t="n"/>
      <c r="Z155" s="268" t="n"/>
    </row>
    <row r="156" ht="15.75" customHeight="1" s="372">
      <c r="A156" s="268" t="n"/>
      <c r="B156" s="268" t="n"/>
      <c r="C156" s="268" t="n"/>
      <c r="D156" s="268" t="n"/>
      <c r="E156" s="268" t="n"/>
      <c r="F156" s="268" t="n"/>
      <c r="G156" s="268" t="n"/>
      <c r="H156" s="268" t="n"/>
      <c r="I156" s="268" t="n"/>
      <c r="J156" s="268" t="n"/>
      <c r="K156" s="268" t="n"/>
      <c r="L156" s="268" t="n"/>
      <c r="M156" s="268" t="n"/>
      <c r="N156" s="268" t="n"/>
      <c r="O156" s="268" t="n"/>
      <c r="P156" s="268" t="n"/>
      <c r="Q156" s="268" t="n"/>
      <c r="R156" s="268" t="n"/>
      <c r="S156" s="268" t="n"/>
      <c r="T156" s="268" t="n"/>
      <c r="U156" s="268" t="n"/>
      <c r="V156" s="268" t="n"/>
      <c r="W156" s="268" t="n"/>
      <c r="X156" s="268" t="n"/>
      <c r="Y156" s="268" t="n"/>
      <c r="Z156" s="268" t="n"/>
    </row>
    <row r="157" ht="15.75" customHeight="1" s="372">
      <c r="A157" s="268" t="n"/>
      <c r="B157" s="268" t="n"/>
      <c r="C157" s="268" t="n"/>
      <c r="D157" s="268" t="n"/>
      <c r="E157" s="268" t="n"/>
      <c r="F157" s="268" t="n"/>
      <c r="G157" s="268" t="n"/>
      <c r="H157" s="268" t="n"/>
      <c r="I157" s="268" t="n"/>
      <c r="J157" s="268" t="n"/>
      <c r="K157" s="268" t="n"/>
      <c r="L157" s="268" t="n"/>
      <c r="M157" s="268" t="n"/>
      <c r="N157" s="268" t="n"/>
      <c r="O157" s="268" t="n"/>
      <c r="P157" s="268" t="n"/>
      <c r="Q157" s="268" t="n"/>
      <c r="R157" s="268" t="n"/>
      <c r="S157" s="268" t="n"/>
      <c r="T157" s="268" t="n"/>
      <c r="U157" s="268" t="n"/>
      <c r="V157" s="268" t="n"/>
      <c r="W157" s="268" t="n"/>
      <c r="X157" s="268" t="n"/>
      <c r="Y157" s="268" t="n"/>
      <c r="Z157" s="268" t="n"/>
    </row>
    <row r="158" ht="15.75" customHeight="1" s="372">
      <c r="A158" s="268" t="n"/>
      <c r="B158" s="268" t="n"/>
      <c r="C158" s="268" t="n"/>
      <c r="D158" s="268" t="n"/>
      <c r="E158" s="268" t="n"/>
      <c r="F158" s="268" t="n"/>
      <c r="G158" s="268" t="n"/>
      <c r="H158" s="268" t="n"/>
      <c r="I158" s="268" t="n"/>
      <c r="J158" s="268" t="n"/>
      <c r="K158" s="268" t="n"/>
      <c r="L158" s="268" t="n"/>
      <c r="M158" s="268" t="n"/>
      <c r="N158" s="268" t="n"/>
      <c r="O158" s="268" t="n"/>
      <c r="P158" s="268" t="n"/>
      <c r="Q158" s="268" t="n"/>
      <c r="R158" s="268" t="n"/>
      <c r="S158" s="268" t="n"/>
      <c r="T158" s="268" t="n"/>
      <c r="U158" s="268" t="n"/>
      <c r="V158" s="268" t="n"/>
      <c r="W158" s="268" t="n"/>
      <c r="X158" s="268" t="n"/>
      <c r="Y158" s="268" t="n"/>
      <c r="Z158" s="268" t="n"/>
    </row>
    <row r="159" ht="15.75" customHeight="1" s="372">
      <c r="A159" s="268" t="n"/>
      <c r="B159" s="268" t="n"/>
      <c r="C159" s="268" t="n"/>
      <c r="D159" s="268" t="n"/>
      <c r="E159" s="268" t="n"/>
      <c r="F159" s="268" t="n"/>
      <c r="G159" s="268" t="n"/>
      <c r="H159" s="268" t="n"/>
      <c r="I159" s="268" t="n"/>
      <c r="J159" s="268" t="n"/>
      <c r="K159" s="268" t="n"/>
      <c r="L159" s="268" t="n"/>
      <c r="M159" s="268" t="n"/>
      <c r="N159" s="268" t="n"/>
      <c r="O159" s="268" t="n"/>
      <c r="P159" s="268" t="n"/>
      <c r="Q159" s="268" t="n"/>
      <c r="R159" s="268" t="n"/>
      <c r="S159" s="268" t="n"/>
      <c r="T159" s="268" t="n"/>
      <c r="U159" s="268" t="n"/>
      <c r="V159" s="268" t="n"/>
      <c r="W159" s="268" t="n"/>
      <c r="X159" s="268" t="n"/>
      <c r="Y159" s="268" t="n"/>
      <c r="Z159" s="268" t="n"/>
    </row>
    <row r="160" ht="15.75" customHeight="1" s="372">
      <c r="A160" s="268" t="n"/>
      <c r="B160" s="268" t="n"/>
      <c r="C160" s="268" t="n"/>
      <c r="D160" s="268" t="n"/>
      <c r="E160" s="268" t="n"/>
      <c r="F160" s="268" t="n"/>
      <c r="G160" s="268" t="n"/>
      <c r="H160" s="268" t="n"/>
      <c r="I160" s="268" t="n"/>
      <c r="J160" s="268" t="n"/>
      <c r="K160" s="268" t="n"/>
      <c r="L160" s="268" t="n"/>
      <c r="M160" s="268" t="n"/>
      <c r="N160" s="268" t="n"/>
      <c r="O160" s="268" t="n"/>
      <c r="P160" s="268" t="n"/>
      <c r="Q160" s="268" t="n"/>
      <c r="R160" s="268" t="n"/>
      <c r="S160" s="268" t="n"/>
      <c r="T160" s="268" t="n"/>
      <c r="U160" s="268" t="n"/>
      <c r="V160" s="268" t="n"/>
      <c r="W160" s="268" t="n"/>
      <c r="X160" s="268" t="n"/>
      <c r="Y160" s="268" t="n"/>
      <c r="Z160" s="268" t="n"/>
    </row>
    <row r="161" ht="15.75" customHeight="1" s="372">
      <c r="A161" s="268" t="n"/>
      <c r="B161" s="268" t="n"/>
      <c r="C161" s="268" t="n"/>
      <c r="D161" s="268" t="n"/>
      <c r="E161" s="268" t="n"/>
      <c r="F161" s="268" t="n"/>
      <c r="G161" s="268" t="n"/>
      <c r="H161" s="268" t="n"/>
      <c r="I161" s="268" t="n"/>
      <c r="J161" s="268" t="n"/>
      <c r="K161" s="268" t="n"/>
      <c r="L161" s="268" t="n"/>
      <c r="M161" s="268" t="n"/>
      <c r="N161" s="268" t="n"/>
      <c r="O161" s="268" t="n"/>
      <c r="P161" s="268" t="n"/>
      <c r="Q161" s="268" t="n"/>
      <c r="R161" s="268" t="n"/>
      <c r="S161" s="268" t="n"/>
      <c r="T161" s="268" t="n"/>
      <c r="U161" s="268" t="n"/>
      <c r="V161" s="268" t="n"/>
      <c r="W161" s="268" t="n"/>
      <c r="X161" s="268" t="n"/>
      <c r="Y161" s="268" t="n"/>
      <c r="Z161" s="268" t="n"/>
    </row>
    <row r="162" ht="15.75" customHeight="1" s="372">
      <c r="A162" s="268" t="n"/>
      <c r="B162" s="268" t="n"/>
      <c r="C162" s="268" t="n"/>
      <c r="D162" s="268" t="n"/>
      <c r="E162" s="268" t="n"/>
      <c r="F162" s="268" t="n"/>
      <c r="G162" s="268" t="n"/>
      <c r="H162" s="268" t="n"/>
      <c r="I162" s="268" t="n"/>
      <c r="J162" s="268" t="n"/>
      <c r="K162" s="268" t="n"/>
      <c r="L162" s="268" t="n"/>
      <c r="M162" s="268" t="n"/>
      <c r="N162" s="268" t="n"/>
      <c r="O162" s="268" t="n"/>
      <c r="P162" s="268" t="n"/>
      <c r="Q162" s="268" t="n"/>
      <c r="R162" s="268" t="n"/>
      <c r="S162" s="268" t="n"/>
      <c r="T162" s="268" t="n"/>
      <c r="U162" s="268" t="n"/>
      <c r="V162" s="268" t="n"/>
      <c r="W162" s="268" t="n"/>
      <c r="X162" s="268" t="n"/>
      <c r="Y162" s="268" t="n"/>
      <c r="Z162" s="268" t="n"/>
    </row>
    <row r="163" ht="15.75" customHeight="1" s="372">
      <c r="A163" s="268" t="n"/>
      <c r="B163" s="268" t="n"/>
      <c r="C163" s="268" t="n"/>
      <c r="D163" s="268" t="n"/>
      <c r="E163" s="268" t="n"/>
      <c r="F163" s="268" t="n"/>
      <c r="G163" s="268" t="n"/>
      <c r="H163" s="268" t="n"/>
      <c r="I163" s="268" t="n"/>
      <c r="J163" s="268" t="n"/>
      <c r="K163" s="268" t="n"/>
      <c r="L163" s="268" t="n"/>
      <c r="M163" s="268" t="n"/>
      <c r="N163" s="268" t="n"/>
      <c r="O163" s="268" t="n"/>
      <c r="P163" s="268" t="n"/>
      <c r="Q163" s="268" t="n"/>
      <c r="R163" s="268" t="n"/>
      <c r="S163" s="268" t="n"/>
      <c r="T163" s="268" t="n"/>
      <c r="U163" s="268" t="n"/>
      <c r="V163" s="268" t="n"/>
      <c r="W163" s="268" t="n"/>
      <c r="X163" s="268" t="n"/>
      <c r="Y163" s="268" t="n"/>
      <c r="Z163" s="268" t="n"/>
    </row>
    <row r="164" ht="15.75" customHeight="1" s="372">
      <c r="A164" s="268" t="n"/>
      <c r="B164" s="268" t="n"/>
      <c r="C164" s="268" t="n"/>
      <c r="D164" s="268" t="n"/>
      <c r="E164" s="268" t="n"/>
      <c r="F164" s="268" t="n"/>
      <c r="G164" s="268" t="n"/>
      <c r="H164" s="268" t="n"/>
      <c r="I164" s="268" t="n"/>
      <c r="J164" s="268" t="n"/>
      <c r="K164" s="268" t="n"/>
      <c r="L164" s="268" t="n"/>
      <c r="M164" s="268" t="n"/>
      <c r="N164" s="268" t="n"/>
      <c r="O164" s="268" t="n"/>
      <c r="P164" s="268" t="n"/>
      <c r="Q164" s="268" t="n"/>
      <c r="R164" s="268" t="n"/>
      <c r="S164" s="268" t="n"/>
      <c r="T164" s="268" t="n"/>
      <c r="U164" s="268" t="n"/>
      <c r="V164" s="268" t="n"/>
      <c r="W164" s="268" t="n"/>
      <c r="X164" s="268" t="n"/>
      <c r="Y164" s="268" t="n"/>
      <c r="Z164" s="268" t="n"/>
    </row>
    <row r="165" ht="15.75" customHeight="1" s="372">
      <c r="A165" s="268" t="n"/>
      <c r="B165" s="268" t="n"/>
      <c r="C165" s="268" t="n"/>
      <c r="D165" s="268" t="n"/>
      <c r="E165" s="268" t="n"/>
      <c r="F165" s="268" t="n"/>
      <c r="G165" s="268" t="n"/>
      <c r="H165" s="268" t="n"/>
      <c r="I165" s="268" t="n"/>
      <c r="J165" s="268" t="n"/>
      <c r="K165" s="268" t="n"/>
      <c r="L165" s="268" t="n"/>
      <c r="M165" s="268" t="n"/>
      <c r="N165" s="268" t="n"/>
      <c r="O165" s="268" t="n"/>
      <c r="P165" s="268" t="n"/>
      <c r="Q165" s="268" t="n"/>
      <c r="R165" s="268" t="n"/>
      <c r="S165" s="268" t="n"/>
      <c r="T165" s="268" t="n"/>
      <c r="U165" s="268" t="n"/>
      <c r="V165" s="268" t="n"/>
      <c r="W165" s="268" t="n"/>
      <c r="X165" s="268" t="n"/>
      <c r="Y165" s="268" t="n"/>
      <c r="Z165" s="268" t="n"/>
    </row>
    <row r="166" ht="15.75" customHeight="1" s="372">
      <c r="A166" s="268" t="n"/>
      <c r="B166" s="268" t="n"/>
      <c r="C166" s="268" t="n"/>
      <c r="D166" s="268" t="n"/>
      <c r="E166" s="268" t="n"/>
      <c r="F166" s="268" t="n"/>
      <c r="G166" s="268" t="n"/>
      <c r="H166" s="268" t="n"/>
      <c r="I166" s="268" t="n"/>
      <c r="J166" s="268" t="n"/>
      <c r="K166" s="268" t="n"/>
      <c r="L166" s="268" t="n"/>
      <c r="M166" s="268" t="n"/>
      <c r="N166" s="268" t="n"/>
      <c r="O166" s="268" t="n"/>
      <c r="P166" s="268" t="n"/>
      <c r="Q166" s="268" t="n"/>
      <c r="R166" s="268" t="n"/>
      <c r="S166" s="268" t="n"/>
      <c r="T166" s="268" t="n"/>
      <c r="U166" s="268" t="n"/>
      <c r="V166" s="268" t="n"/>
      <c r="W166" s="268" t="n"/>
      <c r="X166" s="268" t="n"/>
      <c r="Y166" s="268" t="n"/>
      <c r="Z166" s="268" t="n"/>
    </row>
    <row r="167" ht="15.75" customHeight="1" s="372">
      <c r="A167" s="268" t="n"/>
      <c r="B167" s="268" t="n"/>
      <c r="C167" s="268" t="n"/>
      <c r="D167" s="268" t="n"/>
      <c r="E167" s="268" t="n"/>
      <c r="F167" s="268" t="n"/>
      <c r="G167" s="268" t="n"/>
      <c r="H167" s="268" t="n"/>
      <c r="I167" s="268" t="n"/>
      <c r="J167" s="268" t="n"/>
      <c r="K167" s="268" t="n"/>
      <c r="L167" s="268" t="n"/>
      <c r="M167" s="268" t="n"/>
      <c r="N167" s="268" t="n"/>
      <c r="O167" s="268" t="n"/>
      <c r="P167" s="268" t="n"/>
      <c r="Q167" s="268" t="n"/>
      <c r="R167" s="268" t="n"/>
      <c r="S167" s="268" t="n"/>
      <c r="T167" s="268" t="n"/>
      <c r="U167" s="268" t="n"/>
      <c r="V167" s="268" t="n"/>
      <c r="W167" s="268" t="n"/>
      <c r="X167" s="268" t="n"/>
      <c r="Y167" s="268" t="n"/>
      <c r="Z167" s="268" t="n"/>
    </row>
    <row r="168" ht="15.75" customHeight="1" s="372">
      <c r="A168" s="268" t="n"/>
      <c r="B168" s="268" t="n"/>
      <c r="C168" s="268" t="n"/>
      <c r="D168" s="268" t="n"/>
      <c r="E168" s="268" t="n"/>
      <c r="F168" s="268" t="n"/>
      <c r="G168" s="268" t="n"/>
      <c r="H168" s="268" t="n"/>
      <c r="I168" s="268" t="n"/>
      <c r="J168" s="268" t="n"/>
      <c r="K168" s="268" t="n"/>
      <c r="L168" s="268" t="n"/>
      <c r="M168" s="268" t="n"/>
      <c r="N168" s="268" t="n"/>
      <c r="O168" s="268" t="n"/>
      <c r="P168" s="268" t="n"/>
      <c r="Q168" s="268" t="n"/>
      <c r="R168" s="268" t="n"/>
      <c r="S168" s="268" t="n"/>
      <c r="T168" s="268" t="n"/>
      <c r="U168" s="268" t="n"/>
      <c r="V168" s="268" t="n"/>
      <c r="W168" s="268" t="n"/>
      <c r="X168" s="268" t="n"/>
      <c r="Y168" s="268" t="n"/>
      <c r="Z168" s="268" t="n"/>
    </row>
    <row r="169" ht="15.75" customHeight="1" s="372">
      <c r="A169" s="268" t="n"/>
      <c r="B169" s="268" t="n"/>
      <c r="C169" s="268" t="n"/>
      <c r="D169" s="268" t="n"/>
      <c r="E169" s="268" t="n"/>
      <c r="F169" s="268" t="n"/>
      <c r="G169" s="268" t="n"/>
      <c r="H169" s="268" t="n"/>
      <c r="I169" s="268" t="n"/>
      <c r="J169" s="268" t="n"/>
      <c r="K169" s="268" t="n"/>
      <c r="L169" s="268" t="n"/>
      <c r="M169" s="268" t="n"/>
      <c r="N169" s="268" t="n"/>
      <c r="O169" s="268" t="n"/>
      <c r="P169" s="268" t="n"/>
      <c r="Q169" s="268" t="n"/>
      <c r="R169" s="268" t="n"/>
      <c r="S169" s="268" t="n"/>
      <c r="T169" s="268" t="n"/>
      <c r="U169" s="268" t="n"/>
      <c r="V169" s="268" t="n"/>
      <c r="W169" s="268" t="n"/>
      <c r="X169" s="268" t="n"/>
      <c r="Y169" s="268" t="n"/>
      <c r="Z169" s="268" t="n"/>
    </row>
    <row r="170" ht="15.75" customHeight="1" s="372">
      <c r="A170" s="268" t="n"/>
      <c r="B170" s="268" t="n"/>
      <c r="C170" s="268" t="n"/>
      <c r="D170" s="268" t="n"/>
      <c r="E170" s="268" t="n"/>
      <c r="F170" s="268" t="n"/>
      <c r="G170" s="268" t="n"/>
      <c r="H170" s="268" t="n"/>
      <c r="I170" s="268" t="n"/>
      <c r="J170" s="268" t="n"/>
      <c r="K170" s="268" t="n"/>
      <c r="L170" s="268" t="n"/>
      <c r="M170" s="268" t="n"/>
      <c r="N170" s="268" t="n"/>
      <c r="O170" s="268" t="n"/>
      <c r="P170" s="268" t="n"/>
      <c r="Q170" s="268" t="n"/>
      <c r="R170" s="268" t="n"/>
      <c r="S170" s="268" t="n"/>
      <c r="T170" s="268" t="n"/>
      <c r="U170" s="268" t="n"/>
      <c r="V170" s="268" t="n"/>
      <c r="W170" s="268" t="n"/>
      <c r="X170" s="268" t="n"/>
      <c r="Y170" s="268" t="n"/>
      <c r="Z170" s="268" t="n"/>
    </row>
    <row r="171" ht="15.75" customHeight="1" s="372">
      <c r="A171" s="268" t="n"/>
      <c r="B171" s="268" t="n"/>
      <c r="C171" s="268" t="n"/>
      <c r="D171" s="268" t="n"/>
      <c r="E171" s="268" t="n"/>
      <c r="F171" s="268" t="n"/>
      <c r="G171" s="268" t="n"/>
      <c r="H171" s="268" t="n"/>
      <c r="I171" s="268" t="n"/>
      <c r="J171" s="268" t="n"/>
      <c r="K171" s="268" t="n"/>
      <c r="L171" s="268" t="n"/>
      <c r="M171" s="268" t="n"/>
      <c r="N171" s="268" t="n"/>
      <c r="O171" s="268" t="n"/>
      <c r="P171" s="268" t="n"/>
      <c r="Q171" s="268" t="n"/>
      <c r="R171" s="268" t="n"/>
      <c r="S171" s="268" t="n"/>
      <c r="T171" s="268" t="n"/>
      <c r="U171" s="268" t="n"/>
      <c r="V171" s="268" t="n"/>
      <c r="W171" s="268" t="n"/>
      <c r="X171" s="268" t="n"/>
      <c r="Y171" s="268" t="n"/>
      <c r="Z171" s="268" t="n"/>
    </row>
    <row r="172" ht="15.75" customHeight="1" s="372">
      <c r="A172" s="268" t="n"/>
      <c r="B172" s="268" t="n"/>
      <c r="C172" s="268" t="n"/>
      <c r="D172" s="268" t="n"/>
      <c r="E172" s="268" t="n"/>
      <c r="F172" s="268" t="n"/>
      <c r="G172" s="268" t="n"/>
      <c r="H172" s="268" t="n"/>
      <c r="I172" s="268" t="n"/>
      <c r="J172" s="268" t="n"/>
      <c r="K172" s="268" t="n"/>
      <c r="L172" s="268" t="n"/>
      <c r="M172" s="268" t="n"/>
      <c r="N172" s="268" t="n"/>
      <c r="O172" s="268" t="n"/>
      <c r="P172" s="268" t="n"/>
      <c r="Q172" s="268" t="n"/>
      <c r="R172" s="268" t="n"/>
      <c r="S172" s="268" t="n"/>
      <c r="T172" s="268" t="n"/>
      <c r="U172" s="268" t="n"/>
      <c r="V172" s="268" t="n"/>
      <c r="W172" s="268" t="n"/>
      <c r="X172" s="268" t="n"/>
      <c r="Y172" s="268" t="n"/>
      <c r="Z172" s="268" t="n"/>
    </row>
    <row r="173" ht="15.75" customHeight="1" s="372">
      <c r="A173" s="268" t="n"/>
      <c r="B173" s="268" t="n"/>
      <c r="C173" s="268" t="n"/>
      <c r="D173" s="268" t="n"/>
      <c r="E173" s="268" t="n"/>
      <c r="F173" s="268" t="n"/>
      <c r="G173" s="268" t="n"/>
      <c r="H173" s="268" t="n"/>
      <c r="I173" s="268" t="n"/>
      <c r="J173" s="268" t="n"/>
      <c r="K173" s="268" t="n"/>
      <c r="L173" s="268" t="n"/>
      <c r="M173" s="268" t="n"/>
      <c r="N173" s="268" t="n"/>
      <c r="O173" s="268" t="n"/>
      <c r="P173" s="268" t="n"/>
      <c r="Q173" s="268" t="n"/>
      <c r="R173" s="268" t="n"/>
      <c r="S173" s="268" t="n"/>
      <c r="T173" s="268" t="n"/>
      <c r="U173" s="268" t="n"/>
      <c r="V173" s="268" t="n"/>
      <c r="W173" s="268" t="n"/>
      <c r="X173" s="268" t="n"/>
      <c r="Y173" s="268" t="n"/>
      <c r="Z173" s="268" t="n"/>
    </row>
    <row r="174" ht="15.75" customHeight="1" s="372">
      <c r="A174" s="268" t="n"/>
      <c r="B174" s="268" t="n"/>
      <c r="C174" s="268" t="n"/>
      <c r="D174" s="268" t="n"/>
      <c r="E174" s="268" t="n"/>
      <c r="F174" s="268" t="n"/>
      <c r="G174" s="268" t="n"/>
      <c r="H174" s="268" t="n"/>
      <c r="I174" s="268" t="n"/>
      <c r="J174" s="268" t="n"/>
      <c r="K174" s="268" t="n"/>
      <c r="L174" s="268" t="n"/>
      <c r="M174" s="268" t="n"/>
      <c r="N174" s="268" t="n"/>
      <c r="O174" s="268" t="n"/>
      <c r="P174" s="268" t="n"/>
      <c r="Q174" s="268" t="n"/>
      <c r="R174" s="268" t="n"/>
      <c r="S174" s="268" t="n"/>
      <c r="T174" s="268" t="n"/>
      <c r="U174" s="268" t="n"/>
      <c r="V174" s="268" t="n"/>
      <c r="W174" s="268" t="n"/>
      <c r="X174" s="268" t="n"/>
      <c r="Y174" s="268" t="n"/>
      <c r="Z174" s="268" t="n"/>
    </row>
    <row r="175" ht="15.75" customHeight="1" s="372">
      <c r="A175" s="268" t="n"/>
      <c r="B175" s="268" t="n"/>
      <c r="C175" s="268" t="n"/>
      <c r="D175" s="268" t="n"/>
      <c r="E175" s="268" t="n"/>
      <c r="F175" s="268" t="n"/>
      <c r="G175" s="268" t="n"/>
      <c r="H175" s="268" t="n"/>
      <c r="I175" s="268" t="n"/>
      <c r="J175" s="268" t="n"/>
      <c r="K175" s="268" t="n"/>
      <c r="L175" s="268" t="n"/>
      <c r="M175" s="268" t="n"/>
      <c r="N175" s="268" t="n"/>
      <c r="O175" s="268" t="n"/>
      <c r="P175" s="268" t="n"/>
      <c r="Q175" s="268" t="n"/>
      <c r="R175" s="268" t="n"/>
      <c r="S175" s="268" t="n"/>
      <c r="T175" s="268" t="n"/>
      <c r="U175" s="268" t="n"/>
      <c r="V175" s="268" t="n"/>
      <c r="W175" s="268" t="n"/>
      <c r="X175" s="268" t="n"/>
      <c r="Y175" s="268" t="n"/>
      <c r="Z175" s="268" t="n"/>
    </row>
    <row r="176" ht="15.75" customHeight="1" s="372">
      <c r="A176" s="268" t="n"/>
      <c r="B176" s="268" t="n"/>
      <c r="C176" s="268" t="n"/>
      <c r="D176" s="268" t="n"/>
      <c r="E176" s="268" t="n"/>
      <c r="F176" s="268" t="n"/>
      <c r="G176" s="268" t="n"/>
      <c r="H176" s="268" t="n"/>
      <c r="I176" s="268" t="n"/>
      <c r="J176" s="268" t="n"/>
      <c r="K176" s="268" t="n"/>
      <c r="L176" s="268" t="n"/>
      <c r="M176" s="268" t="n"/>
      <c r="N176" s="268" t="n"/>
      <c r="O176" s="268" t="n"/>
      <c r="P176" s="268" t="n"/>
      <c r="Q176" s="268" t="n"/>
      <c r="R176" s="268" t="n"/>
      <c r="S176" s="268" t="n"/>
      <c r="T176" s="268" t="n"/>
      <c r="U176" s="268" t="n"/>
      <c r="V176" s="268" t="n"/>
      <c r="W176" s="268" t="n"/>
      <c r="X176" s="268" t="n"/>
      <c r="Y176" s="268" t="n"/>
      <c r="Z176" s="268" t="n"/>
    </row>
    <row r="177" ht="15.75" customHeight="1" s="372">
      <c r="A177" s="268" t="n"/>
      <c r="B177" s="268" t="n"/>
      <c r="C177" s="268" t="n"/>
      <c r="D177" s="268" t="n"/>
      <c r="E177" s="268" t="n"/>
      <c r="F177" s="268" t="n"/>
      <c r="G177" s="268" t="n"/>
      <c r="H177" s="268" t="n"/>
      <c r="I177" s="268" t="n"/>
      <c r="J177" s="268" t="n"/>
      <c r="K177" s="268" t="n"/>
      <c r="L177" s="268" t="n"/>
      <c r="M177" s="268" t="n"/>
      <c r="N177" s="268" t="n"/>
      <c r="O177" s="268" t="n"/>
      <c r="P177" s="268" t="n"/>
      <c r="Q177" s="268" t="n"/>
      <c r="R177" s="268" t="n"/>
      <c r="S177" s="268" t="n"/>
      <c r="T177" s="268" t="n"/>
      <c r="U177" s="268" t="n"/>
      <c r="V177" s="268" t="n"/>
      <c r="W177" s="268" t="n"/>
      <c r="X177" s="268" t="n"/>
      <c r="Y177" s="268" t="n"/>
      <c r="Z177" s="268" t="n"/>
    </row>
    <row r="178" ht="15.75" customHeight="1" s="372">
      <c r="A178" s="268" t="n"/>
      <c r="B178" s="268" t="n"/>
      <c r="C178" s="268" t="n"/>
      <c r="D178" s="268" t="n"/>
      <c r="E178" s="268" t="n"/>
      <c r="F178" s="268" t="n"/>
      <c r="G178" s="268" t="n"/>
      <c r="H178" s="268" t="n"/>
      <c r="I178" s="268" t="n"/>
      <c r="J178" s="268" t="n"/>
      <c r="K178" s="268" t="n"/>
      <c r="L178" s="268" t="n"/>
      <c r="M178" s="268" t="n"/>
      <c r="N178" s="268" t="n"/>
      <c r="O178" s="268" t="n"/>
      <c r="P178" s="268" t="n"/>
      <c r="Q178" s="268" t="n"/>
      <c r="R178" s="268" t="n"/>
      <c r="S178" s="268" t="n"/>
      <c r="T178" s="268" t="n"/>
      <c r="U178" s="268" t="n"/>
      <c r="V178" s="268" t="n"/>
      <c r="W178" s="268" t="n"/>
      <c r="X178" s="268" t="n"/>
      <c r="Y178" s="268" t="n"/>
      <c r="Z178" s="268" t="n"/>
    </row>
    <row r="179" ht="15.75" customHeight="1" s="372">
      <c r="A179" s="268" t="n"/>
      <c r="B179" s="268" t="n"/>
      <c r="C179" s="268" t="n"/>
      <c r="D179" s="268" t="n"/>
      <c r="E179" s="268" t="n"/>
      <c r="F179" s="268" t="n"/>
      <c r="G179" s="268" t="n"/>
      <c r="H179" s="268" t="n"/>
      <c r="I179" s="268" t="n"/>
      <c r="J179" s="268" t="n"/>
      <c r="K179" s="268" t="n"/>
      <c r="L179" s="268" t="n"/>
      <c r="M179" s="268" t="n"/>
      <c r="N179" s="268" t="n"/>
      <c r="O179" s="268" t="n"/>
      <c r="P179" s="268" t="n"/>
      <c r="Q179" s="268" t="n"/>
      <c r="R179" s="268" t="n"/>
      <c r="S179" s="268" t="n"/>
      <c r="T179" s="268" t="n"/>
      <c r="U179" s="268" t="n"/>
      <c r="V179" s="268" t="n"/>
      <c r="W179" s="268" t="n"/>
      <c r="X179" s="268" t="n"/>
      <c r="Y179" s="268" t="n"/>
      <c r="Z179" s="268" t="n"/>
    </row>
    <row r="180" ht="15.75" customHeight="1" s="372">
      <c r="A180" s="268" t="n"/>
      <c r="B180" s="268" t="n"/>
      <c r="C180" s="268" t="n"/>
      <c r="D180" s="268" t="n"/>
      <c r="E180" s="268" t="n"/>
      <c r="F180" s="268" t="n"/>
      <c r="G180" s="268" t="n"/>
      <c r="H180" s="268" t="n"/>
      <c r="I180" s="268" t="n"/>
      <c r="J180" s="268" t="n"/>
      <c r="K180" s="268" t="n"/>
      <c r="L180" s="268" t="n"/>
      <c r="M180" s="268" t="n"/>
      <c r="N180" s="268" t="n"/>
      <c r="O180" s="268" t="n"/>
      <c r="P180" s="268" t="n"/>
      <c r="Q180" s="268" t="n"/>
      <c r="R180" s="268" t="n"/>
      <c r="S180" s="268" t="n"/>
      <c r="T180" s="268" t="n"/>
      <c r="U180" s="268" t="n"/>
      <c r="V180" s="268" t="n"/>
      <c r="W180" s="268" t="n"/>
      <c r="X180" s="268" t="n"/>
      <c r="Y180" s="268" t="n"/>
      <c r="Z180" s="268" t="n"/>
    </row>
    <row r="181" ht="15.75" customHeight="1" s="372">
      <c r="A181" s="268" t="n"/>
      <c r="B181" s="268" t="n"/>
      <c r="C181" s="268" t="n"/>
      <c r="D181" s="268" t="n"/>
      <c r="E181" s="268" t="n"/>
      <c r="F181" s="268" t="n"/>
      <c r="G181" s="268" t="n"/>
      <c r="H181" s="268" t="n"/>
      <c r="I181" s="268" t="n"/>
      <c r="J181" s="268" t="n"/>
      <c r="K181" s="268" t="n"/>
      <c r="L181" s="268" t="n"/>
      <c r="M181" s="268" t="n"/>
      <c r="N181" s="268" t="n"/>
      <c r="O181" s="268" t="n"/>
      <c r="P181" s="268" t="n"/>
      <c r="Q181" s="268" t="n"/>
      <c r="R181" s="268" t="n"/>
      <c r="S181" s="268" t="n"/>
      <c r="T181" s="268" t="n"/>
      <c r="U181" s="268" t="n"/>
      <c r="V181" s="268" t="n"/>
      <c r="W181" s="268" t="n"/>
      <c r="X181" s="268" t="n"/>
      <c r="Y181" s="268" t="n"/>
      <c r="Z181" s="268" t="n"/>
    </row>
    <row r="182" ht="15.75" customHeight="1" s="372">
      <c r="A182" s="268" t="n"/>
      <c r="B182" s="268" t="n"/>
      <c r="C182" s="268" t="n"/>
      <c r="D182" s="268" t="n"/>
      <c r="E182" s="268" t="n"/>
      <c r="F182" s="268" t="n"/>
      <c r="G182" s="268" t="n"/>
      <c r="H182" s="268" t="n"/>
      <c r="I182" s="268" t="n"/>
      <c r="J182" s="268" t="n"/>
      <c r="K182" s="268" t="n"/>
      <c r="L182" s="268" t="n"/>
      <c r="M182" s="268" t="n"/>
      <c r="N182" s="268" t="n"/>
      <c r="O182" s="268" t="n"/>
      <c r="P182" s="268" t="n"/>
      <c r="Q182" s="268" t="n"/>
      <c r="R182" s="268" t="n"/>
      <c r="S182" s="268" t="n"/>
      <c r="T182" s="268" t="n"/>
      <c r="U182" s="268" t="n"/>
      <c r="V182" s="268" t="n"/>
      <c r="W182" s="268" t="n"/>
      <c r="X182" s="268" t="n"/>
      <c r="Y182" s="268" t="n"/>
      <c r="Z182" s="268" t="n"/>
    </row>
    <row r="183" ht="15.75" customHeight="1" s="372">
      <c r="A183" s="268" t="n"/>
      <c r="B183" s="268" t="n"/>
      <c r="C183" s="268" t="n"/>
      <c r="D183" s="268" t="n"/>
      <c r="E183" s="268" t="n"/>
      <c r="F183" s="268" t="n"/>
      <c r="G183" s="268" t="n"/>
      <c r="H183" s="268" t="n"/>
      <c r="I183" s="268" t="n"/>
      <c r="J183" s="268" t="n"/>
      <c r="K183" s="268" t="n"/>
      <c r="L183" s="268" t="n"/>
      <c r="M183" s="268" t="n"/>
      <c r="N183" s="268" t="n"/>
      <c r="O183" s="268" t="n"/>
      <c r="P183" s="268" t="n"/>
      <c r="Q183" s="268" t="n"/>
      <c r="R183" s="268" t="n"/>
      <c r="S183" s="268" t="n"/>
      <c r="T183" s="268" t="n"/>
      <c r="U183" s="268" t="n"/>
      <c r="V183" s="268" t="n"/>
      <c r="W183" s="268" t="n"/>
      <c r="X183" s="268" t="n"/>
      <c r="Y183" s="268" t="n"/>
      <c r="Z183" s="268" t="n"/>
    </row>
    <row r="184" ht="15.75" customHeight="1" s="372">
      <c r="A184" s="268" t="n"/>
      <c r="B184" s="268" t="n"/>
      <c r="C184" s="268" t="n"/>
      <c r="D184" s="268" t="n"/>
      <c r="E184" s="268" t="n"/>
      <c r="F184" s="268" t="n"/>
      <c r="G184" s="268" t="n"/>
      <c r="H184" s="268" t="n"/>
      <c r="I184" s="268" t="n"/>
      <c r="J184" s="268" t="n"/>
      <c r="K184" s="268" t="n"/>
      <c r="L184" s="268" t="n"/>
      <c r="M184" s="268" t="n"/>
      <c r="N184" s="268" t="n"/>
      <c r="O184" s="268" t="n"/>
      <c r="P184" s="268" t="n"/>
      <c r="Q184" s="268" t="n"/>
      <c r="R184" s="268" t="n"/>
      <c r="S184" s="268" t="n"/>
      <c r="T184" s="268" t="n"/>
      <c r="U184" s="268" t="n"/>
      <c r="V184" s="268" t="n"/>
      <c r="W184" s="268" t="n"/>
      <c r="X184" s="268" t="n"/>
      <c r="Y184" s="268" t="n"/>
      <c r="Z184" s="268" t="n"/>
    </row>
    <row r="185" ht="15.75" customHeight="1" s="372">
      <c r="A185" s="268" t="n"/>
      <c r="B185" s="268" t="n"/>
      <c r="C185" s="268" t="n"/>
      <c r="D185" s="268" t="n"/>
      <c r="E185" s="268" t="n"/>
      <c r="F185" s="268" t="n"/>
      <c r="G185" s="268" t="n"/>
      <c r="H185" s="268" t="n"/>
      <c r="I185" s="268" t="n"/>
      <c r="J185" s="268" t="n"/>
      <c r="K185" s="268" t="n"/>
      <c r="L185" s="268" t="n"/>
      <c r="M185" s="268" t="n"/>
      <c r="N185" s="268" t="n"/>
      <c r="O185" s="268" t="n"/>
      <c r="P185" s="268" t="n"/>
      <c r="Q185" s="268" t="n"/>
      <c r="R185" s="268" t="n"/>
      <c r="S185" s="268" t="n"/>
      <c r="T185" s="268" t="n"/>
      <c r="U185" s="268" t="n"/>
      <c r="V185" s="268" t="n"/>
      <c r="W185" s="268" t="n"/>
      <c r="X185" s="268" t="n"/>
      <c r="Y185" s="268" t="n"/>
      <c r="Z185" s="268" t="n"/>
    </row>
    <row r="186" ht="15.75" customHeight="1" s="372">
      <c r="A186" s="268" t="n"/>
      <c r="B186" s="268" t="n"/>
      <c r="C186" s="268" t="n"/>
      <c r="D186" s="268" t="n"/>
      <c r="E186" s="268" t="n"/>
      <c r="F186" s="268" t="n"/>
      <c r="G186" s="268" t="n"/>
      <c r="H186" s="268" t="n"/>
      <c r="I186" s="268" t="n"/>
      <c r="J186" s="268" t="n"/>
      <c r="K186" s="268" t="n"/>
      <c r="L186" s="268" t="n"/>
      <c r="M186" s="268" t="n"/>
      <c r="N186" s="268" t="n"/>
      <c r="O186" s="268" t="n"/>
      <c r="P186" s="268" t="n"/>
      <c r="Q186" s="268" t="n"/>
      <c r="R186" s="268" t="n"/>
      <c r="S186" s="268" t="n"/>
      <c r="T186" s="268" t="n"/>
      <c r="U186" s="268" t="n"/>
      <c r="V186" s="268" t="n"/>
      <c r="W186" s="268" t="n"/>
      <c r="X186" s="268" t="n"/>
      <c r="Y186" s="268" t="n"/>
      <c r="Z186" s="268" t="n"/>
    </row>
    <row r="187" ht="15.75" customHeight="1" s="372">
      <c r="A187" s="268" t="n"/>
      <c r="B187" s="268" t="n"/>
      <c r="C187" s="268" t="n"/>
      <c r="D187" s="268" t="n"/>
      <c r="E187" s="268" t="n"/>
      <c r="F187" s="268" t="n"/>
      <c r="G187" s="268" t="n"/>
      <c r="H187" s="268" t="n"/>
      <c r="I187" s="268" t="n"/>
      <c r="J187" s="268" t="n"/>
      <c r="K187" s="268" t="n"/>
      <c r="L187" s="268" t="n"/>
      <c r="M187" s="268" t="n"/>
      <c r="N187" s="268" t="n"/>
      <c r="O187" s="268" t="n"/>
      <c r="P187" s="268" t="n"/>
      <c r="Q187" s="268" t="n"/>
      <c r="R187" s="268" t="n"/>
      <c r="S187" s="268" t="n"/>
      <c r="T187" s="268" t="n"/>
      <c r="U187" s="268" t="n"/>
      <c r="V187" s="268" t="n"/>
      <c r="W187" s="268" t="n"/>
      <c r="X187" s="268" t="n"/>
      <c r="Y187" s="268" t="n"/>
      <c r="Z187" s="268" t="n"/>
    </row>
    <row r="188" ht="15.75" customHeight="1" s="372">
      <c r="A188" s="268" t="n"/>
      <c r="B188" s="268" t="n"/>
      <c r="C188" s="268" t="n"/>
      <c r="D188" s="268" t="n"/>
      <c r="E188" s="268" t="n"/>
      <c r="F188" s="268" t="n"/>
      <c r="G188" s="268" t="n"/>
      <c r="H188" s="268" t="n"/>
      <c r="I188" s="268" t="n"/>
      <c r="J188" s="268" t="n"/>
      <c r="K188" s="268" t="n"/>
      <c r="L188" s="268" t="n"/>
      <c r="M188" s="268" t="n"/>
      <c r="N188" s="268" t="n"/>
      <c r="O188" s="268" t="n"/>
      <c r="P188" s="268" t="n"/>
      <c r="Q188" s="268" t="n"/>
      <c r="R188" s="268" t="n"/>
      <c r="S188" s="268" t="n"/>
      <c r="T188" s="268" t="n"/>
      <c r="U188" s="268" t="n"/>
      <c r="V188" s="268" t="n"/>
      <c r="W188" s="268" t="n"/>
      <c r="X188" s="268" t="n"/>
      <c r="Y188" s="268" t="n"/>
      <c r="Z188" s="268" t="n"/>
    </row>
    <row r="189" ht="15.75" customHeight="1" s="372">
      <c r="A189" s="268" t="n"/>
      <c r="B189" s="268" t="n"/>
      <c r="C189" s="268" t="n"/>
      <c r="D189" s="268" t="n"/>
      <c r="E189" s="268" t="n"/>
      <c r="F189" s="268" t="n"/>
      <c r="G189" s="268" t="n"/>
      <c r="H189" s="268" t="n"/>
      <c r="I189" s="268" t="n"/>
      <c r="J189" s="268" t="n"/>
      <c r="K189" s="268" t="n"/>
      <c r="L189" s="268" t="n"/>
      <c r="M189" s="268" t="n"/>
      <c r="N189" s="268" t="n"/>
      <c r="O189" s="268" t="n"/>
      <c r="P189" s="268" t="n"/>
      <c r="Q189" s="268" t="n"/>
      <c r="R189" s="268" t="n"/>
      <c r="S189" s="268" t="n"/>
      <c r="T189" s="268" t="n"/>
      <c r="U189" s="268" t="n"/>
      <c r="V189" s="268" t="n"/>
      <c r="W189" s="268" t="n"/>
      <c r="X189" s="268" t="n"/>
      <c r="Y189" s="268" t="n"/>
      <c r="Z189" s="268" t="n"/>
    </row>
    <row r="190" ht="15.75" customHeight="1" s="372">
      <c r="A190" s="268" t="n"/>
      <c r="B190" s="268" t="n"/>
      <c r="C190" s="268" t="n"/>
      <c r="D190" s="268" t="n"/>
      <c r="E190" s="268" t="n"/>
      <c r="F190" s="268" t="n"/>
      <c r="G190" s="268" t="n"/>
      <c r="H190" s="268" t="n"/>
      <c r="I190" s="268" t="n"/>
      <c r="J190" s="268" t="n"/>
      <c r="K190" s="268" t="n"/>
      <c r="L190" s="268" t="n"/>
      <c r="M190" s="268" t="n"/>
      <c r="N190" s="268" t="n"/>
      <c r="O190" s="268" t="n"/>
      <c r="P190" s="268" t="n"/>
      <c r="Q190" s="268" t="n"/>
      <c r="R190" s="268" t="n"/>
      <c r="S190" s="268" t="n"/>
      <c r="T190" s="268" t="n"/>
      <c r="U190" s="268" t="n"/>
      <c r="V190" s="268" t="n"/>
      <c r="W190" s="268" t="n"/>
      <c r="X190" s="268" t="n"/>
      <c r="Y190" s="268" t="n"/>
      <c r="Z190" s="268" t="n"/>
    </row>
    <row r="191" ht="15.75" customHeight="1" s="372">
      <c r="A191" s="268" t="n"/>
      <c r="B191" s="268" t="n"/>
      <c r="C191" s="268" t="n"/>
      <c r="D191" s="268" t="n"/>
      <c r="E191" s="268" t="n"/>
      <c r="F191" s="268" t="n"/>
      <c r="G191" s="268" t="n"/>
      <c r="H191" s="268" t="n"/>
      <c r="I191" s="268" t="n"/>
      <c r="J191" s="268" t="n"/>
      <c r="K191" s="268" t="n"/>
      <c r="L191" s="268" t="n"/>
      <c r="M191" s="268" t="n"/>
      <c r="N191" s="268" t="n"/>
      <c r="O191" s="268" t="n"/>
      <c r="P191" s="268" t="n"/>
      <c r="Q191" s="268" t="n"/>
      <c r="R191" s="268" t="n"/>
      <c r="S191" s="268" t="n"/>
      <c r="T191" s="268" t="n"/>
      <c r="U191" s="268" t="n"/>
      <c r="V191" s="268" t="n"/>
      <c r="W191" s="268" t="n"/>
      <c r="X191" s="268" t="n"/>
      <c r="Y191" s="268" t="n"/>
      <c r="Z191" s="268" t="n"/>
    </row>
    <row r="192" ht="15.75" customHeight="1" s="372">
      <c r="A192" s="268" t="n"/>
      <c r="B192" s="268" t="n"/>
      <c r="C192" s="268" t="n"/>
      <c r="D192" s="268" t="n"/>
      <c r="E192" s="268" t="n"/>
      <c r="F192" s="268" t="n"/>
      <c r="G192" s="268" t="n"/>
      <c r="H192" s="268" t="n"/>
      <c r="I192" s="268" t="n"/>
      <c r="J192" s="268" t="n"/>
      <c r="K192" s="268" t="n"/>
      <c r="L192" s="268" t="n"/>
      <c r="M192" s="268" t="n"/>
      <c r="N192" s="268" t="n"/>
      <c r="O192" s="268" t="n"/>
      <c r="P192" s="268" t="n"/>
      <c r="Q192" s="268" t="n"/>
      <c r="R192" s="268" t="n"/>
      <c r="S192" s="268" t="n"/>
      <c r="T192" s="268" t="n"/>
      <c r="U192" s="268" t="n"/>
      <c r="V192" s="268" t="n"/>
      <c r="W192" s="268" t="n"/>
      <c r="X192" s="268" t="n"/>
      <c r="Y192" s="268" t="n"/>
      <c r="Z192" s="268" t="n"/>
    </row>
    <row r="193" ht="15.75" customHeight="1" s="372">
      <c r="A193" s="268" t="n"/>
      <c r="B193" s="268" t="n"/>
      <c r="C193" s="268" t="n"/>
      <c r="D193" s="268" t="n"/>
      <c r="E193" s="268" t="n"/>
      <c r="F193" s="268" t="n"/>
      <c r="G193" s="268" t="n"/>
      <c r="H193" s="268" t="n"/>
      <c r="I193" s="268" t="n"/>
      <c r="J193" s="268" t="n"/>
      <c r="K193" s="268" t="n"/>
      <c r="L193" s="268" t="n"/>
      <c r="M193" s="268" t="n"/>
      <c r="N193" s="268" t="n"/>
      <c r="O193" s="268" t="n"/>
      <c r="P193" s="268" t="n"/>
      <c r="Q193" s="268" t="n"/>
      <c r="R193" s="268" t="n"/>
      <c r="S193" s="268" t="n"/>
      <c r="T193" s="268" t="n"/>
      <c r="U193" s="268" t="n"/>
      <c r="V193" s="268" t="n"/>
      <c r="W193" s="268" t="n"/>
      <c r="X193" s="268" t="n"/>
      <c r="Y193" s="268" t="n"/>
      <c r="Z193" s="268" t="n"/>
    </row>
    <row r="194" ht="15.75" customHeight="1" s="372">
      <c r="A194" s="268" t="n"/>
      <c r="B194" s="268" t="n"/>
      <c r="C194" s="268" t="n"/>
      <c r="D194" s="268" t="n"/>
      <c r="E194" s="268" t="n"/>
      <c r="F194" s="268" t="n"/>
      <c r="G194" s="268" t="n"/>
      <c r="H194" s="268" t="n"/>
      <c r="I194" s="268" t="n"/>
      <c r="J194" s="268" t="n"/>
      <c r="K194" s="268" t="n"/>
      <c r="L194" s="268" t="n"/>
      <c r="M194" s="268" t="n"/>
      <c r="N194" s="268" t="n"/>
      <c r="O194" s="268" t="n"/>
      <c r="P194" s="268" t="n"/>
      <c r="Q194" s="268" t="n"/>
      <c r="R194" s="268" t="n"/>
      <c r="S194" s="268" t="n"/>
      <c r="T194" s="268" t="n"/>
      <c r="U194" s="268" t="n"/>
      <c r="V194" s="268" t="n"/>
      <c r="W194" s="268" t="n"/>
      <c r="X194" s="268" t="n"/>
      <c r="Y194" s="268" t="n"/>
      <c r="Z194" s="268" t="n"/>
    </row>
    <row r="195" ht="15.75" customHeight="1" s="372">
      <c r="A195" s="268" t="n"/>
      <c r="B195" s="268" t="n"/>
      <c r="C195" s="268" t="n"/>
      <c r="D195" s="268" t="n"/>
      <c r="E195" s="268" t="n"/>
      <c r="F195" s="268" t="n"/>
      <c r="G195" s="268" t="n"/>
      <c r="H195" s="268" t="n"/>
      <c r="I195" s="268" t="n"/>
      <c r="J195" s="268" t="n"/>
      <c r="K195" s="268" t="n"/>
      <c r="L195" s="268" t="n"/>
      <c r="M195" s="268" t="n"/>
      <c r="N195" s="268" t="n"/>
      <c r="O195" s="268" t="n"/>
      <c r="P195" s="268" t="n"/>
      <c r="Q195" s="268" t="n"/>
      <c r="R195" s="268" t="n"/>
      <c r="S195" s="268" t="n"/>
      <c r="T195" s="268" t="n"/>
      <c r="U195" s="268" t="n"/>
      <c r="V195" s="268" t="n"/>
      <c r="W195" s="268" t="n"/>
      <c r="X195" s="268" t="n"/>
      <c r="Y195" s="268" t="n"/>
      <c r="Z195" s="268" t="n"/>
    </row>
    <row r="196" ht="15.75" customHeight="1" s="372">
      <c r="A196" s="268" t="n"/>
      <c r="B196" s="268" t="n"/>
      <c r="C196" s="268" t="n"/>
      <c r="D196" s="268" t="n"/>
      <c r="E196" s="268" t="n"/>
      <c r="F196" s="268" t="n"/>
      <c r="G196" s="268" t="n"/>
      <c r="H196" s="268" t="n"/>
      <c r="I196" s="268" t="n"/>
      <c r="J196" s="268" t="n"/>
      <c r="K196" s="268" t="n"/>
      <c r="L196" s="268" t="n"/>
      <c r="M196" s="268" t="n"/>
      <c r="N196" s="268" t="n"/>
      <c r="O196" s="268" t="n"/>
      <c r="P196" s="268" t="n"/>
      <c r="Q196" s="268" t="n"/>
      <c r="R196" s="268" t="n"/>
      <c r="S196" s="268" t="n"/>
      <c r="T196" s="268" t="n"/>
      <c r="U196" s="268" t="n"/>
      <c r="V196" s="268" t="n"/>
      <c r="W196" s="268" t="n"/>
      <c r="X196" s="268" t="n"/>
      <c r="Y196" s="268" t="n"/>
      <c r="Z196" s="268" t="n"/>
    </row>
    <row r="197" ht="15.75" customHeight="1" s="372">
      <c r="A197" s="268" t="n"/>
      <c r="B197" s="268" t="n"/>
      <c r="C197" s="268" t="n"/>
      <c r="D197" s="268" t="n"/>
      <c r="E197" s="268" t="n"/>
      <c r="F197" s="268" t="n"/>
      <c r="G197" s="268" t="n"/>
      <c r="H197" s="268" t="n"/>
      <c r="I197" s="268" t="n"/>
      <c r="J197" s="268" t="n"/>
      <c r="K197" s="268" t="n"/>
      <c r="L197" s="268" t="n"/>
      <c r="M197" s="268" t="n"/>
      <c r="N197" s="268" t="n"/>
      <c r="O197" s="268" t="n"/>
      <c r="P197" s="268" t="n"/>
      <c r="Q197" s="268" t="n"/>
      <c r="R197" s="268" t="n"/>
      <c r="S197" s="268" t="n"/>
      <c r="T197" s="268" t="n"/>
      <c r="U197" s="268" t="n"/>
      <c r="V197" s="268" t="n"/>
      <c r="W197" s="268" t="n"/>
      <c r="X197" s="268" t="n"/>
      <c r="Y197" s="268" t="n"/>
      <c r="Z197" s="268" t="n"/>
    </row>
    <row r="198" ht="15.75" customHeight="1" s="372">
      <c r="A198" s="268" t="n"/>
      <c r="B198" s="268" t="n"/>
      <c r="C198" s="268" t="n"/>
      <c r="D198" s="268" t="n"/>
      <c r="E198" s="268" t="n"/>
      <c r="F198" s="268" t="n"/>
      <c r="G198" s="268" t="n"/>
      <c r="H198" s="268" t="n"/>
      <c r="I198" s="268" t="n"/>
      <c r="J198" s="268" t="n"/>
      <c r="K198" s="268" t="n"/>
      <c r="L198" s="268" t="n"/>
      <c r="M198" s="268" t="n"/>
      <c r="N198" s="268" t="n"/>
      <c r="O198" s="268" t="n"/>
      <c r="P198" s="268" t="n"/>
      <c r="Q198" s="268" t="n"/>
      <c r="R198" s="268" t="n"/>
      <c r="S198" s="268" t="n"/>
      <c r="T198" s="268" t="n"/>
      <c r="U198" s="268" t="n"/>
      <c r="V198" s="268" t="n"/>
      <c r="W198" s="268" t="n"/>
      <c r="X198" s="268" t="n"/>
      <c r="Y198" s="268" t="n"/>
      <c r="Z198" s="268" t="n"/>
    </row>
    <row r="199" ht="15.75" customHeight="1" s="372">
      <c r="A199" s="268" t="n"/>
      <c r="B199" s="268" t="n"/>
      <c r="C199" s="268" t="n"/>
      <c r="D199" s="268" t="n"/>
      <c r="E199" s="268" t="n"/>
      <c r="F199" s="268" t="n"/>
      <c r="G199" s="268" t="n"/>
      <c r="H199" s="268" t="n"/>
      <c r="I199" s="268" t="n"/>
      <c r="J199" s="268" t="n"/>
      <c r="K199" s="268" t="n"/>
      <c r="L199" s="268" t="n"/>
      <c r="M199" s="268" t="n"/>
      <c r="N199" s="268" t="n"/>
      <c r="O199" s="268" t="n"/>
      <c r="P199" s="268" t="n"/>
      <c r="Q199" s="268" t="n"/>
      <c r="R199" s="268" t="n"/>
      <c r="S199" s="268" t="n"/>
      <c r="T199" s="268" t="n"/>
      <c r="U199" s="268" t="n"/>
      <c r="V199" s="268" t="n"/>
      <c r="W199" s="268" t="n"/>
      <c r="X199" s="268" t="n"/>
      <c r="Y199" s="268" t="n"/>
      <c r="Z199" s="268" t="n"/>
    </row>
    <row r="200" ht="15.75" customHeight="1" s="372">
      <c r="A200" s="268" t="n"/>
      <c r="B200" s="268" t="n"/>
      <c r="C200" s="268" t="n"/>
      <c r="D200" s="268" t="n"/>
      <c r="E200" s="268" t="n"/>
      <c r="F200" s="268" t="n"/>
      <c r="G200" s="268" t="n"/>
      <c r="H200" s="268" t="n"/>
      <c r="I200" s="268" t="n"/>
      <c r="J200" s="268" t="n"/>
      <c r="K200" s="268" t="n"/>
      <c r="L200" s="268" t="n"/>
      <c r="M200" s="268" t="n"/>
      <c r="N200" s="268" t="n"/>
      <c r="O200" s="268" t="n"/>
      <c r="P200" s="268" t="n"/>
      <c r="Q200" s="268" t="n"/>
      <c r="R200" s="268" t="n"/>
      <c r="S200" s="268" t="n"/>
      <c r="T200" s="268" t="n"/>
      <c r="U200" s="268" t="n"/>
      <c r="V200" s="268" t="n"/>
      <c r="W200" s="268" t="n"/>
      <c r="X200" s="268" t="n"/>
      <c r="Y200" s="268" t="n"/>
      <c r="Z200" s="268" t="n"/>
    </row>
    <row r="201" ht="15.75" customHeight="1" s="372">
      <c r="A201" s="268" t="n"/>
      <c r="B201" s="268" t="n"/>
      <c r="C201" s="268" t="n"/>
      <c r="D201" s="268" t="n"/>
      <c r="E201" s="268" t="n"/>
      <c r="F201" s="268" t="n"/>
      <c r="G201" s="268" t="n"/>
      <c r="H201" s="268" t="n"/>
      <c r="I201" s="268" t="n"/>
      <c r="J201" s="268" t="n"/>
      <c r="K201" s="268" t="n"/>
      <c r="L201" s="268" t="n"/>
      <c r="M201" s="268" t="n"/>
      <c r="N201" s="268" t="n"/>
      <c r="O201" s="268" t="n"/>
      <c r="P201" s="268" t="n"/>
      <c r="Q201" s="268" t="n"/>
      <c r="R201" s="268" t="n"/>
      <c r="S201" s="268" t="n"/>
      <c r="T201" s="268" t="n"/>
      <c r="U201" s="268" t="n"/>
      <c r="V201" s="268" t="n"/>
      <c r="W201" s="268" t="n"/>
      <c r="X201" s="268" t="n"/>
      <c r="Y201" s="268" t="n"/>
      <c r="Z201" s="268" t="n"/>
    </row>
    <row r="202" ht="15.75" customHeight="1" s="372">
      <c r="A202" s="268" t="n"/>
      <c r="B202" s="268" t="n"/>
      <c r="C202" s="268" t="n"/>
      <c r="D202" s="268" t="n"/>
      <c r="E202" s="268" t="n"/>
      <c r="F202" s="268" t="n"/>
      <c r="G202" s="268" t="n"/>
      <c r="H202" s="268" t="n"/>
      <c r="I202" s="268" t="n"/>
      <c r="J202" s="268" t="n"/>
      <c r="K202" s="268" t="n"/>
      <c r="L202" s="268" t="n"/>
      <c r="M202" s="268" t="n"/>
      <c r="N202" s="268" t="n"/>
      <c r="O202" s="268" t="n"/>
      <c r="P202" s="268" t="n"/>
      <c r="Q202" s="268" t="n"/>
      <c r="R202" s="268" t="n"/>
      <c r="S202" s="268" t="n"/>
      <c r="T202" s="268" t="n"/>
      <c r="U202" s="268" t="n"/>
      <c r="V202" s="268" t="n"/>
      <c r="W202" s="268" t="n"/>
      <c r="X202" s="268" t="n"/>
      <c r="Y202" s="268" t="n"/>
      <c r="Z202" s="268" t="n"/>
    </row>
    <row r="203" ht="15.75" customHeight="1" s="372">
      <c r="A203" s="268" t="n"/>
      <c r="B203" s="268" t="n"/>
      <c r="C203" s="268" t="n"/>
      <c r="D203" s="268" t="n"/>
      <c r="E203" s="268" t="n"/>
      <c r="F203" s="268" t="n"/>
      <c r="G203" s="268" t="n"/>
      <c r="H203" s="268" t="n"/>
      <c r="I203" s="268" t="n"/>
      <c r="J203" s="268" t="n"/>
      <c r="K203" s="268" t="n"/>
      <c r="L203" s="268" t="n"/>
      <c r="M203" s="268" t="n"/>
      <c r="N203" s="268" t="n"/>
      <c r="O203" s="268" t="n"/>
      <c r="P203" s="268" t="n"/>
      <c r="Q203" s="268" t="n"/>
      <c r="R203" s="268" t="n"/>
      <c r="S203" s="268" t="n"/>
      <c r="T203" s="268" t="n"/>
      <c r="U203" s="268" t="n"/>
      <c r="V203" s="268" t="n"/>
      <c r="W203" s="268" t="n"/>
      <c r="X203" s="268" t="n"/>
      <c r="Y203" s="268" t="n"/>
      <c r="Z203" s="268" t="n"/>
    </row>
    <row r="204" ht="15.75" customHeight="1" s="372">
      <c r="A204" s="268" t="n"/>
      <c r="B204" s="268" t="n"/>
      <c r="C204" s="268" t="n"/>
      <c r="D204" s="268" t="n"/>
      <c r="E204" s="268" t="n"/>
      <c r="F204" s="268" t="n"/>
      <c r="G204" s="268" t="n"/>
      <c r="H204" s="268" t="n"/>
      <c r="I204" s="268" t="n"/>
      <c r="J204" s="268" t="n"/>
      <c r="K204" s="268" t="n"/>
      <c r="L204" s="268" t="n"/>
      <c r="M204" s="268" t="n"/>
      <c r="N204" s="268" t="n"/>
      <c r="O204" s="268" t="n"/>
      <c r="P204" s="268" t="n"/>
      <c r="Q204" s="268" t="n"/>
      <c r="R204" s="268" t="n"/>
      <c r="S204" s="268" t="n"/>
      <c r="T204" s="268" t="n"/>
      <c r="U204" s="268" t="n"/>
      <c r="V204" s="268" t="n"/>
      <c r="W204" s="268" t="n"/>
      <c r="X204" s="268" t="n"/>
      <c r="Y204" s="268" t="n"/>
      <c r="Z204" s="268" t="n"/>
    </row>
    <row r="205" ht="15.75" customHeight="1" s="372">
      <c r="A205" s="268" t="n"/>
      <c r="B205" s="268" t="n"/>
      <c r="C205" s="268" t="n"/>
      <c r="D205" s="268" t="n"/>
      <c r="E205" s="268" t="n"/>
      <c r="F205" s="268" t="n"/>
      <c r="G205" s="268" t="n"/>
      <c r="H205" s="268" t="n"/>
      <c r="I205" s="268" t="n"/>
      <c r="J205" s="268" t="n"/>
      <c r="K205" s="268" t="n"/>
      <c r="L205" s="268" t="n"/>
      <c r="M205" s="268" t="n"/>
      <c r="N205" s="268" t="n"/>
      <c r="O205" s="268" t="n"/>
      <c r="P205" s="268" t="n"/>
      <c r="Q205" s="268" t="n"/>
      <c r="R205" s="268" t="n"/>
      <c r="S205" s="268" t="n"/>
      <c r="T205" s="268" t="n"/>
      <c r="U205" s="268" t="n"/>
      <c r="V205" s="268" t="n"/>
      <c r="W205" s="268" t="n"/>
      <c r="X205" s="268" t="n"/>
      <c r="Y205" s="268" t="n"/>
      <c r="Z205" s="268" t="n"/>
    </row>
    <row r="206" ht="15.75" customHeight="1" s="372">
      <c r="A206" s="268" t="n"/>
      <c r="B206" s="268" t="n"/>
      <c r="C206" s="268" t="n"/>
      <c r="D206" s="268" t="n"/>
      <c r="E206" s="268" t="n"/>
      <c r="F206" s="268" t="n"/>
      <c r="G206" s="268" t="n"/>
      <c r="H206" s="268" t="n"/>
      <c r="I206" s="268" t="n"/>
      <c r="J206" s="268" t="n"/>
      <c r="K206" s="268" t="n"/>
      <c r="L206" s="268" t="n"/>
      <c r="M206" s="268" t="n"/>
      <c r="N206" s="268" t="n"/>
      <c r="O206" s="268" t="n"/>
      <c r="P206" s="268" t="n"/>
      <c r="Q206" s="268" t="n"/>
      <c r="R206" s="268" t="n"/>
      <c r="S206" s="268" t="n"/>
      <c r="T206" s="268" t="n"/>
      <c r="U206" s="268" t="n"/>
      <c r="V206" s="268" t="n"/>
      <c r="W206" s="268" t="n"/>
      <c r="X206" s="268" t="n"/>
      <c r="Y206" s="268" t="n"/>
      <c r="Z206" s="268" t="n"/>
    </row>
    <row r="207" ht="15.75" customHeight="1" s="372">
      <c r="A207" s="268" t="n"/>
      <c r="B207" s="268" t="n"/>
      <c r="C207" s="268" t="n"/>
      <c r="D207" s="268" t="n"/>
      <c r="E207" s="268" t="n"/>
      <c r="F207" s="268" t="n"/>
      <c r="G207" s="268" t="n"/>
      <c r="H207" s="268" t="n"/>
      <c r="I207" s="268" t="n"/>
      <c r="J207" s="268" t="n"/>
      <c r="K207" s="268" t="n"/>
      <c r="L207" s="268" t="n"/>
      <c r="M207" s="268" t="n"/>
      <c r="N207" s="268" t="n"/>
      <c r="O207" s="268" t="n"/>
      <c r="P207" s="268" t="n"/>
      <c r="Q207" s="268" t="n"/>
      <c r="R207" s="268" t="n"/>
      <c r="S207" s="268" t="n"/>
      <c r="T207" s="268" t="n"/>
      <c r="U207" s="268" t="n"/>
      <c r="V207" s="268" t="n"/>
      <c r="W207" s="268" t="n"/>
      <c r="X207" s="268" t="n"/>
      <c r="Y207" s="268" t="n"/>
      <c r="Z207" s="268" t="n"/>
    </row>
    <row r="208" ht="15.75" customHeight="1" s="372">
      <c r="A208" s="268" t="n"/>
      <c r="B208" s="268" t="n"/>
      <c r="C208" s="268" t="n"/>
      <c r="D208" s="268" t="n"/>
      <c r="E208" s="268" t="n"/>
      <c r="F208" s="268" t="n"/>
      <c r="G208" s="268" t="n"/>
      <c r="H208" s="268" t="n"/>
      <c r="I208" s="268" t="n"/>
      <c r="J208" s="268" t="n"/>
      <c r="K208" s="268" t="n"/>
      <c r="L208" s="268" t="n"/>
      <c r="M208" s="268" t="n"/>
      <c r="N208" s="268" t="n"/>
      <c r="O208" s="268" t="n"/>
      <c r="P208" s="268" t="n"/>
      <c r="Q208" s="268" t="n"/>
      <c r="R208" s="268" t="n"/>
      <c r="S208" s="268" t="n"/>
      <c r="T208" s="268" t="n"/>
      <c r="U208" s="268" t="n"/>
      <c r="V208" s="268" t="n"/>
      <c r="W208" s="268" t="n"/>
      <c r="X208" s="268" t="n"/>
      <c r="Y208" s="268" t="n"/>
      <c r="Z208" s="268" t="n"/>
    </row>
    <row r="209" ht="15.75" customHeight="1" s="372">
      <c r="A209" s="268" t="n"/>
      <c r="B209" s="268" t="n"/>
      <c r="C209" s="268" t="n"/>
      <c r="D209" s="268" t="n"/>
      <c r="E209" s="268" t="n"/>
      <c r="F209" s="268" t="n"/>
      <c r="G209" s="268" t="n"/>
      <c r="H209" s="268" t="n"/>
      <c r="I209" s="268" t="n"/>
      <c r="J209" s="268" t="n"/>
      <c r="K209" s="268" t="n"/>
      <c r="L209" s="268" t="n"/>
      <c r="M209" s="268" t="n"/>
      <c r="N209" s="268" t="n"/>
      <c r="O209" s="268" t="n"/>
      <c r="P209" s="268" t="n"/>
      <c r="Q209" s="268" t="n"/>
      <c r="R209" s="268" t="n"/>
      <c r="S209" s="268" t="n"/>
      <c r="T209" s="268" t="n"/>
      <c r="U209" s="268" t="n"/>
      <c r="V209" s="268" t="n"/>
      <c r="W209" s="268" t="n"/>
      <c r="X209" s="268" t="n"/>
      <c r="Y209" s="268" t="n"/>
      <c r="Z209" s="268" t="n"/>
    </row>
    <row r="210" ht="15.75" customHeight="1" s="372">
      <c r="A210" s="268" t="n"/>
      <c r="B210" s="268" t="n"/>
      <c r="C210" s="268" t="n"/>
      <c r="D210" s="268" t="n"/>
      <c r="E210" s="268" t="n"/>
      <c r="F210" s="268" t="n"/>
      <c r="G210" s="268" t="n"/>
      <c r="H210" s="268" t="n"/>
      <c r="I210" s="268" t="n"/>
      <c r="J210" s="268" t="n"/>
      <c r="K210" s="268" t="n"/>
      <c r="L210" s="268" t="n"/>
      <c r="M210" s="268" t="n"/>
      <c r="N210" s="268" t="n"/>
      <c r="O210" s="268" t="n"/>
      <c r="P210" s="268" t="n"/>
      <c r="Q210" s="268" t="n"/>
      <c r="R210" s="268" t="n"/>
      <c r="S210" s="268" t="n"/>
      <c r="T210" s="268" t="n"/>
      <c r="U210" s="268" t="n"/>
      <c r="V210" s="268" t="n"/>
      <c r="W210" s="268" t="n"/>
      <c r="X210" s="268" t="n"/>
      <c r="Y210" s="268" t="n"/>
      <c r="Z210" s="268" t="n"/>
    </row>
    <row r="211" ht="15.75" customHeight="1" s="372">
      <c r="A211" s="268" t="n"/>
      <c r="B211" s="268" t="n"/>
      <c r="C211" s="268" t="n"/>
      <c r="D211" s="268" t="n"/>
      <c r="E211" s="268" t="n"/>
      <c r="F211" s="268" t="n"/>
      <c r="G211" s="268" t="n"/>
      <c r="H211" s="268" t="n"/>
      <c r="I211" s="268" t="n"/>
      <c r="J211" s="268" t="n"/>
      <c r="K211" s="268" t="n"/>
      <c r="L211" s="268" t="n"/>
      <c r="M211" s="268" t="n"/>
      <c r="N211" s="268" t="n"/>
      <c r="O211" s="268" t="n"/>
      <c r="P211" s="268" t="n"/>
      <c r="Q211" s="268" t="n"/>
      <c r="R211" s="268" t="n"/>
      <c r="S211" s="268" t="n"/>
      <c r="T211" s="268" t="n"/>
      <c r="U211" s="268" t="n"/>
      <c r="V211" s="268" t="n"/>
      <c r="W211" s="268" t="n"/>
      <c r="X211" s="268" t="n"/>
      <c r="Y211" s="268" t="n"/>
      <c r="Z211" s="268" t="n"/>
    </row>
    <row r="212" ht="15.75" customHeight="1" s="372">
      <c r="A212" s="268" t="n"/>
      <c r="B212" s="268" t="n"/>
      <c r="C212" s="268" t="n"/>
      <c r="D212" s="268" t="n"/>
      <c r="E212" s="268" t="n"/>
      <c r="F212" s="268" t="n"/>
      <c r="G212" s="268" t="n"/>
      <c r="H212" s="268" t="n"/>
      <c r="I212" s="268" t="n"/>
      <c r="J212" s="268" t="n"/>
      <c r="K212" s="268" t="n"/>
      <c r="L212" s="268" t="n"/>
      <c r="M212" s="268" t="n"/>
      <c r="N212" s="268" t="n"/>
      <c r="O212" s="268" t="n"/>
      <c r="P212" s="268" t="n"/>
      <c r="Q212" s="268" t="n"/>
      <c r="R212" s="268" t="n"/>
      <c r="S212" s="268" t="n"/>
      <c r="T212" s="268" t="n"/>
      <c r="U212" s="268" t="n"/>
      <c r="V212" s="268" t="n"/>
      <c r="W212" s="268" t="n"/>
      <c r="X212" s="268" t="n"/>
      <c r="Y212" s="268" t="n"/>
      <c r="Z212" s="268" t="n"/>
    </row>
    <row r="213" ht="15.75" customHeight="1" s="372">
      <c r="A213" s="268" t="n"/>
      <c r="B213" s="268" t="n"/>
      <c r="C213" s="268" t="n"/>
      <c r="D213" s="268" t="n"/>
      <c r="E213" s="268" t="n"/>
      <c r="F213" s="268" t="n"/>
      <c r="G213" s="268" t="n"/>
      <c r="H213" s="268" t="n"/>
      <c r="I213" s="268" t="n"/>
      <c r="J213" s="268" t="n"/>
      <c r="K213" s="268" t="n"/>
      <c r="L213" s="268" t="n"/>
      <c r="M213" s="268" t="n"/>
      <c r="N213" s="268" t="n"/>
      <c r="O213" s="268" t="n"/>
      <c r="P213" s="268" t="n"/>
      <c r="Q213" s="268" t="n"/>
      <c r="R213" s="268" t="n"/>
      <c r="S213" s="268" t="n"/>
      <c r="T213" s="268" t="n"/>
      <c r="U213" s="268" t="n"/>
      <c r="V213" s="268" t="n"/>
      <c r="W213" s="268" t="n"/>
      <c r="X213" s="268" t="n"/>
      <c r="Y213" s="268" t="n"/>
      <c r="Z213" s="268" t="n"/>
    </row>
    <row r="214" ht="15.75" customHeight="1" s="372">
      <c r="A214" s="268" t="n"/>
      <c r="B214" s="268" t="n"/>
      <c r="C214" s="268" t="n"/>
      <c r="D214" s="268" t="n"/>
      <c r="E214" s="268" t="n"/>
      <c r="F214" s="268" t="n"/>
      <c r="G214" s="268" t="n"/>
      <c r="H214" s="268" t="n"/>
      <c r="I214" s="268" t="n"/>
      <c r="J214" s="268" t="n"/>
      <c r="K214" s="268" t="n"/>
      <c r="L214" s="268" t="n"/>
      <c r="M214" s="268" t="n"/>
      <c r="N214" s="268" t="n"/>
      <c r="O214" s="268" t="n"/>
      <c r="P214" s="268" t="n"/>
      <c r="Q214" s="268" t="n"/>
      <c r="R214" s="268" t="n"/>
      <c r="S214" s="268" t="n"/>
      <c r="T214" s="268" t="n"/>
      <c r="U214" s="268" t="n"/>
      <c r="V214" s="268" t="n"/>
      <c r="W214" s="268" t="n"/>
      <c r="X214" s="268" t="n"/>
      <c r="Y214" s="268" t="n"/>
      <c r="Z214" s="268" t="n"/>
    </row>
    <row r="215" ht="15.75" customHeight="1" s="372">
      <c r="A215" s="268" t="n"/>
      <c r="B215" s="268" t="n"/>
      <c r="C215" s="268" t="n"/>
      <c r="D215" s="268" t="n"/>
      <c r="E215" s="268" t="n"/>
      <c r="F215" s="268" t="n"/>
      <c r="G215" s="268" t="n"/>
      <c r="H215" s="268" t="n"/>
      <c r="I215" s="268" t="n"/>
      <c r="J215" s="268" t="n"/>
      <c r="K215" s="268" t="n"/>
      <c r="L215" s="268" t="n"/>
      <c r="M215" s="268" t="n"/>
      <c r="N215" s="268" t="n"/>
      <c r="O215" s="268" t="n"/>
      <c r="P215" s="268" t="n"/>
      <c r="Q215" s="268" t="n"/>
      <c r="R215" s="268" t="n"/>
      <c r="S215" s="268" t="n"/>
      <c r="T215" s="268" t="n"/>
      <c r="U215" s="268" t="n"/>
      <c r="V215" s="268" t="n"/>
      <c r="W215" s="268" t="n"/>
      <c r="X215" s="268" t="n"/>
      <c r="Y215" s="268" t="n"/>
      <c r="Z215" s="268" t="n"/>
    </row>
    <row r="216" ht="15.75" customHeight="1" s="372">
      <c r="A216" s="268" t="n"/>
      <c r="B216" s="268" t="n"/>
      <c r="C216" s="268" t="n"/>
      <c r="D216" s="268" t="n"/>
      <c r="E216" s="268" t="n"/>
      <c r="F216" s="268" t="n"/>
      <c r="G216" s="268" t="n"/>
      <c r="H216" s="268" t="n"/>
      <c r="I216" s="268" t="n"/>
      <c r="J216" s="268" t="n"/>
      <c r="K216" s="268" t="n"/>
      <c r="L216" s="268" t="n"/>
      <c r="M216" s="268" t="n"/>
      <c r="N216" s="268" t="n"/>
      <c r="O216" s="268" t="n"/>
      <c r="P216" s="268" t="n"/>
      <c r="Q216" s="268" t="n"/>
      <c r="R216" s="268" t="n"/>
      <c r="S216" s="268" t="n"/>
      <c r="T216" s="268" t="n"/>
      <c r="U216" s="268" t="n"/>
      <c r="V216" s="268" t="n"/>
      <c r="W216" s="268" t="n"/>
      <c r="X216" s="268" t="n"/>
      <c r="Y216" s="268" t="n"/>
      <c r="Z216" s="268" t="n"/>
    </row>
    <row r="217" ht="15.75" customHeight="1" s="372">
      <c r="A217" s="268" t="n"/>
      <c r="B217" s="268" t="n"/>
      <c r="C217" s="268" t="n"/>
      <c r="D217" s="268" t="n"/>
      <c r="E217" s="268" t="n"/>
      <c r="F217" s="268" t="n"/>
      <c r="G217" s="268" t="n"/>
      <c r="H217" s="268" t="n"/>
      <c r="I217" s="268" t="n"/>
      <c r="J217" s="268" t="n"/>
      <c r="K217" s="268" t="n"/>
      <c r="L217" s="268" t="n"/>
      <c r="M217" s="268" t="n"/>
      <c r="N217" s="268" t="n"/>
      <c r="O217" s="268" t="n"/>
      <c r="P217" s="268" t="n"/>
      <c r="Q217" s="268" t="n"/>
      <c r="R217" s="268" t="n"/>
      <c r="S217" s="268" t="n"/>
      <c r="T217" s="268" t="n"/>
      <c r="U217" s="268" t="n"/>
      <c r="V217" s="268" t="n"/>
      <c r="W217" s="268" t="n"/>
      <c r="X217" s="268" t="n"/>
      <c r="Y217" s="268" t="n"/>
      <c r="Z217" s="268" t="n"/>
    </row>
    <row r="218" ht="15.75" customHeight="1" s="372">
      <c r="A218" s="268" t="n"/>
      <c r="B218" s="268" t="n"/>
      <c r="C218" s="268" t="n"/>
      <c r="D218" s="268" t="n"/>
      <c r="E218" s="268" t="n"/>
      <c r="F218" s="268" t="n"/>
      <c r="G218" s="268" t="n"/>
      <c r="H218" s="268" t="n"/>
      <c r="I218" s="268" t="n"/>
      <c r="J218" s="268" t="n"/>
      <c r="K218" s="268" t="n"/>
      <c r="L218" s="268" t="n"/>
      <c r="M218" s="268" t="n"/>
      <c r="N218" s="268" t="n"/>
      <c r="O218" s="268" t="n"/>
      <c r="P218" s="268" t="n"/>
      <c r="Q218" s="268" t="n"/>
      <c r="R218" s="268" t="n"/>
      <c r="S218" s="268" t="n"/>
      <c r="T218" s="268" t="n"/>
      <c r="U218" s="268" t="n"/>
      <c r="V218" s="268" t="n"/>
      <c r="W218" s="268" t="n"/>
      <c r="X218" s="268" t="n"/>
      <c r="Y218" s="268" t="n"/>
      <c r="Z218" s="268" t="n"/>
    </row>
    <row r="219" ht="15.75" customHeight="1" s="372">
      <c r="A219" s="268" t="n"/>
      <c r="B219" s="268" t="n"/>
      <c r="C219" s="268" t="n"/>
      <c r="D219" s="268" t="n"/>
      <c r="E219" s="268" t="n"/>
      <c r="F219" s="268" t="n"/>
      <c r="G219" s="268" t="n"/>
      <c r="H219" s="268" t="n"/>
      <c r="I219" s="268" t="n"/>
      <c r="J219" s="268" t="n"/>
      <c r="K219" s="268" t="n"/>
      <c r="L219" s="268" t="n"/>
      <c r="M219" s="268" t="n"/>
      <c r="N219" s="268" t="n"/>
      <c r="O219" s="268" t="n"/>
      <c r="P219" s="268" t="n"/>
      <c r="Q219" s="268" t="n"/>
      <c r="R219" s="268" t="n"/>
      <c r="S219" s="268" t="n"/>
      <c r="T219" s="268" t="n"/>
      <c r="U219" s="268" t="n"/>
      <c r="V219" s="268" t="n"/>
      <c r="W219" s="268" t="n"/>
      <c r="X219" s="268" t="n"/>
      <c r="Y219" s="268" t="n"/>
      <c r="Z219" s="268" t="n"/>
    </row>
    <row r="220" ht="15.75" customHeight="1" s="372">
      <c r="A220" s="268" t="n"/>
      <c r="B220" s="268" t="n"/>
      <c r="C220" s="268" t="n"/>
      <c r="D220" s="268" t="n"/>
      <c r="E220" s="268" t="n"/>
      <c r="F220" s="268" t="n"/>
      <c r="G220" s="268" t="n"/>
      <c r="H220" s="268" t="n"/>
      <c r="I220" s="268" t="n"/>
      <c r="J220" s="268" t="n"/>
      <c r="K220" s="268" t="n"/>
      <c r="L220" s="268" t="n"/>
      <c r="M220" s="268" t="n"/>
      <c r="N220" s="268" t="n"/>
      <c r="O220" s="268" t="n"/>
      <c r="P220" s="268" t="n"/>
      <c r="Q220" s="268" t="n"/>
      <c r="R220" s="268" t="n"/>
      <c r="S220" s="268" t="n"/>
      <c r="T220" s="268" t="n"/>
      <c r="U220" s="268" t="n"/>
      <c r="V220" s="268" t="n"/>
      <c r="W220" s="268" t="n"/>
      <c r="X220" s="268" t="n"/>
      <c r="Y220" s="268" t="n"/>
      <c r="Z220" s="268" t="n"/>
    </row>
    <row r="221" ht="15.75" customHeight="1" s="372">
      <c r="A221" s="268" t="n"/>
      <c r="B221" s="268" t="n"/>
      <c r="C221" s="268" t="n"/>
      <c r="D221" s="268" t="n"/>
      <c r="E221" s="268" t="n"/>
      <c r="F221" s="268" t="n"/>
      <c r="G221" s="268" t="n"/>
      <c r="H221" s="268" t="n"/>
      <c r="I221" s="268" t="n"/>
      <c r="J221" s="268" t="n"/>
      <c r="K221" s="268" t="n"/>
      <c r="L221" s="268" t="n"/>
      <c r="M221" s="268" t="n"/>
      <c r="N221" s="268" t="n"/>
      <c r="O221" s="268" t="n"/>
      <c r="P221" s="268" t="n"/>
      <c r="Q221" s="268" t="n"/>
      <c r="R221" s="268" t="n"/>
      <c r="S221" s="268" t="n"/>
      <c r="T221" s="268" t="n"/>
      <c r="U221" s="268" t="n"/>
      <c r="V221" s="268" t="n"/>
      <c r="W221" s="268" t="n"/>
      <c r="X221" s="268" t="n"/>
      <c r="Y221" s="268" t="n"/>
      <c r="Z221" s="268" t="n"/>
    </row>
    <row r="222" ht="15.75" customHeight="1" s="372">
      <c r="A222" s="268" t="n"/>
      <c r="B222" s="268" t="n"/>
      <c r="C222" s="268" t="n"/>
      <c r="D222" s="268" t="n"/>
      <c r="E222" s="268" t="n"/>
      <c r="F222" s="268" t="n"/>
      <c r="G222" s="268" t="n"/>
      <c r="H222" s="268" t="n"/>
      <c r="I222" s="268" t="n"/>
      <c r="J222" s="268" t="n"/>
      <c r="K222" s="268" t="n"/>
      <c r="L222" s="268" t="n"/>
      <c r="M222" s="268" t="n"/>
      <c r="N222" s="268" t="n"/>
      <c r="O222" s="268" t="n"/>
      <c r="P222" s="268" t="n"/>
      <c r="Q222" s="268" t="n"/>
      <c r="R222" s="268" t="n"/>
      <c r="S222" s="268" t="n"/>
      <c r="T222" s="268" t="n"/>
      <c r="U222" s="268" t="n"/>
      <c r="V222" s="268" t="n"/>
      <c r="W222" s="268" t="n"/>
      <c r="X222" s="268" t="n"/>
      <c r="Y222" s="268" t="n"/>
      <c r="Z222" s="268" t="n"/>
    </row>
    <row r="223" ht="15.75" customHeight="1" s="372">
      <c r="A223" s="268" t="n"/>
      <c r="B223" s="268" t="n"/>
      <c r="C223" s="268" t="n"/>
      <c r="D223" s="268" t="n"/>
      <c r="E223" s="268" t="n"/>
      <c r="F223" s="268" t="n"/>
      <c r="G223" s="268" t="n"/>
      <c r="H223" s="268" t="n"/>
      <c r="I223" s="268" t="n"/>
      <c r="J223" s="268" t="n"/>
      <c r="K223" s="268" t="n"/>
      <c r="L223" s="268" t="n"/>
      <c r="M223" s="268" t="n"/>
      <c r="N223" s="268" t="n"/>
      <c r="O223" s="268" t="n"/>
      <c r="P223" s="268" t="n"/>
      <c r="Q223" s="268" t="n"/>
      <c r="R223" s="268" t="n"/>
      <c r="S223" s="268" t="n"/>
      <c r="T223" s="268" t="n"/>
      <c r="U223" s="268" t="n"/>
      <c r="V223" s="268" t="n"/>
      <c r="W223" s="268" t="n"/>
      <c r="X223" s="268" t="n"/>
      <c r="Y223" s="268" t="n"/>
      <c r="Z223" s="268" t="n"/>
    </row>
    <row r="224" ht="15.75" customHeight="1" s="372">
      <c r="A224" s="268" t="n"/>
      <c r="B224" s="268" t="n"/>
      <c r="C224" s="268" t="n"/>
      <c r="D224" s="268" t="n"/>
      <c r="E224" s="268" t="n"/>
      <c r="F224" s="268" t="n"/>
      <c r="G224" s="268" t="n"/>
      <c r="H224" s="268" t="n"/>
      <c r="I224" s="268" t="n"/>
      <c r="J224" s="268" t="n"/>
      <c r="K224" s="268" t="n"/>
      <c r="L224" s="268" t="n"/>
      <c r="M224" s="268" t="n"/>
      <c r="N224" s="268" t="n"/>
      <c r="O224" s="268" t="n"/>
      <c r="P224" s="268" t="n"/>
      <c r="Q224" s="268" t="n"/>
      <c r="R224" s="268" t="n"/>
      <c r="S224" s="268" t="n"/>
      <c r="T224" s="268" t="n"/>
      <c r="U224" s="268" t="n"/>
      <c r="V224" s="268" t="n"/>
      <c r="W224" s="268" t="n"/>
      <c r="X224" s="268" t="n"/>
      <c r="Y224" s="268" t="n"/>
      <c r="Z224" s="268" t="n"/>
    </row>
    <row r="225" ht="15.75" customHeight="1" s="372">
      <c r="A225" s="268" t="n"/>
      <c r="B225" s="268" t="n"/>
      <c r="C225" s="268" t="n"/>
      <c r="D225" s="268" t="n"/>
      <c r="E225" s="268" t="n"/>
      <c r="F225" s="268" t="n"/>
      <c r="G225" s="268" t="n"/>
      <c r="H225" s="268" t="n"/>
      <c r="I225" s="268" t="n"/>
      <c r="J225" s="268" t="n"/>
      <c r="K225" s="268" t="n"/>
      <c r="L225" s="268" t="n"/>
      <c r="M225" s="268" t="n"/>
      <c r="N225" s="268" t="n"/>
      <c r="O225" s="268" t="n"/>
      <c r="P225" s="268" t="n"/>
      <c r="Q225" s="268" t="n"/>
      <c r="R225" s="268" t="n"/>
      <c r="S225" s="268" t="n"/>
      <c r="T225" s="268" t="n"/>
      <c r="U225" s="268" t="n"/>
      <c r="V225" s="268" t="n"/>
      <c r="W225" s="268" t="n"/>
      <c r="X225" s="268" t="n"/>
      <c r="Y225" s="268" t="n"/>
      <c r="Z225" s="268" t="n"/>
    </row>
    <row r="226" ht="15.75" customHeight="1" s="372">
      <c r="A226" s="268" t="n"/>
      <c r="B226" s="268" t="n"/>
      <c r="C226" s="268" t="n"/>
      <c r="D226" s="268" t="n"/>
      <c r="E226" s="268" t="n"/>
      <c r="F226" s="268" t="n"/>
      <c r="G226" s="268" t="n"/>
      <c r="H226" s="268" t="n"/>
      <c r="I226" s="268" t="n"/>
      <c r="J226" s="268" t="n"/>
      <c r="K226" s="268" t="n"/>
      <c r="L226" s="268" t="n"/>
      <c r="M226" s="268" t="n"/>
      <c r="N226" s="268" t="n"/>
      <c r="O226" s="268" t="n"/>
      <c r="P226" s="268" t="n"/>
      <c r="Q226" s="268" t="n"/>
      <c r="R226" s="268" t="n"/>
      <c r="S226" s="268" t="n"/>
      <c r="T226" s="268" t="n"/>
      <c r="U226" s="268" t="n"/>
      <c r="V226" s="268" t="n"/>
      <c r="W226" s="268" t="n"/>
      <c r="X226" s="268" t="n"/>
      <c r="Y226" s="268" t="n"/>
      <c r="Z226" s="268" t="n"/>
    </row>
    <row r="227" ht="15.75" customHeight="1" s="372">
      <c r="A227" s="268" t="n"/>
      <c r="B227" s="268" t="n"/>
      <c r="C227" s="268" t="n"/>
      <c r="D227" s="268" t="n"/>
      <c r="E227" s="268" t="n"/>
      <c r="F227" s="268" t="n"/>
      <c r="G227" s="268" t="n"/>
      <c r="H227" s="268" t="n"/>
      <c r="I227" s="268" t="n"/>
      <c r="J227" s="268" t="n"/>
      <c r="K227" s="268" t="n"/>
      <c r="L227" s="268" t="n"/>
      <c r="M227" s="268" t="n"/>
      <c r="N227" s="268" t="n"/>
      <c r="O227" s="268" t="n"/>
      <c r="P227" s="268" t="n"/>
      <c r="Q227" s="268" t="n"/>
      <c r="R227" s="268" t="n"/>
      <c r="S227" s="268" t="n"/>
      <c r="T227" s="268" t="n"/>
      <c r="U227" s="268" t="n"/>
      <c r="V227" s="268" t="n"/>
      <c r="W227" s="268" t="n"/>
      <c r="X227" s="268" t="n"/>
      <c r="Y227" s="268" t="n"/>
      <c r="Z227" s="268" t="n"/>
    </row>
    <row r="228" ht="15.75" customHeight="1" s="372">
      <c r="A228" s="268" t="n"/>
      <c r="B228" s="268" t="n"/>
      <c r="C228" s="268" t="n"/>
      <c r="D228" s="268" t="n"/>
      <c r="E228" s="268" t="n"/>
      <c r="F228" s="268" t="n"/>
      <c r="G228" s="268" t="n"/>
      <c r="H228" s="268" t="n"/>
      <c r="I228" s="268" t="n"/>
      <c r="J228" s="268" t="n"/>
      <c r="K228" s="268" t="n"/>
      <c r="L228" s="268" t="n"/>
      <c r="M228" s="268" t="n"/>
      <c r="N228" s="268" t="n"/>
      <c r="O228" s="268" t="n"/>
      <c r="P228" s="268" t="n"/>
      <c r="Q228" s="268" t="n"/>
      <c r="R228" s="268" t="n"/>
      <c r="S228" s="268" t="n"/>
      <c r="T228" s="268" t="n"/>
      <c r="U228" s="268" t="n"/>
      <c r="V228" s="268" t="n"/>
      <c r="W228" s="268" t="n"/>
      <c r="X228" s="268" t="n"/>
      <c r="Y228" s="268" t="n"/>
      <c r="Z228" s="268" t="n"/>
    </row>
    <row r="229" ht="15.75" customHeight="1" s="372">
      <c r="A229" s="268" t="n"/>
      <c r="B229" s="268" t="n"/>
      <c r="C229" s="268" t="n"/>
      <c r="D229" s="268" t="n"/>
      <c r="E229" s="268" t="n"/>
      <c r="F229" s="268" t="n"/>
      <c r="G229" s="268" t="n"/>
      <c r="H229" s="268" t="n"/>
      <c r="I229" s="268" t="n"/>
      <c r="J229" s="268" t="n"/>
      <c r="K229" s="268" t="n"/>
      <c r="L229" s="268" t="n"/>
      <c r="M229" s="268" t="n"/>
      <c r="N229" s="268" t="n"/>
      <c r="O229" s="268" t="n"/>
      <c r="P229" s="268" t="n"/>
      <c r="Q229" s="268" t="n"/>
      <c r="R229" s="268" t="n"/>
      <c r="S229" s="268" t="n"/>
      <c r="T229" s="268" t="n"/>
      <c r="U229" s="268" t="n"/>
      <c r="V229" s="268" t="n"/>
      <c r="W229" s="268" t="n"/>
      <c r="X229" s="268" t="n"/>
      <c r="Y229" s="268" t="n"/>
      <c r="Z229" s="268" t="n"/>
    </row>
    <row r="230" ht="15.75" customHeight="1" s="372">
      <c r="A230" s="268" t="n"/>
      <c r="B230" s="268" t="n"/>
      <c r="C230" s="268" t="n"/>
      <c r="D230" s="268" t="n"/>
      <c r="E230" s="268" t="n"/>
      <c r="F230" s="268" t="n"/>
      <c r="G230" s="268" t="n"/>
      <c r="H230" s="268" t="n"/>
      <c r="I230" s="268" t="n"/>
      <c r="J230" s="268" t="n"/>
      <c r="K230" s="268" t="n"/>
      <c r="L230" s="268" t="n"/>
      <c r="M230" s="268" t="n"/>
      <c r="N230" s="268" t="n"/>
      <c r="O230" s="268" t="n"/>
      <c r="P230" s="268" t="n"/>
      <c r="Q230" s="268" t="n"/>
      <c r="R230" s="268" t="n"/>
      <c r="S230" s="268" t="n"/>
      <c r="T230" s="268" t="n"/>
      <c r="U230" s="268" t="n"/>
      <c r="V230" s="268" t="n"/>
      <c r="W230" s="268" t="n"/>
      <c r="X230" s="268" t="n"/>
      <c r="Y230" s="268" t="n"/>
      <c r="Z230" s="268" t="n"/>
    </row>
    <row r="231" ht="15.75" customHeight="1" s="372">
      <c r="A231" s="268" t="n"/>
      <c r="B231" s="268" t="n"/>
      <c r="C231" s="268" t="n"/>
      <c r="D231" s="268" t="n"/>
      <c r="E231" s="268" t="n"/>
      <c r="F231" s="268" t="n"/>
      <c r="G231" s="268" t="n"/>
      <c r="H231" s="268" t="n"/>
      <c r="I231" s="268" t="n"/>
      <c r="J231" s="268" t="n"/>
      <c r="K231" s="268" t="n"/>
      <c r="L231" s="268" t="n"/>
      <c r="M231" s="268" t="n"/>
      <c r="N231" s="268" t="n"/>
      <c r="O231" s="268" t="n"/>
      <c r="P231" s="268" t="n"/>
      <c r="Q231" s="268" t="n"/>
      <c r="R231" s="268" t="n"/>
      <c r="S231" s="268" t="n"/>
      <c r="T231" s="268" t="n"/>
      <c r="U231" s="268" t="n"/>
      <c r="V231" s="268" t="n"/>
      <c r="W231" s="268" t="n"/>
      <c r="X231" s="268" t="n"/>
      <c r="Y231" s="268" t="n"/>
      <c r="Z231" s="268" t="n"/>
    </row>
    <row r="232" ht="15.75" customHeight="1" s="372">
      <c r="A232" s="268" t="n"/>
      <c r="B232" s="268" t="n"/>
      <c r="C232" s="268" t="n"/>
      <c r="D232" s="268" t="n"/>
      <c r="E232" s="268" t="n"/>
      <c r="F232" s="268" t="n"/>
      <c r="G232" s="268" t="n"/>
      <c r="H232" s="268" t="n"/>
      <c r="I232" s="268" t="n"/>
      <c r="J232" s="268" t="n"/>
      <c r="K232" s="268" t="n"/>
      <c r="L232" s="268" t="n"/>
      <c r="M232" s="268" t="n"/>
      <c r="N232" s="268" t="n"/>
      <c r="O232" s="268" t="n"/>
      <c r="P232" s="268" t="n"/>
      <c r="Q232" s="268" t="n"/>
      <c r="R232" s="268" t="n"/>
      <c r="S232" s="268" t="n"/>
      <c r="T232" s="268" t="n"/>
      <c r="U232" s="268" t="n"/>
      <c r="V232" s="268" t="n"/>
      <c r="W232" s="268" t="n"/>
      <c r="X232" s="268" t="n"/>
      <c r="Y232" s="268" t="n"/>
      <c r="Z232" s="268" t="n"/>
    </row>
    <row r="233" ht="15.75" customHeight="1" s="372">
      <c r="A233" s="268" t="n"/>
      <c r="B233" s="268" t="n"/>
      <c r="C233" s="268" t="n"/>
      <c r="D233" s="268" t="n"/>
      <c r="E233" s="268" t="n"/>
      <c r="F233" s="268" t="n"/>
      <c r="G233" s="268" t="n"/>
      <c r="H233" s="268" t="n"/>
      <c r="I233" s="268" t="n"/>
      <c r="J233" s="268" t="n"/>
      <c r="K233" s="268" t="n"/>
      <c r="L233" s="268" t="n"/>
      <c r="M233" s="268" t="n"/>
      <c r="N233" s="268" t="n"/>
      <c r="O233" s="268" t="n"/>
      <c r="P233" s="268" t="n"/>
      <c r="Q233" s="268" t="n"/>
      <c r="R233" s="268" t="n"/>
      <c r="S233" s="268" t="n"/>
      <c r="T233" s="268" t="n"/>
      <c r="U233" s="268" t="n"/>
      <c r="V233" s="268" t="n"/>
      <c r="W233" s="268" t="n"/>
      <c r="X233" s="268" t="n"/>
      <c r="Y233" s="268" t="n"/>
      <c r="Z233" s="268" t="n"/>
    </row>
    <row r="234" ht="15.75" customHeight="1" s="372">
      <c r="A234" s="268" t="n"/>
      <c r="B234" s="268" t="n"/>
      <c r="C234" s="268" t="n"/>
      <c r="D234" s="268" t="n"/>
      <c r="E234" s="268" t="n"/>
      <c r="F234" s="268" t="n"/>
      <c r="G234" s="268" t="n"/>
      <c r="H234" s="268" t="n"/>
      <c r="I234" s="268" t="n"/>
      <c r="J234" s="268" t="n"/>
      <c r="K234" s="268" t="n"/>
      <c r="L234" s="268" t="n"/>
      <c r="M234" s="268" t="n"/>
      <c r="N234" s="268" t="n"/>
      <c r="O234" s="268" t="n"/>
      <c r="P234" s="268" t="n"/>
      <c r="Q234" s="268" t="n"/>
      <c r="R234" s="268" t="n"/>
      <c r="S234" s="268" t="n"/>
      <c r="T234" s="268" t="n"/>
      <c r="U234" s="268" t="n"/>
      <c r="V234" s="268" t="n"/>
      <c r="W234" s="268" t="n"/>
      <c r="X234" s="268" t="n"/>
      <c r="Y234" s="268" t="n"/>
      <c r="Z234" s="268" t="n"/>
    </row>
    <row r="235" ht="15.75" customHeight="1" s="372">
      <c r="A235" s="268" t="n"/>
      <c r="B235" s="268" t="n"/>
      <c r="C235" s="268" t="n"/>
      <c r="D235" s="268" t="n"/>
      <c r="E235" s="268" t="n"/>
      <c r="F235" s="268" t="n"/>
      <c r="G235" s="268" t="n"/>
      <c r="H235" s="268" t="n"/>
      <c r="I235" s="268" t="n"/>
      <c r="J235" s="268" t="n"/>
      <c r="K235" s="268" t="n"/>
      <c r="L235" s="268" t="n"/>
      <c r="M235" s="268" t="n"/>
      <c r="N235" s="268" t="n"/>
      <c r="O235" s="268" t="n"/>
      <c r="P235" s="268" t="n"/>
      <c r="Q235" s="268" t="n"/>
      <c r="R235" s="268" t="n"/>
      <c r="S235" s="268" t="n"/>
      <c r="T235" s="268" t="n"/>
      <c r="U235" s="268" t="n"/>
      <c r="V235" s="268" t="n"/>
      <c r="W235" s="268" t="n"/>
      <c r="X235" s="268" t="n"/>
      <c r="Y235" s="268" t="n"/>
      <c r="Z235" s="268" t="n"/>
    </row>
    <row r="236" ht="15.75" customHeight="1" s="372">
      <c r="A236" s="268" t="n"/>
      <c r="B236" s="268" t="n"/>
      <c r="C236" s="268" t="n"/>
      <c r="D236" s="268" t="n"/>
      <c r="E236" s="268" t="n"/>
      <c r="F236" s="268" t="n"/>
      <c r="G236" s="268" t="n"/>
      <c r="H236" s="268" t="n"/>
      <c r="I236" s="268" t="n"/>
      <c r="J236" s="268" t="n"/>
      <c r="K236" s="268" t="n"/>
      <c r="L236" s="268" t="n"/>
      <c r="M236" s="268" t="n"/>
      <c r="N236" s="268" t="n"/>
      <c r="O236" s="268" t="n"/>
      <c r="P236" s="268" t="n"/>
      <c r="Q236" s="268" t="n"/>
      <c r="R236" s="268" t="n"/>
      <c r="S236" s="268" t="n"/>
      <c r="T236" s="268" t="n"/>
      <c r="U236" s="268" t="n"/>
      <c r="V236" s="268" t="n"/>
      <c r="W236" s="268" t="n"/>
      <c r="X236" s="268" t="n"/>
      <c r="Y236" s="268" t="n"/>
      <c r="Z236" s="268" t="n"/>
    </row>
    <row r="237" ht="15.75" customHeight="1" s="372">
      <c r="A237" s="268" t="n"/>
      <c r="B237" s="268" t="n"/>
      <c r="C237" s="268" t="n"/>
      <c r="D237" s="268" t="n"/>
      <c r="E237" s="268" t="n"/>
      <c r="F237" s="268" t="n"/>
      <c r="G237" s="268" t="n"/>
      <c r="H237" s="268" t="n"/>
      <c r="I237" s="268" t="n"/>
      <c r="J237" s="268" t="n"/>
      <c r="K237" s="268" t="n"/>
      <c r="L237" s="268" t="n"/>
      <c r="M237" s="268" t="n"/>
      <c r="N237" s="268" t="n"/>
      <c r="O237" s="268" t="n"/>
      <c r="P237" s="268" t="n"/>
      <c r="Q237" s="268" t="n"/>
      <c r="R237" s="268" t="n"/>
      <c r="S237" s="268" t="n"/>
      <c r="T237" s="268" t="n"/>
      <c r="U237" s="268" t="n"/>
      <c r="V237" s="268" t="n"/>
      <c r="W237" s="268" t="n"/>
      <c r="X237" s="268" t="n"/>
      <c r="Y237" s="268" t="n"/>
      <c r="Z237" s="268" t="n"/>
    </row>
    <row r="238" ht="15.75" customHeight="1" s="372">
      <c r="A238" s="268" t="n"/>
      <c r="B238" s="268" t="n"/>
      <c r="C238" s="268" t="n"/>
      <c r="D238" s="268" t="n"/>
      <c r="E238" s="268" t="n"/>
      <c r="F238" s="268" t="n"/>
      <c r="G238" s="268" t="n"/>
      <c r="H238" s="268" t="n"/>
      <c r="I238" s="268" t="n"/>
      <c r="J238" s="268" t="n"/>
      <c r="K238" s="268" t="n"/>
      <c r="L238" s="268" t="n"/>
      <c r="M238" s="268" t="n"/>
      <c r="N238" s="268" t="n"/>
      <c r="O238" s="268" t="n"/>
      <c r="P238" s="268" t="n"/>
      <c r="Q238" s="268" t="n"/>
      <c r="R238" s="268" t="n"/>
      <c r="S238" s="268" t="n"/>
      <c r="T238" s="268" t="n"/>
      <c r="U238" s="268" t="n"/>
      <c r="V238" s="268" t="n"/>
      <c r="W238" s="268" t="n"/>
      <c r="X238" s="268" t="n"/>
      <c r="Y238" s="268" t="n"/>
      <c r="Z238" s="268" t="n"/>
    </row>
    <row r="239" ht="15.75" customHeight="1" s="372">
      <c r="A239" s="268" t="n"/>
      <c r="B239" s="268" t="n"/>
      <c r="C239" s="268" t="n"/>
      <c r="D239" s="268" t="n"/>
      <c r="E239" s="268" t="n"/>
      <c r="F239" s="268" t="n"/>
      <c r="G239" s="268" t="n"/>
      <c r="H239" s="268" t="n"/>
      <c r="I239" s="268" t="n"/>
      <c r="J239" s="268" t="n"/>
      <c r="K239" s="268" t="n"/>
      <c r="L239" s="268" t="n"/>
      <c r="M239" s="268" t="n"/>
      <c r="N239" s="268" t="n"/>
      <c r="O239" s="268" t="n"/>
      <c r="P239" s="268" t="n"/>
      <c r="Q239" s="268" t="n"/>
      <c r="R239" s="268" t="n"/>
      <c r="S239" s="268" t="n"/>
      <c r="T239" s="268" t="n"/>
      <c r="U239" s="268" t="n"/>
      <c r="V239" s="268" t="n"/>
      <c r="W239" s="268" t="n"/>
      <c r="X239" s="268" t="n"/>
      <c r="Y239" s="268" t="n"/>
      <c r="Z239" s="268" t="n"/>
    </row>
    <row r="240" ht="15.75" customHeight="1" s="372"/>
    <row r="241" ht="15.75" customHeight="1" s="372"/>
    <row r="242" ht="15.75" customHeight="1" s="372"/>
    <row r="243" ht="15.75" customHeight="1" s="372"/>
    <row r="244" ht="15.75" customHeight="1" s="372"/>
    <row r="245" ht="15.75" customHeight="1" s="372"/>
    <row r="246" ht="15.75" customHeight="1" s="372"/>
    <row r="247" ht="15.75" customHeight="1" s="372"/>
    <row r="248" ht="15.75" customHeight="1" s="372"/>
    <row r="249" ht="15.75" customHeight="1" s="372"/>
    <row r="250" ht="15.75" customHeight="1" s="372"/>
    <row r="251" ht="15.75" customHeight="1" s="372"/>
    <row r="252" ht="15.75" customHeight="1" s="372"/>
    <row r="253" ht="15.75" customHeight="1" s="372"/>
    <row r="254" ht="15.75" customHeight="1" s="372"/>
    <row r="255" ht="15.75" customHeight="1" s="372"/>
    <row r="256" ht="15.75" customHeight="1" s="372"/>
    <row r="257" ht="15.75" customHeight="1" s="372"/>
    <row r="258" ht="15.75" customHeight="1" s="372"/>
    <row r="259" ht="15.75" customHeight="1" s="372"/>
    <row r="260" ht="15.75" customHeight="1" s="372"/>
    <row r="261" ht="15.75" customHeight="1" s="372"/>
    <row r="262" ht="15.75" customHeight="1" s="372"/>
    <row r="263" ht="15.75" customHeight="1" s="372"/>
    <row r="264" ht="15.75" customHeight="1" s="372"/>
    <row r="265" ht="15.75" customHeight="1" s="372"/>
    <row r="266" ht="15.75" customHeight="1" s="372"/>
    <row r="267" ht="15.75" customHeight="1" s="372"/>
    <row r="268" ht="15.75" customHeight="1" s="372"/>
    <row r="269" ht="15.75" customHeight="1" s="372"/>
    <row r="270" ht="15.75" customHeight="1" s="372"/>
    <row r="271" ht="15.75" customHeight="1" s="372"/>
    <row r="272" ht="15.75" customHeight="1" s="372"/>
    <row r="273" ht="15.75" customHeight="1" s="372"/>
    <row r="274" ht="15.75" customHeight="1" s="372"/>
    <row r="275" ht="15.75" customHeight="1" s="372"/>
    <row r="276" ht="15.75" customHeight="1" s="372"/>
    <row r="277" ht="15.75" customHeight="1" s="372"/>
    <row r="278" ht="15.75" customHeight="1" s="372"/>
    <row r="279" ht="15.75" customHeight="1" s="372"/>
    <row r="280" ht="15.75" customHeight="1" s="372"/>
    <row r="281" ht="15.75" customHeight="1" s="372"/>
    <row r="282" ht="15.75" customHeight="1" s="372"/>
    <row r="283" ht="15.75" customHeight="1" s="372"/>
    <row r="284" ht="15.75" customHeight="1" s="372"/>
    <row r="285" ht="15.75" customHeight="1" s="372"/>
    <row r="286" ht="15.75" customHeight="1" s="372"/>
    <row r="287" ht="15.75" customHeight="1" s="372"/>
    <row r="288" ht="15.75" customHeight="1" s="372"/>
    <row r="289" ht="15.75" customHeight="1" s="372"/>
    <row r="290" ht="15.75" customHeight="1" s="372"/>
    <row r="291" ht="15.75" customHeight="1" s="372"/>
    <row r="292" ht="15.75" customHeight="1" s="372"/>
    <row r="293" ht="15.75" customHeight="1" s="372"/>
    <row r="294" ht="15.75" customHeight="1" s="372"/>
    <row r="295" ht="15.75" customHeight="1" s="372"/>
    <row r="296" ht="15.75" customHeight="1" s="372"/>
    <row r="297" ht="15.75" customHeight="1" s="372"/>
    <row r="298" ht="15.75" customHeight="1" s="372"/>
    <row r="299" ht="15.75" customHeight="1" s="372"/>
    <row r="300" ht="15.75" customHeight="1" s="372"/>
    <row r="301" ht="15.75" customHeight="1" s="372"/>
    <row r="302" ht="15.75" customHeight="1" s="372"/>
    <row r="303" ht="15.75" customHeight="1" s="372"/>
    <row r="304" ht="15.75" customHeight="1" s="372"/>
    <row r="305" ht="15.75" customHeight="1" s="372"/>
    <row r="306" ht="15.75" customHeight="1" s="372"/>
    <row r="307" ht="15.75" customHeight="1" s="372"/>
    <row r="308" ht="15.75" customHeight="1" s="372"/>
    <row r="309" ht="15.75" customHeight="1" s="372"/>
    <row r="310" ht="15.75" customHeight="1" s="372"/>
    <row r="311" ht="15.75" customHeight="1" s="372"/>
    <row r="312" ht="15.75" customHeight="1" s="372"/>
    <row r="313" ht="15.75" customHeight="1" s="372"/>
    <row r="314" ht="15.75" customHeight="1" s="372"/>
    <row r="315" ht="15.75" customHeight="1" s="372"/>
    <row r="316" ht="15.75" customHeight="1" s="372"/>
    <row r="317" ht="15.75" customHeight="1" s="372"/>
    <row r="318" ht="15.75" customHeight="1" s="372"/>
    <row r="319" ht="15.75" customHeight="1" s="372"/>
    <row r="320" ht="15.75" customHeight="1" s="372"/>
    <row r="321" ht="15.75" customHeight="1" s="372"/>
    <row r="322" ht="15.75" customHeight="1" s="372"/>
    <row r="323" ht="15.75" customHeight="1" s="372"/>
    <row r="324" ht="15.75" customHeight="1" s="372"/>
    <row r="325" ht="15.75" customHeight="1" s="372"/>
    <row r="326" ht="15.75" customHeight="1" s="372"/>
    <row r="327" ht="15.75" customHeight="1" s="372"/>
    <row r="328" ht="15.75" customHeight="1" s="372"/>
    <row r="329" ht="15.75" customHeight="1" s="372"/>
    <row r="330" ht="15.75" customHeight="1" s="372"/>
    <row r="331" ht="15.75" customHeight="1" s="372"/>
    <row r="332" ht="15.75" customHeight="1" s="372"/>
    <row r="333" ht="15.75" customHeight="1" s="372"/>
    <row r="334" ht="15.75" customHeight="1" s="372"/>
    <row r="335" ht="15.75" customHeight="1" s="372"/>
    <row r="336" ht="15.75" customHeight="1" s="372"/>
    <row r="337" ht="15.75" customHeight="1" s="372"/>
    <row r="338" ht="15.75" customHeight="1" s="372"/>
    <row r="339" ht="15.75" customHeight="1" s="372"/>
    <row r="340" ht="15.75" customHeight="1" s="372"/>
    <row r="341" ht="15.75" customHeight="1" s="372"/>
    <row r="342" ht="15.75" customHeight="1" s="372"/>
    <row r="343" ht="15.75" customHeight="1" s="372"/>
    <row r="344" ht="15.75" customHeight="1" s="372"/>
    <row r="345" ht="15.75" customHeight="1" s="372"/>
    <row r="346" ht="15.75" customHeight="1" s="372"/>
    <row r="347" ht="15.75" customHeight="1" s="372"/>
    <row r="348" ht="15.75" customHeight="1" s="372"/>
    <row r="349" ht="15.75" customHeight="1" s="372"/>
    <row r="350" ht="15.75" customHeight="1" s="372"/>
    <row r="351" ht="15.75" customHeight="1" s="372"/>
    <row r="352" ht="15.75" customHeight="1" s="372"/>
    <row r="353" ht="15.75" customHeight="1" s="372"/>
    <row r="354" ht="15.75" customHeight="1" s="372"/>
    <row r="355" ht="15.75" customHeight="1" s="372"/>
    <row r="356" ht="15.75" customHeight="1" s="372"/>
    <row r="357" ht="15.75" customHeight="1" s="372"/>
    <row r="358" ht="15.75" customHeight="1" s="372"/>
    <row r="359" ht="15.75" customHeight="1" s="372"/>
    <row r="360" ht="15.75" customHeight="1" s="372"/>
    <row r="361" ht="15.75" customHeight="1" s="372"/>
    <row r="362" ht="15.75" customHeight="1" s="372"/>
    <row r="363" ht="15.75" customHeight="1" s="372"/>
    <row r="364" ht="15.75" customHeight="1" s="372"/>
    <row r="365" ht="15.75" customHeight="1" s="372"/>
    <row r="366" ht="15.75" customHeight="1" s="372"/>
    <row r="367" ht="15.75" customHeight="1" s="372"/>
    <row r="368" ht="15.75" customHeight="1" s="372"/>
    <row r="369" ht="15.75" customHeight="1" s="372"/>
    <row r="370" ht="15.75" customHeight="1" s="372"/>
    <row r="371" ht="15.75" customHeight="1" s="372"/>
    <row r="372" ht="15.75" customHeight="1" s="372"/>
    <row r="373" ht="15.75" customHeight="1" s="372"/>
    <row r="374" ht="15.75" customHeight="1" s="372"/>
    <row r="375" ht="15.75" customHeight="1" s="372"/>
    <row r="376" ht="15.75" customHeight="1" s="372"/>
    <row r="377" ht="15.75" customHeight="1" s="372"/>
    <row r="378" ht="15.75" customHeight="1" s="372"/>
    <row r="379" ht="15.75" customHeight="1" s="372"/>
    <row r="380" ht="15.75" customHeight="1" s="372"/>
    <row r="381" ht="15.75" customHeight="1" s="372"/>
    <row r="382" ht="15.75" customHeight="1" s="372"/>
    <row r="383" ht="15.75" customHeight="1" s="372"/>
    <row r="384" ht="15.75" customHeight="1" s="372"/>
    <row r="385" ht="15.75" customHeight="1" s="372"/>
    <row r="386" ht="15.75" customHeight="1" s="372"/>
    <row r="387" ht="15.75" customHeight="1" s="372"/>
    <row r="388" ht="15.75" customHeight="1" s="372"/>
    <row r="389" ht="15.75" customHeight="1" s="372"/>
    <row r="390" ht="15.75" customHeight="1" s="372"/>
    <row r="391" ht="15.75" customHeight="1" s="372"/>
    <row r="392" ht="15.75" customHeight="1" s="372"/>
    <row r="393" ht="15.75" customHeight="1" s="372"/>
    <row r="394" ht="15.75" customHeight="1" s="372"/>
    <row r="395" ht="15.75" customHeight="1" s="372"/>
    <row r="396" ht="15.75" customHeight="1" s="372"/>
    <row r="397" ht="15.75" customHeight="1" s="372"/>
    <row r="398" ht="15.75" customHeight="1" s="372"/>
    <row r="399" ht="15.75" customHeight="1" s="372"/>
    <row r="400" ht="15.75" customHeight="1" s="372"/>
    <row r="401" ht="15.75" customHeight="1" s="372"/>
    <row r="402" ht="15.75" customHeight="1" s="372"/>
    <row r="403" ht="15.75" customHeight="1" s="372"/>
    <row r="404" ht="15.75" customHeight="1" s="372"/>
    <row r="405" ht="15.75" customHeight="1" s="372"/>
    <row r="406" ht="15.75" customHeight="1" s="372"/>
    <row r="407" ht="15.75" customHeight="1" s="372"/>
    <row r="408" ht="15.75" customHeight="1" s="372"/>
    <row r="409" ht="15.75" customHeight="1" s="372"/>
    <row r="410" ht="15.75" customHeight="1" s="372"/>
    <row r="411" ht="15.75" customHeight="1" s="372"/>
    <row r="412" ht="15.75" customHeight="1" s="372"/>
    <row r="413" ht="15.75" customHeight="1" s="372"/>
    <row r="414" ht="15.75" customHeight="1" s="372"/>
    <row r="415" ht="15.75" customHeight="1" s="372"/>
    <row r="416" ht="15.75" customHeight="1" s="372"/>
    <row r="417" ht="15.75" customHeight="1" s="372"/>
    <row r="418" ht="15.75" customHeight="1" s="372"/>
    <row r="419" ht="15.75" customHeight="1" s="372"/>
    <row r="420" ht="15.75" customHeight="1" s="372"/>
    <row r="421" ht="15.75" customHeight="1" s="372"/>
    <row r="422" ht="15.75" customHeight="1" s="372"/>
    <row r="423" ht="15.75" customHeight="1" s="372"/>
    <row r="424" ht="15.75" customHeight="1" s="372"/>
    <row r="425" ht="15.75" customHeight="1" s="372"/>
    <row r="426" ht="15.75" customHeight="1" s="372"/>
    <row r="427" ht="15.75" customHeight="1" s="372"/>
    <row r="428" ht="15.75" customHeight="1" s="372"/>
    <row r="429" ht="15.75" customHeight="1" s="372"/>
    <row r="430" ht="15.75" customHeight="1" s="372"/>
    <row r="431" ht="15.75" customHeight="1" s="372"/>
    <row r="432" ht="15.75" customHeight="1" s="372"/>
    <row r="433" ht="15.75" customHeight="1" s="372"/>
    <row r="434" ht="15.75" customHeight="1" s="372"/>
    <row r="435" ht="15.75" customHeight="1" s="372"/>
    <row r="436" ht="15.75" customHeight="1" s="372"/>
    <row r="437" ht="15.75" customHeight="1" s="372"/>
    <row r="438" ht="15.75" customHeight="1" s="372"/>
    <row r="439" ht="15.75" customHeight="1" s="372"/>
    <row r="440" ht="15.75" customHeight="1" s="372"/>
    <row r="441" ht="15.75" customHeight="1" s="372"/>
    <row r="442" ht="15.75" customHeight="1" s="372"/>
    <row r="443" ht="15.75" customHeight="1" s="372"/>
    <row r="444" ht="15.75" customHeight="1" s="372"/>
    <row r="445" ht="15.75" customHeight="1" s="372"/>
    <row r="446" ht="15.75" customHeight="1" s="372"/>
    <row r="447" ht="15.75" customHeight="1" s="372"/>
    <row r="448" ht="15.75" customHeight="1" s="372"/>
    <row r="449" ht="15.75" customHeight="1" s="372"/>
    <row r="450" ht="15.75" customHeight="1" s="372"/>
    <row r="451" ht="15.75" customHeight="1" s="372"/>
    <row r="452" ht="15.75" customHeight="1" s="372"/>
    <row r="453" ht="15.75" customHeight="1" s="372"/>
    <row r="454" ht="15.75" customHeight="1" s="372"/>
    <row r="455" ht="15.75" customHeight="1" s="372"/>
    <row r="456" ht="15.75" customHeight="1" s="372"/>
    <row r="457" ht="15.75" customHeight="1" s="372"/>
    <row r="458" ht="15.75" customHeight="1" s="372"/>
    <row r="459" ht="15.75" customHeight="1" s="372"/>
    <row r="460" ht="15.75" customHeight="1" s="372"/>
    <row r="461" ht="15.75" customHeight="1" s="372"/>
    <row r="462" ht="15.75" customHeight="1" s="372"/>
    <row r="463" ht="15.75" customHeight="1" s="372"/>
    <row r="464" ht="15.75" customHeight="1" s="372"/>
    <row r="465" ht="15.75" customHeight="1" s="372"/>
    <row r="466" ht="15.75" customHeight="1" s="372"/>
    <row r="467" ht="15.75" customHeight="1" s="372"/>
    <row r="468" ht="15.75" customHeight="1" s="372"/>
    <row r="469" ht="15.75" customHeight="1" s="372"/>
    <row r="470" ht="15.75" customHeight="1" s="372"/>
    <row r="471" ht="15.75" customHeight="1" s="372"/>
    <row r="472" ht="15.75" customHeight="1" s="372"/>
    <row r="473" ht="15.75" customHeight="1" s="372"/>
    <row r="474" ht="15.75" customHeight="1" s="372"/>
    <row r="475" ht="15.75" customHeight="1" s="372"/>
    <row r="476" ht="15.75" customHeight="1" s="372"/>
    <row r="477" ht="15.75" customHeight="1" s="372"/>
    <row r="478" ht="15.75" customHeight="1" s="372"/>
    <row r="479" ht="15.75" customHeight="1" s="372"/>
    <row r="480" ht="15.75" customHeight="1" s="372"/>
    <row r="481" ht="15.75" customHeight="1" s="372"/>
    <row r="482" ht="15.75" customHeight="1" s="372"/>
    <row r="483" ht="15.75" customHeight="1" s="372"/>
    <row r="484" ht="15.75" customHeight="1" s="372"/>
    <row r="485" ht="15.75" customHeight="1" s="372"/>
    <row r="486" ht="15.75" customHeight="1" s="372"/>
    <row r="487" ht="15.75" customHeight="1" s="372"/>
    <row r="488" ht="15.75" customHeight="1" s="372"/>
    <row r="489" ht="15.75" customHeight="1" s="372"/>
    <row r="490" ht="15.75" customHeight="1" s="372"/>
    <row r="491" ht="15.75" customHeight="1" s="372"/>
    <row r="492" ht="15.75" customHeight="1" s="372"/>
    <row r="493" ht="15.75" customHeight="1" s="372"/>
    <row r="494" ht="15.75" customHeight="1" s="372"/>
    <row r="495" ht="15.75" customHeight="1" s="372"/>
    <row r="496" ht="15.75" customHeight="1" s="372"/>
    <row r="497" ht="15.75" customHeight="1" s="372"/>
    <row r="498" ht="15.75" customHeight="1" s="372"/>
    <row r="499" ht="15.75" customHeight="1" s="372"/>
    <row r="500" ht="15.75" customHeight="1" s="372"/>
    <row r="501" ht="15.75" customHeight="1" s="372"/>
    <row r="502" ht="15.75" customHeight="1" s="372"/>
    <row r="503" ht="15.75" customHeight="1" s="372"/>
    <row r="504" ht="15.75" customHeight="1" s="372"/>
    <row r="505" ht="15.75" customHeight="1" s="372"/>
    <row r="506" ht="15.75" customHeight="1" s="372"/>
    <row r="507" ht="15.75" customHeight="1" s="372"/>
    <row r="508" ht="15.75" customHeight="1" s="372"/>
    <row r="509" ht="15.75" customHeight="1" s="372"/>
    <row r="510" ht="15.75" customHeight="1" s="372"/>
    <row r="511" ht="15.75" customHeight="1" s="372"/>
    <row r="512" ht="15.75" customHeight="1" s="372"/>
    <row r="513" ht="15.75" customHeight="1" s="372"/>
    <row r="514" ht="15.75" customHeight="1" s="372"/>
    <row r="515" ht="15.75" customHeight="1" s="372"/>
    <row r="516" ht="15.75" customHeight="1" s="372"/>
    <row r="517" ht="15.75" customHeight="1" s="372"/>
    <row r="518" ht="15.75" customHeight="1" s="372"/>
    <row r="519" ht="15.75" customHeight="1" s="372"/>
    <row r="520" ht="15.75" customHeight="1" s="372"/>
    <row r="521" ht="15.75" customHeight="1" s="372"/>
    <row r="522" ht="15.75" customHeight="1" s="372"/>
    <row r="523" ht="15.75" customHeight="1" s="372"/>
    <row r="524" ht="15.75" customHeight="1" s="372"/>
    <row r="525" ht="15.75" customHeight="1" s="372"/>
    <row r="526" ht="15.75" customHeight="1" s="372"/>
    <row r="527" ht="15.75" customHeight="1" s="372"/>
    <row r="528" ht="15.75" customHeight="1" s="372"/>
    <row r="529" ht="15.75" customHeight="1" s="372"/>
    <row r="530" ht="15.75" customHeight="1" s="372"/>
    <row r="531" ht="15.75" customHeight="1" s="372"/>
    <row r="532" ht="15.75" customHeight="1" s="372"/>
    <row r="533" ht="15.75" customHeight="1" s="372"/>
    <row r="534" ht="15.75" customHeight="1" s="372"/>
    <row r="535" ht="15.75" customHeight="1" s="372"/>
    <row r="536" ht="15.75" customHeight="1" s="372"/>
    <row r="537" ht="15.75" customHeight="1" s="372"/>
    <row r="538" ht="15.75" customHeight="1" s="372"/>
    <row r="539" ht="15.75" customHeight="1" s="372"/>
    <row r="540" ht="15.75" customHeight="1" s="372"/>
    <row r="541" ht="15.75" customHeight="1" s="372"/>
    <row r="542" ht="15.75" customHeight="1" s="372"/>
    <row r="543" ht="15.75" customHeight="1" s="372"/>
    <row r="544" ht="15.75" customHeight="1" s="372"/>
    <row r="545" ht="15.75" customHeight="1" s="372"/>
    <row r="546" ht="15.75" customHeight="1" s="372"/>
    <row r="547" ht="15.75" customHeight="1" s="372"/>
    <row r="548" ht="15.75" customHeight="1" s="372"/>
    <row r="549" ht="15.75" customHeight="1" s="372"/>
    <row r="550" ht="15.75" customHeight="1" s="372"/>
    <row r="551" ht="15.75" customHeight="1" s="372"/>
    <row r="552" ht="15.75" customHeight="1" s="372"/>
    <row r="553" ht="15.75" customHeight="1" s="372"/>
    <row r="554" ht="15.75" customHeight="1" s="372"/>
    <row r="555" ht="15.75" customHeight="1" s="372"/>
    <row r="556" ht="15.75" customHeight="1" s="372"/>
    <row r="557" ht="15.75" customHeight="1" s="372"/>
    <row r="558" ht="15.75" customHeight="1" s="372"/>
    <row r="559" ht="15.75" customHeight="1" s="372"/>
    <row r="560" ht="15.75" customHeight="1" s="372"/>
    <row r="561" ht="15.75" customHeight="1" s="372"/>
    <row r="562" ht="15.75" customHeight="1" s="372"/>
    <row r="563" ht="15.75" customHeight="1" s="372"/>
    <row r="564" ht="15.75" customHeight="1" s="372"/>
    <row r="565" ht="15.75" customHeight="1" s="372"/>
    <row r="566" ht="15.75" customHeight="1" s="372"/>
    <row r="567" ht="15.75" customHeight="1" s="372"/>
    <row r="568" ht="15.75" customHeight="1" s="372"/>
    <row r="569" ht="15.75" customHeight="1" s="372"/>
    <row r="570" ht="15.75" customHeight="1" s="372"/>
    <row r="571" ht="15.75" customHeight="1" s="372"/>
    <row r="572" ht="15.75" customHeight="1" s="372"/>
    <row r="573" ht="15.75" customHeight="1" s="372"/>
    <row r="574" ht="15.75" customHeight="1" s="372"/>
    <row r="575" ht="15.75" customHeight="1" s="372"/>
    <row r="576" ht="15.75" customHeight="1" s="372"/>
    <row r="577" ht="15.75" customHeight="1" s="372"/>
    <row r="578" ht="15.75" customHeight="1" s="372"/>
    <row r="579" ht="15.75" customHeight="1" s="372"/>
    <row r="580" ht="15.75" customHeight="1" s="372"/>
    <row r="581" ht="15.75" customHeight="1" s="372"/>
    <row r="582" ht="15.75" customHeight="1" s="372"/>
    <row r="583" ht="15.75" customHeight="1" s="372"/>
    <row r="584" ht="15.75" customHeight="1" s="372"/>
    <row r="585" ht="15.75" customHeight="1" s="372"/>
    <row r="586" ht="15.75" customHeight="1" s="372"/>
    <row r="587" ht="15.75" customHeight="1" s="372"/>
    <row r="588" ht="15.75" customHeight="1" s="372"/>
    <row r="589" ht="15.75" customHeight="1" s="372"/>
    <row r="590" ht="15.75" customHeight="1" s="372"/>
    <row r="591" ht="15.75" customHeight="1" s="372"/>
    <row r="592" ht="15.75" customHeight="1" s="372"/>
    <row r="593" ht="15.75" customHeight="1" s="372"/>
    <row r="594" ht="15.75" customHeight="1" s="372"/>
    <row r="595" ht="15.75" customHeight="1" s="372"/>
    <row r="596" ht="15.75" customHeight="1" s="372"/>
    <row r="597" ht="15.75" customHeight="1" s="372"/>
    <row r="598" ht="15.75" customHeight="1" s="372"/>
    <row r="599" ht="15.75" customHeight="1" s="372"/>
    <row r="600" ht="15.75" customHeight="1" s="372"/>
    <row r="601" ht="15.75" customHeight="1" s="372"/>
    <row r="602" ht="15.75" customHeight="1" s="372"/>
    <row r="603" ht="15.75" customHeight="1" s="372"/>
    <row r="604" ht="15.75" customHeight="1" s="372"/>
    <row r="605" ht="15.75" customHeight="1" s="372"/>
    <row r="606" ht="15.75" customHeight="1" s="372"/>
    <row r="607" ht="15.75" customHeight="1" s="372"/>
    <row r="608" ht="15.75" customHeight="1" s="372"/>
    <row r="609" ht="15.75" customHeight="1" s="372"/>
    <row r="610" ht="15.75" customHeight="1" s="372"/>
    <row r="611" ht="15.75" customHeight="1" s="372"/>
    <row r="612" ht="15.75" customHeight="1" s="372"/>
    <row r="613" ht="15.75" customHeight="1" s="372"/>
    <row r="614" ht="15.75" customHeight="1" s="372"/>
    <row r="615" ht="15.75" customHeight="1" s="372"/>
    <row r="616" ht="15.75" customHeight="1" s="372"/>
    <row r="617" ht="15.75" customHeight="1" s="372"/>
    <row r="618" ht="15.75" customHeight="1" s="372"/>
    <row r="619" ht="15.75" customHeight="1" s="372"/>
    <row r="620" ht="15.75" customHeight="1" s="372"/>
    <row r="621" ht="15.75" customHeight="1" s="372"/>
    <row r="622" ht="15.75" customHeight="1" s="372"/>
    <row r="623" ht="15.75" customHeight="1" s="372"/>
    <row r="624" ht="15.75" customHeight="1" s="372"/>
    <row r="625" ht="15.75" customHeight="1" s="372"/>
    <row r="626" ht="15.75" customHeight="1" s="372"/>
    <row r="627" ht="15.75" customHeight="1" s="372"/>
    <row r="628" ht="15.75" customHeight="1" s="372"/>
    <row r="629" ht="15.75" customHeight="1" s="372"/>
    <row r="630" ht="15.75" customHeight="1" s="372"/>
    <row r="631" ht="15.75" customHeight="1" s="372"/>
    <row r="632" ht="15.75" customHeight="1" s="372"/>
    <row r="633" ht="15.75" customHeight="1" s="372"/>
    <row r="634" ht="15.75" customHeight="1" s="372"/>
    <row r="635" ht="15.75" customHeight="1" s="372"/>
    <row r="636" ht="15.75" customHeight="1" s="372"/>
    <row r="637" ht="15.75" customHeight="1" s="372"/>
    <row r="638" ht="15.75" customHeight="1" s="372"/>
    <row r="639" ht="15.75" customHeight="1" s="372"/>
    <row r="640" ht="15.75" customHeight="1" s="372"/>
    <row r="641" ht="15.75" customHeight="1" s="372"/>
    <row r="642" ht="15.75" customHeight="1" s="372"/>
    <row r="643" ht="15.75" customHeight="1" s="372"/>
    <row r="644" ht="15.75" customHeight="1" s="372"/>
    <row r="645" ht="15.75" customHeight="1" s="372"/>
    <row r="646" ht="15.75" customHeight="1" s="372"/>
    <row r="647" ht="15.75" customHeight="1" s="372"/>
    <row r="648" ht="15.75" customHeight="1" s="372"/>
    <row r="649" ht="15.75" customHeight="1" s="372"/>
    <row r="650" ht="15.75" customHeight="1" s="372"/>
    <row r="651" ht="15.75" customHeight="1" s="372"/>
    <row r="652" ht="15.75" customHeight="1" s="372"/>
    <row r="653" ht="15.75" customHeight="1" s="372"/>
    <row r="654" ht="15.75" customHeight="1" s="372"/>
    <row r="655" ht="15.75" customHeight="1" s="372"/>
    <row r="656" ht="15.75" customHeight="1" s="372"/>
    <row r="657" ht="15.75" customHeight="1" s="372"/>
    <row r="658" ht="15.75" customHeight="1" s="372"/>
    <row r="659" ht="15.75" customHeight="1" s="372"/>
    <row r="660" ht="15.75" customHeight="1" s="372"/>
    <row r="661" ht="15.75" customHeight="1" s="372"/>
    <row r="662" ht="15.75" customHeight="1" s="372"/>
    <row r="663" ht="15.75" customHeight="1" s="372"/>
    <row r="664" ht="15.75" customHeight="1" s="372"/>
    <row r="665" ht="15.75" customHeight="1" s="372"/>
    <row r="666" ht="15.75" customHeight="1" s="372"/>
    <row r="667" ht="15.75" customHeight="1" s="372"/>
    <row r="668" ht="15.75" customHeight="1" s="372"/>
    <row r="669" ht="15.75" customHeight="1" s="372"/>
    <row r="670" ht="15.75" customHeight="1" s="372"/>
    <row r="671" ht="15.75" customHeight="1" s="372"/>
    <row r="672" ht="15.75" customHeight="1" s="372"/>
    <row r="673" ht="15.75" customHeight="1" s="372"/>
    <row r="674" ht="15.75" customHeight="1" s="372"/>
    <row r="675" ht="15.75" customHeight="1" s="372"/>
    <row r="676" ht="15.75" customHeight="1" s="372"/>
    <row r="677" ht="15.75" customHeight="1" s="372"/>
    <row r="678" ht="15.75" customHeight="1" s="372"/>
    <row r="679" ht="15.75" customHeight="1" s="372"/>
    <row r="680" ht="15.75" customHeight="1" s="372"/>
    <row r="681" ht="15.75" customHeight="1" s="372"/>
    <row r="682" ht="15.75" customHeight="1" s="372"/>
    <row r="683" ht="15.75" customHeight="1" s="372"/>
    <row r="684" ht="15.75" customHeight="1" s="372"/>
    <row r="685" ht="15.75" customHeight="1" s="372"/>
    <row r="686" ht="15.75" customHeight="1" s="372"/>
    <row r="687" ht="15.75" customHeight="1" s="372"/>
    <row r="688" ht="15.75" customHeight="1" s="372"/>
    <row r="689" ht="15.75" customHeight="1" s="372"/>
    <row r="690" ht="15.75" customHeight="1" s="372"/>
    <row r="691" ht="15.75" customHeight="1" s="372"/>
    <row r="692" ht="15.75" customHeight="1" s="372"/>
    <row r="693" ht="15.75" customHeight="1" s="372"/>
    <row r="694" ht="15.75" customHeight="1" s="372"/>
    <row r="695" ht="15.75" customHeight="1" s="372"/>
    <row r="696" ht="15.75" customHeight="1" s="372"/>
    <row r="697" ht="15.75" customHeight="1" s="372"/>
    <row r="698" ht="15.75" customHeight="1" s="372"/>
    <row r="699" ht="15.75" customHeight="1" s="372"/>
    <row r="700" ht="15.75" customHeight="1" s="372"/>
    <row r="701" ht="15.75" customHeight="1" s="372"/>
    <row r="702" ht="15.75" customHeight="1" s="372"/>
    <row r="703" ht="15.75" customHeight="1" s="372"/>
    <row r="704" ht="15.75" customHeight="1" s="372"/>
    <row r="705" ht="15.75" customHeight="1" s="372"/>
    <row r="706" ht="15.75" customHeight="1" s="372"/>
    <row r="707" ht="15.75" customHeight="1" s="372"/>
    <row r="708" ht="15.75" customHeight="1" s="372"/>
    <row r="709" ht="15.75" customHeight="1" s="372"/>
    <row r="710" ht="15.75" customHeight="1" s="372"/>
    <row r="711" ht="15.75" customHeight="1" s="372"/>
    <row r="712" ht="15.75" customHeight="1" s="372"/>
    <row r="713" ht="15.75" customHeight="1" s="372"/>
    <row r="714" ht="15.75" customHeight="1" s="372"/>
    <row r="715" ht="15.75" customHeight="1" s="372"/>
    <row r="716" ht="15.75" customHeight="1" s="372"/>
    <row r="717" ht="15.75" customHeight="1" s="372"/>
    <row r="718" ht="15.75" customHeight="1" s="372"/>
    <row r="719" ht="15.75" customHeight="1" s="372"/>
    <row r="720" ht="15.75" customHeight="1" s="372"/>
    <row r="721" ht="15.75" customHeight="1" s="372"/>
    <row r="722" ht="15.75" customHeight="1" s="372"/>
    <row r="723" ht="15.75" customHeight="1" s="372"/>
    <row r="724" ht="15.75" customHeight="1" s="372"/>
    <row r="725" ht="15.75" customHeight="1" s="372"/>
    <row r="726" ht="15.75" customHeight="1" s="372"/>
    <row r="727" ht="15.75" customHeight="1" s="372"/>
    <row r="728" ht="15.75" customHeight="1" s="372"/>
    <row r="729" ht="15.75" customHeight="1" s="372"/>
    <row r="730" ht="15.75" customHeight="1" s="372"/>
    <row r="731" ht="15.75" customHeight="1" s="372"/>
    <row r="732" ht="15.75" customHeight="1" s="372"/>
    <row r="733" ht="15.75" customHeight="1" s="372"/>
    <row r="734" ht="15.75" customHeight="1" s="372"/>
    <row r="735" ht="15.75" customHeight="1" s="372"/>
    <row r="736" ht="15.75" customHeight="1" s="372"/>
    <row r="737" ht="15.75" customHeight="1" s="372"/>
    <row r="738" ht="15.75" customHeight="1" s="372"/>
    <row r="739" ht="15.75" customHeight="1" s="372"/>
    <row r="740" ht="15.75" customHeight="1" s="372"/>
    <row r="741" ht="15.75" customHeight="1" s="372"/>
    <row r="742" ht="15.75" customHeight="1" s="372"/>
    <row r="743" ht="15.75" customHeight="1" s="372"/>
    <row r="744" ht="15.75" customHeight="1" s="372"/>
    <row r="745" ht="15.75" customHeight="1" s="372"/>
    <row r="746" ht="15.75" customHeight="1" s="372"/>
    <row r="747" ht="15.75" customHeight="1" s="372"/>
    <row r="748" ht="15.75" customHeight="1" s="372"/>
    <row r="749" ht="15.75" customHeight="1" s="372"/>
    <row r="750" ht="15.75" customHeight="1" s="372"/>
    <row r="751" ht="15.75" customHeight="1" s="372"/>
    <row r="752" ht="15.75" customHeight="1" s="372"/>
    <row r="753" ht="15.75" customHeight="1" s="372"/>
    <row r="754" ht="15.75" customHeight="1" s="372"/>
    <row r="755" ht="15.75" customHeight="1" s="372"/>
    <row r="756" ht="15.75" customHeight="1" s="372"/>
    <row r="757" ht="15.75" customHeight="1" s="372"/>
    <row r="758" ht="15.75" customHeight="1" s="372"/>
    <row r="759" ht="15.75" customHeight="1" s="372"/>
    <row r="760" ht="15.75" customHeight="1" s="372"/>
    <row r="761" ht="15.75" customHeight="1" s="372"/>
    <row r="762" ht="15.75" customHeight="1" s="372"/>
    <row r="763" ht="15.75" customHeight="1" s="372"/>
    <row r="764" ht="15.75" customHeight="1" s="372"/>
    <row r="765" ht="15.75" customHeight="1" s="372"/>
    <row r="766" ht="15.75" customHeight="1" s="372"/>
    <row r="767" ht="15.75" customHeight="1" s="372"/>
    <row r="768" ht="15.75" customHeight="1" s="372"/>
    <row r="769" ht="15.75" customHeight="1" s="372"/>
    <row r="770" ht="15.75" customHeight="1" s="372"/>
    <row r="771" ht="15.75" customHeight="1" s="372"/>
    <row r="772" ht="15.75" customHeight="1" s="372"/>
    <row r="773" ht="15.75" customHeight="1" s="372"/>
    <row r="774" ht="15.75" customHeight="1" s="372"/>
    <row r="775" ht="15.75" customHeight="1" s="372"/>
    <row r="776" ht="15.75" customHeight="1" s="372"/>
    <row r="777" ht="15.75" customHeight="1" s="372"/>
    <row r="778" ht="15.75" customHeight="1" s="372"/>
    <row r="779" ht="15.75" customHeight="1" s="372"/>
    <row r="780" ht="15.75" customHeight="1" s="372"/>
    <row r="781" ht="15.75" customHeight="1" s="372"/>
    <row r="782" ht="15.75" customHeight="1" s="372"/>
    <row r="783" ht="15.75" customHeight="1" s="372"/>
    <row r="784" ht="15.75" customHeight="1" s="372"/>
    <row r="785" ht="15.75" customHeight="1" s="372"/>
    <row r="786" ht="15.75" customHeight="1" s="372"/>
    <row r="787" ht="15.75" customHeight="1" s="372"/>
    <row r="788" ht="15.75" customHeight="1" s="372"/>
    <row r="789" ht="15.75" customHeight="1" s="372"/>
    <row r="790" ht="15.75" customHeight="1" s="372"/>
    <row r="791" ht="15.75" customHeight="1" s="372"/>
    <row r="792" ht="15.75" customHeight="1" s="372"/>
    <row r="793" ht="15.75" customHeight="1" s="372"/>
    <row r="794" ht="15.75" customHeight="1" s="372"/>
    <row r="795" ht="15.75" customHeight="1" s="372"/>
    <row r="796" ht="15.75" customHeight="1" s="372"/>
    <row r="797" ht="15.75" customHeight="1" s="372"/>
    <row r="798" ht="15.75" customHeight="1" s="372"/>
    <row r="799" ht="15.75" customHeight="1" s="372"/>
    <row r="800" ht="15.75" customHeight="1" s="372"/>
    <row r="801" ht="15.75" customHeight="1" s="372"/>
    <row r="802" ht="15.75" customHeight="1" s="372"/>
    <row r="803" ht="15.75" customHeight="1" s="372"/>
    <row r="804" ht="15.75" customHeight="1" s="372"/>
    <row r="805" ht="15.75" customHeight="1" s="372"/>
    <row r="806" ht="15.75" customHeight="1" s="372"/>
    <row r="807" ht="15.75" customHeight="1" s="372"/>
    <row r="808" ht="15.75" customHeight="1" s="372"/>
    <row r="809" ht="15.75" customHeight="1" s="372"/>
    <row r="810" ht="15.75" customHeight="1" s="372"/>
    <row r="811" ht="15.75" customHeight="1" s="372"/>
    <row r="812" ht="15.75" customHeight="1" s="372"/>
    <row r="813" ht="15.75" customHeight="1" s="372"/>
    <row r="814" ht="15.75" customHeight="1" s="372"/>
    <row r="815" ht="15.75" customHeight="1" s="372"/>
    <row r="816" ht="15.75" customHeight="1" s="372"/>
    <row r="817" ht="15.75" customHeight="1" s="372"/>
    <row r="818" ht="15.75" customHeight="1" s="372"/>
    <row r="819" ht="15.75" customHeight="1" s="372"/>
    <row r="820" ht="15.75" customHeight="1" s="372"/>
    <row r="821" ht="15.75" customHeight="1" s="372"/>
    <row r="822" ht="15.75" customHeight="1" s="372"/>
    <row r="823" ht="15.75" customHeight="1" s="372"/>
    <row r="824" ht="15.75" customHeight="1" s="372"/>
    <row r="825" ht="15.75" customHeight="1" s="372"/>
    <row r="826" ht="15.75" customHeight="1" s="372"/>
    <row r="827" ht="15.75" customHeight="1" s="372"/>
    <row r="828" ht="15.75" customHeight="1" s="372"/>
    <row r="829" ht="15.75" customHeight="1" s="372"/>
    <row r="830" ht="15.75" customHeight="1" s="372"/>
    <row r="831" ht="15.75" customHeight="1" s="372"/>
    <row r="832" ht="15.75" customHeight="1" s="372"/>
    <row r="833" ht="15.75" customHeight="1" s="372"/>
    <row r="834" ht="15.75" customHeight="1" s="372"/>
    <row r="835" ht="15.75" customHeight="1" s="372"/>
    <row r="836" ht="15.75" customHeight="1" s="372"/>
    <row r="837" ht="15.75" customHeight="1" s="372"/>
    <row r="838" ht="15.75" customHeight="1" s="372"/>
    <row r="839" ht="15.75" customHeight="1" s="372"/>
    <row r="840" ht="15.75" customHeight="1" s="372"/>
    <row r="841" ht="15.75" customHeight="1" s="372"/>
    <row r="842" ht="15.75" customHeight="1" s="372"/>
    <row r="843" ht="15.75" customHeight="1" s="372"/>
    <row r="844" ht="15.75" customHeight="1" s="372"/>
    <row r="845" ht="15.75" customHeight="1" s="372"/>
    <row r="846" ht="15.75" customHeight="1" s="372"/>
    <row r="847" ht="15.75" customHeight="1" s="372"/>
    <row r="848" ht="15.75" customHeight="1" s="372"/>
    <row r="849" ht="15.75" customHeight="1" s="372"/>
    <row r="850" ht="15.75" customHeight="1" s="372"/>
    <row r="851" ht="15.75" customHeight="1" s="372"/>
    <row r="852" ht="15.75" customHeight="1" s="372"/>
    <row r="853" ht="15.75" customHeight="1" s="372"/>
    <row r="854" ht="15.75" customHeight="1" s="372"/>
    <row r="855" ht="15.75" customHeight="1" s="372"/>
    <row r="856" ht="15.75" customHeight="1" s="372"/>
    <row r="857" ht="15.75" customHeight="1" s="372"/>
    <row r="858" ht="15.75" customHeight="1" s="372"/>
    <row r="859" ht="15.75" customHeight="1" s="372"/>
    <row r="860" ht="15.75" customHeight="1" s="372"/>
    <row r="861" ht="15.75" customHeight="1" s="372"/>
    <row r="862" ht="15.75" customHeight="1" s="372"/>
    <row r="863" ht="15.75" customHeight="1" s="372"/>
    <row r="864" ht="15.75" customHeight="1" s="372"/>
    <row r="865" ht="15.75" customHeight="1" s="372"/>
    <row r="866" ht="15.75" customHeight="1" s="372"/>
    <row r="867" ht="15.75" customHeight="1" s="372"/>
    <row r="868" ht="15.75" customHeight="1" s="372"/>
    <row r="869" ht="15.75" customHeight="1" s="372"/>
    <row r="870" ht="15.75" customHeight="1" s="372"/>
    <row r="871" ht="15.75" customHeight="1" s="372"/>
    <row r="872" ht="15.75" customHeight="1" s="372"/>
    <row r="873" ht="15.75" customHeight="1" s="372"/>
    <row r="874" ht="15.75" customHeight="1" s="372"/>
    <row r="875" ht="15.75" customHeight="1" s="372"/>
    <row r="876" ht="15.75" customHeight="1" s="372"/>
    <row r="877" ht="15.75" customHeight="1" s="372"/>
    <row r="878" ht="15.75" customHeight="1" s="372"/>
    <row r="879" ht="15.75" customHeight="1" s="372"/>
    <row r="880" ht="15.75" customHeight="1" s="372"/>
    <row r="881" ht="15.75" customHeight="1" s="372"/>
    <row r="882" ht="15.75" customHeight="1" s="372"/>
    <row r="883" ht="15.75" customHeight="1" s="372"/>
    <row r="884" ht="15.75" customHeight="1" s="372"/>
    <row r="885" ht="15.75" customHeight="1" s="372"/>
    <row r="886" ht="15.75" customHeight="1" s="372"/>
    <row r="887" ht="15.75" customHeight="1" s="372"/>
    <row r="888" ht="15.75" customHeight="1" s="372"/>
    <row r="889" ht="15.75" customHeight="1" s="372"/>
    <row r="890" ht="15.75" customHeight="1" s="372"/>
    <row r="891" ht="15.75" customHeight="1" s="372"/>
    <row r="892" ht="15.75" customHeight="1" s="372"/>
    <row r="893" ht="15.75" customHeight="1" s="372"/>
    <row r="894" ht="15.75" customHeight="1" s="372"/>
    <row r="895" ht="15.75" customHeight="1" s="372"/>
    <row r="896" ht="15.75" customHeight="1" s="372"/>
    <row r="897" ht="15.75" customHeight="1" s="372"/>
    <row r="898" ht="15.75" customHeight="1" s="372"/>
    <row r="899" ht="15.75" customHeight="1" s="372"/>
    <row r="900" ht="15.75" customHeight="1" s="372"/>
    <row r="901" ht="15.75" customHeight="1" s="372"/>
    <row r="902" ht="15.75" customHeight="1" s="372"/>
    <row r="903" ht="15.75" customHeight="1" s="372"/>
    <row r="904" ht="15.75" customHeight="1" s="372"/>
    <row r="905" ht="15.75" customHeight="1" s="372"/>
    <row r="906" ht="15.75" customHeight="1" s="372"/>
    <row r="907" ht="15.75" customHeight="1" s="372"/>
    <row r="908" ht="15.75" customHeight="1" s="372"/>
    <row r="909" ht="15.75" customHeight="1" s="372"/>
    <row r="910" ht="15.75" customHeight="1" s="372"/>
    <row r="911" ht="15.75" customHeight="1" s="372"/>
    <row r="912" ht="15.75" customHeight="1" s="372"/>
    <row r="913" ht="15.75" customHeight="1" s="372"/>
    <row r="914" ht="15.75" customHeight="1" s="372"/>
    <row r="915" ht="15.75" customHeight="1" s="372"/>
    <row r="916" ht="15.75" customHeight="1" s="372"/>
    <row r="917" ht="15.75" customHeight="1" s="372"/>
    <row r="918" ht="15.75" customHeight="1" s="372"/>
    <row r="919" ht="15.75" customHeight="1" s="372"/>
    <row r="920" ht="15.75" customHeight="1" s="372"/>
    <row r="921" ht="15.75" customHeight="1" s="372"/>
    <row r="922" ht="15.75" customHeight="1" s="372"/>
    <row r="923" ht="15.75" customHeight="1" s="372"/>
    <row r="924" ht="15.75" customHeight="1" s="372"/>
    <row r="925" ht="15.75" customHeight="1" s="372"/>
    <row r="926" ht="15.75" customHeight="1" s="372"/>
    <row r="927" ht="15.75" customHeight="1" s="372"/>
    <row r="928" ht="15.75" customHeight="1" s="372"/>
    <row r="929" ht="15.75" customHeight="1" s="372"/>
    <row r="930" ht="15.75" customHeight="1" s="372"/>
    <row r="931" ht="15.75" customHeight="1" s="372"/>
    <row r="932" ht="15.75" customHeight="1" s="372"/>
    <row r="933" ht="15.75" customHeight="1" s="372"/>
    <row r="934" ht="15.75" customHeight="1" s="372"/>
    <row r="935" ht="15.75" customHeight="1" s="372"/>
    <row r="936" ht="15.75" customHeight="1" s="372"/>
    <row r="937" ht="15.75" customHeight="1" s="372"/>
    <row r="938" ht="15.75" customHeight="1" s="372"/>
    <row r="939" ht="15.75" customHeight="1" s="372"/>
    <row r="940" ht="15.75" customHeight="1" s="372"/>
    <row r="941" ht="15.75" customHeight="1" s="372"/>
    <row r="942" ht="15.75" customHeight="1" s="372"/>
    <row r="943" ht="15.75" customHeight="1" s="372"/>
    <row r="944" ht="15.75" customHeight="1" s="372"/>
    <row r="945" ht="15.75" customHeight="1" s="372"/>
    <row r="946" ht="15.75" customHeight="1" s="372"/>
    <row r="947" ht="15.75" customHeight="1" s="372"/>
    <row r="948" ht="15.75" customHeight="1" s="372"/>
    <row r="949" ht="15.75" customHeight="1" s="372"/>
    <row r="950" ht="15.75" customHeight="1" s="372"/>
    <row r="951" ht="15.75" customHeight="1" s="372"/>
    <row r="952" ht="15.75" customHeight="1" s="372"/>
    <row r="953" ht="15.75" customHeight="1" s="372"/>
    <row r="954" ht="15.75" customHeight="1" s="372"/>
    <row r="955" ht="15.75" customHeight="1" s="372"/>
    <row r="956" ht="15.75" customHeight="1" s="372"/>
    <row r="957" ht="15.75" customHeight="1" s="372"/>
    <row r="958" ht="15.75" customHeight="1" s="372"/>
    <row r="959" ht="15.75" customHeight="1" s="372"/>
    <row r="960" ht="15.75" customHeight="1" s="372"/>
    <row r="961" ht="15.75" customHeight="1" s="372"/>
    <row r="962" ht="15.75" customHeight="1" s="372"/>
    <row r="963" ht="15.75" customHeight="1" s="372"/>
    <row r="964" ht="15.75" customHeight="1" s="372"/>
    <row r="965" ht="15.75" customHeight="1" s="372"/>
    <row r="966" ht="15.75" customHeight="1" s="372"/>
    <row r="967" ht="15.75" customHeight="1" s="372"/>
    <row r="968" ht="15.75" customHeight="1" s="372"/>
    <row r="969" ht="15.75" customHeight="1" s="372"/>
    <row r="970" ht="15.75" customHeight="1" s="372"/>
    <row r="971" ht="15.75" customHeight="1" s="372"/>
    <row r="972" ht="15.75" customHeight="1" s="372"/>
    <row r="973" ht="15.75" customHeight="1" s="372"/>
    <row r="974" ht="15.75" customHeight="1" s="372"/>
    <row r="975" ht="15.75" customHeight="1" s="372"/>
    <row r="976" ht="15.75" customHeight="1" s="372"/>
    <row r="977" ht="15.75" customHeight="1" s="372"/>
    <row r="978" ht="15.75" customHeight="1" s="372"/>
    <row r="979" ht="15.75" customHeight="1" s="372"/>
    <row r="980" ht="15.75" customHeight="1" s="372"/>
    <row r="981" ht="15.75" customHeight="1" s="372"/>
    <row r="982" ht="15.75" customHeight="1" s="372"/>
    <row r="983" ht="15.75" customHeight="1" s="372"/>
    <row r="984" ht="15.75" customHeight="1" s="372"/>
    <row r="985" ht="15.75" customHeight="1" s="372"/>
    <row r="986" ht="15.75" customHeight="1" s="372"/>
    <row r="987" ht="15.75" customHeight="1" s="372"/>
    <row r="988" ht="15.75" customHeight="1" s="372"/>
    <row r="989" ht="15.75" customHeight="1" s="372"/>
    <row r="990" ht="15.75" customHeight="1" s="372"/>
    <row r="991" ht="15.75" customHeight="1" s="372"/>
    <row r="992" ht="15.75" customHeight="1" s="372"/>
    <row r="993" ht="15.75" customHeight="1" s="372"/>
    <row r="994" ht="15.75" customHeight="1" s="372"/>
    <row r="995" ht="15.75" customHeight="1" s="372"/>
    <row r="996" ht="15.75" customHeight="1" s="372"/>
    <row r="997" ht="15.75" customHeight="1" s="372"/>
    <row r="998" ht="15.75" customHeight="1" s="372"/>
    <row r="999" ht="15.75" customHeight="1" s="372"/>
    <row r="1000" ht="15.75" customHeight="1" s="372"/>
  </sheetData>
  <mergeCells count="6">
    <mergeCell ref="A1:D1"/>
    <mergeCell ref="A17:D17"/>
    <mergeCell ref="A27:D27"/>
    <mergeCell ref="A31:D31"/>
    <mergeCell ref="A3:D3"/>
    <mergeCell ref="A30:D30"/>
  </mergeCells>
  <pageMargins left="0.75" right="0.75" top="1" bottom="1" header="0" footer="0"/>
  <pageSetup orientation="portrait" paperSize="9"/>
  <legacyDrawing xmlns:r="http://schemas.openxmlformats.org/officeDocument/2006/relationships" r:id="anysvml"/>
</worksheet>
</file>

<file path=xl/worksheets/sheet13.xml><?xml version="1.0" encoding="utf-8"?>
<worksheet xmlns="http://schemas.openxmlformats.org/spreadsheetml/2006/main">
  <sheetPr>
    <tabColor rgb="FFE57200"/>
    <outlinePr summaryBelow="1" summaryRight="1"/>
    <pageSetUpPr/>
  </sheetPr>
  <dimension ref="A1:U997"/>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19.29" customWidth="1" style="372" min="1" max="1"/>
    <col width="14" customWidth="1" style="372" min="2" max="3"/>
    <col width="12" customWidth="1" style="372" min="4" max="4"/>
    <col width="52" customWidth="1" style="372" min="5" max="5"/>
    <col width="12" customWidth="1" style="372" min="6" max="6"/>
    <col width="7" customWidth="1" style="372" min="7" max="7"/>
    <col width="38" customWidth="1" style="372" min="8" max="8"/>
    <col width="21.43" customWidth="1" style="372" min="9" max="9"/>
    <col width="5.43" customWidth="1" style="372" min="10" max="10"/>
    <col width="7.86" customWidth="1" style="372" min="11" max="11"/>
    <col width="7.71" customWidth="1" style="372" min="12" max="12"/>
  </cols>
  <sheetData>
    <row r="1" ht="31.5" customHeight="1" s="372">
      <c r="A1" s="379" t="inlineStr">
        <is>
          <t>INTERN LOG: CHOICE HOURS</t>
        </is>
      </c>
      <c r="B1" s="380" t="n"/>
      <c r="C1" s="380" t="n"/>
      <c r="D1" s="381" t="n"/>
      <c r="E1" s="382" t="inlineStr">
        <is>
          <t xml:space="preserve">Name:  
Date of Internship: 
Placements: </t>
        </is>
      </c>
      <c r="F1" s="233" t="inlineStr">
        <is>
          <t>Total Hours Logged</t>
        </is>
      </c>
      <c r="G1" s="234">
        <f>SUM(G6:G139)</f>
        <v/>
      </c>
      <c r="H1" s="383" t="inlineStr">
        <is>
          <t>"SEMYR"when you add to PowerBI. I Suggest XSEMYR as you can easily cross reference the two documents by date.</t>
        </is>
      </c>
      <c r="I1" s="236" t="n"/>
      <c r="J1" s="236" t="n"/>
      <c r="K1" s="236" t="n"/>
      <c r="L1" s="236" t="n"/>
    </row>
    <row r="2" ht="19.5" customHeight="1" s="372">
      <c r="A2" s="384" t="n"/>
      <c r="B2" s="385" t="n"/>
      <c r="C2" s="385" t="n"/>
      <c r="D2" s="386" t="n"/>
      <c r="E2" s="386" t="n"/>
      <c r="F2" s="241" t="n"/>
      <c r="G2" s="242" t="n"/>
      <c r="H2" s="387" t="n"/>
      <c r="I2" s="236" t="n"/>
      <c r="J2" s="236" t="n"/>
      <c r="K2" s="236" t="n"/>
      <c r="L2" s="236" t="n"/>
    </row>
    <row r="3" ht="19.5" customHeight="1" s="372">
      <c r="A3" s="404">
        <f>MAX('CHOICE calc'!$E$2:$E$541)&amp;" CHOICE entries found on your course tabs. A row is listed when it has a "&amp;"description or hours."&amp;IF(MAX('CHOICE calc'!$E$2:$E$541)&gt;134,"  WARNING: only the first 134 are shown.","")</f>
        <v/>
      </c>
      <c r="G3" s="389" t="n"/>
      <c r="H3" s="390" t="n"/>
      <c r="I3" s="236" t="n"/>
      <c r="J3" s="236" t="n"/>
      <c r="K3" s="236" t="n"/>
      <c r="L3" s="236" t="n"/>
    </row>
    <row r="4" ht="21.75" customHeight="1" s="372">
      <c r="A4" s="391" t="n"/>
      <c r="B4" s="392" t="n"/>
      <c r="C4" s="392" t="n"/>
      <c r="D4" s="392" t="n"/>
      <c r="E4" s="392" t="n"/>
      <c r="F4" s="392" t="n"/>
      <c r="G4" s="393" t="n"/>
      <c r="H4" s="251" t="n"/>
      <c r="I4" s="236" t="n"/>
      <c r="J4" s="236" t="n"/>
      <c r="K4" s="236" t="n"/>
      <c r="L4" s="236" t="n"/>
    </row>
    <row r="5" ht="69.75" customHeight="1" s="372">
      <c r="A5" s="252" t="inlineStr">
        <is>
          <t>Competency</t>
        </is>
      </c>
      <c r="B5" s="253" t="inlineStr">
        <is>
          <t>Date</t>
        </is>
      </c>
      <c r="C5" s="254" t="inlineStr">
        <is>
          <t>Name the Location</t>
        </is>
      </c>
      <c r="D5" s="255" t="inlineStr">
        <is>
          <t>Type</t>
        </is>
      </c>
      <c r="E5" s="256" t="inlineStr">
        <is>
          <t>Experience</t>
        </is>
      </c>
      <c r="F5" s="255" t="inlineStr">
        <is>
          <t>Role</t>
        </is>
      </c>
      <c r="G5" s="255" t="inlineStr">
        <is>
          <t>Hours</t>
        </is>
      </c>
      <c r="H5" s="255" t="inlineStr">
        <is>
          <t>Course</t>
        </is>
      </c>
      <c r="I5" s="258" t="n"/>
      <c r="J5" s="258" t="n"/>
      <c r="K5" s="258" t="n"/>
      <c r="L5" s="258" t="n"/>
      <c r="M5" s="259" t="n"/>
      <c r="N5" s="259" t="n"/>
      <c r="O5" s="259" t="n"/>
      <c r="P5" s="259" t="n"/>
      <c r="Q5" s="259" t="n"/>
      <c r="R5" s="259" t="n"/>
      <c r="S5" s="259" t="n"/>
      <c r="T5" s="259" t="n"/>
      <c r="U5" s="259" t="n"/>
    </row>
    <row r="6" ht="24.75" customHeight="1" s="372">
      <c r="A6" s="405">
        <f>IFERROR(INDEX('CHOICE calc'!$F$2:$F$541,MATCH(ROWS(A$6:A6),'CHOICE calc'!$E$2:$E$541,0)),"")</f>
        <v/>
      </c>
      <c r="B6" s="270">
        <f>IFERROR(INDEX('CHOICE calc'!$G$2:$G$541,MATCH(ROWS(A$6:A6),'CHOICE calc'!$E$2:$E$541,0)),"")</f>
        <v/>
      </c>
      <c r="C6" s="271">
        <f>IFERROR(INDEX('CHOICE calc'!$H$2:$H$541,MATCH(ROWS(A$6:A6),'CHOICE calc'!$E$2:$E$541,0)),"")</f>
        <v/>
      </c>
      <c r="D6" s="271">
        <f>IFERROR(INDEX('CHOICE calc'!$I$2:$I$541,MATCH(ROWS(A$6:A6),'CHOICE calc'!$E$2:$E$541,0)),"")</f>
        <v/>
      </c>
      <c r="E6" s="272">
        <f>IFERROR(INDEX('CHOICE calc'!$J$2:$J$541,MATCH(ROWS(A$6:A6),'CHOICE calc'!$E$2:$E$541,0)),"")</f>
        <v/>
      </c>
      <c r="F6" s="271">
        <f>IFERROR(INDEX('CHOICE calc'!$K$2:$K$541,MATCH(ROWS(A$6:A6),'CHOICE calc'!$E$2:$E$541,0)),"")</f>
        <v/>
      </c>
      <c r="G6" s="271">
        <f>IFERROR(INDEX('CHOICE calc'!$L$2:$L$541,MATCH(ROWS(A$6:A6),'CHOICE calc'!$E$2:$E$541,0)),"")</f>
        <v/>
      </c>
      <c r="H6" s="271">
        <f>IFERROR(INDEX('CHOICE calc'!$A$2:$A$541,MATCH(ROWS(A$6:A6),'CHOICE calc'!$E$2:$E$541,0)),"")</f>
        <v/>
      </c>
      <c r="I6" s="394" t="inlineStr">
        <is>
          <t>Cumulative Totals - CHOICE HOURS</t>
        </is>
      </c>
      <c r="J6" s="380" t="n"/>
      <c r="K6" s="380" t="n"/>
      <c r="L6" s="380" t="n"/>
      <c r="M6" s="268" t="n"/>
      <c r="N6" s="268" t="n"/>
      <c r="O6" s="268" t="n"/>
      <c r="P6" s="268" t="n"/>
      <c r="Q6" s="268" t="n"/>
      <c r="R6" s="268" t="n"/>
      <c r="S6" s="268" t="n"/>
      <c r="T6" s="268" t="n"/>
      <c r="U6" s="268" t="n"/>
    </row>
    <row r="7" ht="24.75" customHeight="1" s="372">
      <c r="A7" s="406">
        <f>IFERROR(INDEX('CHOICE calc'!$F$2:$F$541,MATCH(ROWS(A$6:A7),'CHOICE calc'!$E$2:$E$541,0)),"")</f>
        <v/>
      </c>
      <c r="B7" s="270">
        <f>IFERROR(INDEX('CHOICE calc'!$G$2:$G$541,MATCH(ROWS(A$6:A7),'CHOICE calc'!$E$2:$E$541,0)),"")</f>
        <v/>
      </c>
      <c r="C7" s="271">
        <f>IFERROR(INDEX('CHOICE calc'!$H$2:$H$541,MATCH(ROWS(A$6:A7),'CHOICE calc'!$E$2:$E$541,0)),"")</f>
        <v/>
      </c>
      <c r="D7" s="271">
        <f>IFERROR(INDEX('CHOICE calc'!$I$2:$I$541,MATCH(ROWS(A$6:A7),'CHOICE calc'!$E$2:$E$541,0)),"")</f>
        <v/>
      </c>
      <c r="E7" s="272">
        <f>IFERROR(INDEX('CHOICE calc'!$J$2:$J$541,MATCH(ROWS(A$6:A7),'CHOICE calc'!$E$2:$E$541,0)),"")</f>
        <v/>
      </c>
      <c r="F7" s="271">
        <f>IFERROR(INDEX('CHOICE calc'!$K$2:$K$541,MATCH(ROWS(A$6:A7),'CHOICE calc'!$E$2:$E$541,0)),"")</f>
        <v/>
      </c>
      <c r="G7" s="271">
        <f>IFERROR(INDEX('CHOICE calc'!$L$2:$L$541,MATCH(ROWS(A$6:A7),'CHOICE calc'!$E$2:$E$541,0)),"")</f>
        <v/>
      </c>
      <c r="H7" s="271">
        <f>IFERROR(INDEX('CHOICE calc'!$A$2:$A$541,MATCH(ROWS(A$6:A7),'CHOICE calc'!$E$2:$E$541,0)),"")</f>
        <v/>
      </c>
      <c r="I7" s="273" t="inlineStr">
        <is>
          <t>Competency</t>
        </is>
      </c>
      <c r="J7" s="274" t="inlineStr">
        <is>
          <t>Total Min Req</t>
        </is>
      </c>
      <c r="K7" s="274" t="inlineStr">
        <is>
          <t xml:space="preserve">Align/ Choice Hours </t>
        </is>
      </c>
      <c r="L7" s="274" t="inlineStr">
        <is>
          <t>Remain</t>
        </is>
      </c>
      <c r="M7" s="268" t="n"/>
      <c r="N7" s="268" t="n"/>
      <c r="O7" s="268" t="n"/>
      <c r="P7" s="268" t="n"/>
      <c r="Q7" s="268" t="n"/>
      <c r="R7" s="268" t="n"/>
      <c r="S7" s="268" t="n"/>
      <c r="T7" s="268" t="n"/>
      <c r="U7" s="268" t="n"/>
    </row>
    <row r="8" ht="30.75" customHeight="1" s="372">
      <c r="A8" s="406">
        <f>IFERROR(INDEX('CHOICE calc'!$F$2:$F$541,MATCH(ROWS(A$6:A8),'CHOICE calc'!$E$2:$E$541,0)),"")</f>
        <v/>
      </c>
      <c r="B8" s="270">
        <f>IFERROR(INDEX('CHOICE calc'!$G$2:$G$541,MATCH(ROWS(A$6:A8),'CHOICE calc'!$E$2:$E$541,0)),"")</f>
        <v/>
      </c>
      <c r="C8" s="271">
        <f>IFERROR(INDEX('CHOICE calc'!$H$2:$H$541,MATCH(ROWS(A$6:A8),'CHOICE calc'!$E$2:$E$541,0)),"")</f>
        <v/>
      </c>
      <c r="D8" s="271">
        <f>IFERROR(INDEX('CHOICE calc'!$I$2:$I$541,MATCH(ROWS(A$6:A8),'CHOICE calc'!$E$2:$E$541,0)),"")</f>
        <v/>
      </c>
      <c r="E8" s="272">
        <f>IFERROR(INDEX('CHOICE calc'!$J$2:$J$541,MATCH(ROWS(A$6:A8),'CHOICE calc'!$E$2:$E$541,0)),"")</f>
        <v/>
      </c>
      <c r="F8" s="271">
        <f>IFERROR(INDEX('CHOICE calc'!$K$2:$K$541,MATCH(ROWS(A$6:A8),'CHOICE calc'!$E$2:$E$541,0)),"")</f>
        <v/>
      </c>
      <c r="G8" s="271">
        <f>IFERROR(INDEX('CHOICE calc'!$L$2:$L$541,MATCH(ROWS(A$6:A8),'CHOICE calc'!$E$2:$E$541,0)),"")</f>
        <v/>
      </c>
      <c r="H8" s="271">
        <f>IFERROR(INDEX('CHOICE calc'!$A$2:$A$541,MATCH(ROWS(A$6:A8),'CHOICE calc'!$E$2:$E$541,0)),"")</f>
        <v/>
      </c>
      <c r="I8" s="275" t="inlineStr">
        <is>
          <t>1. Instructional Leadership</t>
        </is>
      </c>
      <c r="J8" s="276" t="n">
        <v>3</v>
      </c>
      <c r="K8" s="276">
        <f>'📊 Dashboard'!B19</f>
        <v/>
      </c>
      <c r="L8" s="277">
        <f>J8-K8</f>
        <v/>
      </c>
      <c r="M8" s="395" t="inlineStr">
        <is>
          <t>NOTE: Column  H "Total Min Requirements" shows you how many hours are left in each competency after embedded and aligned.  There is some leeway here. You can go over or under a couple of hours if you want to focus in an area of development.  On the Course Hours record tab, I make suggestions on which course may be aligned best for the competency.  IT IS NOT REQUIRED you follow that guidance.  Remember, you SHOULD turn in choice hours each semester (Aka the alignment) BUT we recognize that sometimes the experience doesn't align with what's going on in your schools and therefore, may submit another semester.</t>
        </is>
      </c>
      <c r="U8" s="280" t="n"/>
    </row>
    <row r="9" ht="30" customHeight="1" s="372">
      <c r="A9" s="406">
        <f>IFERROR(INDEX('CHOICE calc'!$F$2:$F$541,MATCH(ROWS(A$6:A9),'CHOICE calc'!$E$2:$E$541,0)),"")</f>
        <v/>
      </c>
      <c r="B9" s="270">
        <f>IFERROR(INDEX('CHOICE calc'!$G$2:$G$541,MATCH(ROWS(A$6:A9),'CHOICE calc'!$E$2:$E$541,0)),"")</f>
        <v/>
      </c>
      <c r="C9" s="271">
        <f>IFERROR(INDEX('CHOICE calc'!$H$2:$H$541,MATCH(ROWS(A$6:A9),'CHOICE calc'!$E$2:$E$541,0)),"")</f>
        <v/>
      </c>
      <c r="D9" s="271">
        <f>IFERROR(INDEX('CHOICE calc'!$I$2:$I$541,MATCH(ROWS(A$6:A9),'CHOICE calc'!$E$2:$E$541,0)),"")</f>
        <v/>
      </c>
      <c r="E9" s="272">
        <f>IFERROR(INDEX('CHOICE calc'!$J$2:$J$541,MATCH(ROWS(A$6:A9),'CHOICE calc'!$E$2:$E$541,0)),"")</f>
        <v/>
      </c>
      <c r="F9" s="271">
        <f>IFERROR(INDEX('CHOICE calc'!$K$2:$K$541,MATCH(ROWS(A$6:A9),'CHOICE calc'!$E$2:$E$541,0)),"")</f>
        <v/>
      </c>
      <c r="G9" s="271">
        <f>IFERROR(INDEX('CHOICE calc'!$L$2:$L$541,MATCH(ROWS(A$6:A9),'CHOICE calc'!$E$2:$E$541,0)),"")</f>
        <v/>
      </c>
      <c r="H9" s="271">
        <f>IFERROR(INDEX('CHOICE calc'!$A$2:$A$541,MATCH(ROWS(A$6:A9),'CHOICE calc'!$E$2:$E$541,0)),"")</f>
        <v/>
      </c>
      <c r="I9" s="275" t="inlineStr">
        <is>
          <t>2. Oganizational Management</t>
        </is>
      </c>
      <c r="J9" s="276" t="n">
        <v>0</v>
      </c>
      <c r="K9" s="276">
        <f>'📊 Dashboard'!B20</f>
        <v/>
      </c>
      <c r="L9" s="277" t="n">
        <v>0</v>
      </c>
      <c r="U9" s="280" t="n"/>
    </row>
    <row r="10" ht="25.5" customHeight="1" s="372">
      <c r="A10" s="406">
        <f>IFERROR(INDEX('CHOICE calc'!$F$2:$F$541,MATCH(ROWS(A$6:A10),'CHOICE calc'!$E$2:$E$541,0)),"")</f>
        <v/>
      </c>
      <c r="B10" s="270">
        <f>IFERROR(INDEX('CHOICE calc'!$G$2:$G$541,MATCH(ROWS(A$6:A10),'CHOICE calc'!$E$2:$E$541,0)),"")</f>
        <v/>
      </c>
      <c r="C10" s="271">
        <f>IFERROR(INDEX('CHOICE calc'!$H$2:$H$541,MATCH(ROWS(A$6:A10),'CHOICE calc'!$E$2:$E$541,0)),"")</f>
        <v/>
      </c>
      <c r="D10" s="271">
        <f>IFERROR(INDEX('CHOICE calc'!$I$2:$I$541,MATCH(ROWS(A$6:A10),'CHOICE calc'!$E$2:$E$541,0)),"")</f>
        <v/>
      </c>
      <c r="E10" s="272">
        <f>IFERROR(INDEX('CHOICE calc'!$J$2:$J$541,MATCH(ROWS(A$6:A10),'CHOICE calc'!$E$2:$E$541,0)),"")</f>
        <v/>
      </c>
      <c r="F10" s="271">
        <f>IFERROR(INDEX('CHOICE calc'!$K$2:$K$541,MATCH(ROWS(A$6:A10),'CHOICE calc'!$E$2:$E$541,0)),"")</f>
        <v/>
      </c>
      <c r="G10" s="271">
        <f>IFERROR(INDEX('CHOICE calc'!$L$2:$L$541,MATCH(ROWS(A$6:A10),'CHOICE calc'!$E$2:$E$541,0)),"")</f>
        <v/>
      </c>
      <c r="H10" s="271">
        <f>IFERROR(INDEX('CHOICE calc'!$A$2:$A$541,MATCH(ROWS(A$6:A10),'CHOICE calc'!$E$2:$E$541,0)),"")</f>
        <v/>
      </c>
      <c r="I10" s="275" t="inlineStr">
        <is>
          <t>3. Operational Management</t>
        </is>
      </c>
      <c r="J10" s="276" t="n">
        <v>23</v>
      </c>
      <c r="K10" s="276">
        <f>'📊 Dashboard'!B21</f>
        <v/>
      </c>
      <c r="L10" s="277">
        <f>J10-K10</f>
        <v/>
      </c>
      <c r="U10" s="280" t="n"/>
    </row>
    <row r="11" ht="27" customHeight="1" s="372">
      <c r="A11" s="406">
        <f>IFERROR(INDEX('CHOICE calc'!$F$2:$F$541,MATCH(ROWS(A$6:A11),'CHOICE calc'!$E$2:$E$541,0)),"")</f>
        <v/>
      </c>
      <c r="B11" s="270">
        <f>IFERROR(INDEX('CHOICE calc'!$G$2:$G$541,MATCH(ROWS(A$6:A11),'CHOICE calc'!$E$2:$E$541,0)),"")</f>
        <v/>
      </c>
      <c r="C11" s="271">
        <f>IFERROR(INDEX('CHOICE calc'!$H$2:$H$541,MATCH(ROWS(A$6:A11),'CHOICE calc'!$E$2:$E$541,0)),"")</f>
        <v/>
      </c>
      <c r="D11" s="271">
        <f>IFERROR(INDEX('CHOICE calc'!$I$2:$I$541,MATCH(ROWS(A$6:A11),'CHOICE calc'!$E$2:$E$541,0)),"")</f>
        <v/>
      </c>
      <c r="E11" s="272">
        <f>IFERROR(INDEX('CHOICE calc'!$J$2:$J$541,MATCH(ROWS(A$6:A11),'CHOICE calc'!$E$2:$E$541,0)),"")</f>
        <v/>
      </c>
      <c r="F11" s="271">
        <f>IFERROR(INDEX('CHOICE calc'!$K$2:$K$541,MATCH(ROWS(A$6:A11),'CHOICE calc'!$E$2:$E$541,0)),"")</f>
        <v/>
      </c>
      <c r="G11" s="271">
        <f>IFERROR(INDEX('CHOICE calc'!$L$2:$L$541,MATCH(ROWS(A$6:A11),'CHOICE calc'!$E$2:$E$541,0)),"")</f>
        <v/>
      </c>
      <c r="H11" s="271">
        <f>IFERROR(INDEX('CHOICE calc'!$A$2:$A$541,MATCH(ROWS(A$6:A11),'CHOICE calc'!$E$2:$E$541,0)),"")</f>
        <v/>
      </c>
      <c r="I11" s="275" t="inlineStr">
        <is>
          <t>4. Systemic Equity and Community Engagement</t>
        </is>
      </c>
      <c r="J11" s="276" t="n">
        <v>4</v>
      </c>
      <c r="K11" s="276">
        <f>'📊 Dashboard'!B22</f>
        <v/>
      </c>
      <c r="L11" s="277">
        <f>J11-K11</f>
        <v/>
      </c>
      <c r="U11" s="280" t="n"/>
    </row>
    <row r="12" ht="31.5" customHeight="1" s="372">
      <c r="A12" s="406">
        <f>IFERROR(INDEX('CHOICE calc'!$F$2:$F$541,MATCH(ROWS(A$6:A12),'CHOICE calc'!$E$2:$E$541,0)),"")</f>
        <v/>
      </c>
      <c r="B12" s="270">
        <f>IFERROR(INDEX('CHOICE calc'!$G$2:$G$541,MATCH(ROWS(A$6:A12),'CHOICE calc'!$E$2:$E$541,0)),"")</f>
        <v/>
      </c>
      <c r="C12" s="271">
        <f>IFERROR(INDEX('CHOICE calc'!$H$2:$H$541,MATCH(ROWS(A$6:A12),'CHOICE calc'!$E$2:$E$541,0)),"")</f>
        <v/>
      </c>
      <c r="D12" s="271">
        <f>IFERROR(INDEX('CHOICE calc'!$I$2:$I$541,MATCH(ROWS(A$6:A12),'CHOICE calc'!$E$2:$E$541,0)),"")</f>
        <v/>
      </c>
      <c r="E12" s="272">
        <f>IFERROR(INDEX('CHOICE calc'!$J$2:$J$541,MATCH(ROWS(A$6:A12),'CHOICE calc'!$E$2:$E$541,0)),"")</f>
        <v/>
      </c>
      <c r="F12" s="271">
        <f>IFERROR(INDEX('CHOICE calc'!$K$2:$K$541,MATCH(ROWS(A$6:A12),'CHOICE calc'!$E$2:$E$541,0)),"")</f>
        <v/>
      </c>
      <c r="G12" s="271">
        <f>IFERROR(INDEX('CHOICE calc'!$L$2:$L$541,MATCH(ROWS(A$6:A12),'CHOICE calc'!$E$2:$E$541,0)),"")</f>
        <v/>
      </c>
      <c r="H12" s="271">
        <f>IFERROR(INDEX('CHOICE calc'!$A$2:$A$541,MATCH(ROWS(A$6:A12),'CHOICE calc'!$E$2:$E$541,0)),"")</f>
        <v/>
      </c>
      <c r="I12" s="275" t="inlineStr">
        <is>
          <t>5. Professionalism</t>
        </is>
      </c>
      <c r="J12" s="276" t="n">
        <v>23</v>
      </c>
      <c r="K12" s="276">
        <f>'📊 Dashboard'!B23</f>
        <v/>
      </c>
      <c r="L12" s="277">
        <f>J12-K12</f>
        <v/>
      </c>
      <c r="U12" s="280" t="n"/>
    </row>
    <row r="13" ht="25.5" customHeight="1" s="372">
      <c r="A13" s="406">
        <f>IFERROR(INDEX('CHOICE calc'!$F$2:$F$541,MATCH(ROWS(A$6:A13),'CHOICE calc'!$E$2:$E$541,0)),"")</f>
        <v/>
      </c>
      <c r="B13" s="270">
        <f>IFERROR(INDEX('CHOICE calc'!$G$2:$G$541,MATCH(ROWS(A$6:A13),'CHOICE calc'!$E$2:$E$541,0)),"")</f>
        <v/>
      </c>
      <c r="C13" s="271">
        <f>IFERROR(INDEX('CHOICE calc'!$H$2:$H$541,MATCH(ROWS(A$6:A13),'CHOICE calc'!$E$2:$E$541,0)),"")</f>
        <v/>
      </c>
      <c r="D13" s="271">
        <f>IFERROR(INDEX('CHOICE calc'!$I$2:$I$541,MATCH(ROWS(A$6:A13),'CHOICE calc'!$E$2:$E$541,0)),"")</f>
        <v/>
      </c>
      <c r="E13" s="272">
        <f>IFERROR(INDEX('CHOICE calc'!$J$2:$J$541,MATCH(ROWS(A$6:A13),'CHOICE calc'!$E$2:$E$541,0)),"")</f>
        <v/>
      </c>
      <c r="F13" s="271">
        <f>IFERROR(INDEX('CHOICE calc'!$K$2:$K$541,MATCH(ROWS(A$6:A13),'CHOICE calc'!$E$2:$E$541,0)),"")</f>
        <v/>
      </c>
      <c r="G13" s="271">
        <f>IFERROR(INDEX('CHOICE calc'!$L$2:$L$541,MATCH(ROWS(A$6:A13),'CHOICE calc'!$E$2:$E$541,0)),"")</f>
        <v/>
      </c>
      <c r="H13" s="271">
        <f>IFERROR(INDEX('CHOICE calc'!$A$2:$A$541,MATCH(ROWS(A$6:A13),'CHOICE calc'!$E$2:$E$541,0)),"")</f>
        <v/>
      </c>
      <c r="I13" s="275" t="inlineStr">
        <is>
          <t>6. Advocacy</t>
        </is>
      </c>
      <c r="J13" s="276" t="n">
        <v>17</v>
      </c>
      <c r="K13" s="276">
        <f>'📊 Dashboard'!B24</f>
        <v/>
      </c>
      <c r="L13" s="282">
        <f>J13-K13</f>
        <v/>
      </c>
      <c r="U13" s="280" t="n"/>
    </row>
    <row r="14" ht="26.25" customHeight="1" s="372">
      <c r="A14" s="406">
        <f>IFERROR(INDEX('CHOICE calc'!$F$2:$F$541,MATCH(ROWS(A$6:A14),'CHOICE calc'!$E$2:$E$541,0)),"")</f>
        <v/>
      </c>
      <c r="B14" s="270">
        <f>IFERROR(INDEX('CHOICE calc'!$G$2:$G$541,MATCH(ROWS(A$6:A14),'CHOICE calc'!$E$2:$E$541,0)),"")</f>
        <v/>
      </c>
      <c r="C14" s="271">
        <f>IFERROR(INDEX('CHOICE calc'!$H$2:$H$541,MATCH(ROWS(A$6:A14),'CHOICE calc'!$E$2:$E$541,0)),"")</f>
        <v/>
      </c>
      <c r="D14" s="271">
        <f>IFERROR(INDEX('CHOICE calc'!$I$2:$I$541,MATCH(ROWS(A$6:A14),'CHOICE calc'!$E$2:$E$541,0)),"")</f>
        <v/>
      </c>
      <c r="E14" s="272">
        <f>IFERROR(INDEX('CHOICE calc'!$J$2:$J$541,MATCH(ROWS(A$6:A14),'CHOICE calc'!$E$2:$E$541,0)),"")</f>
        <v/>
      </c>
      <c r="F14" s="271">
        <f>IFERROR(INDEX('CHOICE calc'!$K$2:$K$541,MATCH(ROWS(A$6:A14),'CHOICE calc'!$E$2:$E$541,0)),"")</f>
        <v/>
      </c>
      <c r="G14" s="271">
        <f>IFERROR(INDEX('CHOICE calc'!$L$2:$L$541,MATCH(ROWS(A$6:A14),'CHOICE calc'!$E$2:$E$541,0)),"")</f>
        <v/>
      </c>
      <c r="H14" s="271">
        <f>IFERROR(INDEX('CHOICE calc'!$A$2:$A$541,MATCH(ROWS(A$6:A14),'CHOICE calc'!$E$2:$E$541,0)),"")</f>
        <v/>
      </c>
      <c r="I14" s="285" t="n"/>
      <c r="J14" s="236" t="n"/>
      <c r="K14" s="236" t="n"/>
      <c r="L14" s="236" t="n"/>
    </row>
    <row r="15" ht="29.25" customHeight="1" s="372">
      <c r="A15" s="406">
        <f>IFERROR(INDEX('CHOICE calc'!$F$2:$F$541,MATCH(ROWS(A$6:A15),'CHOICE calc'!$E$2:$E$541,0)),"")</f>
        <v/>
      </c>
      <c r="B15" s="270">
        <f>IFERROR(INDEX('CHOICE calc'!$G$2:$G$541,MATCH(ROWS(A$6:A15),'CHOICE calc'!$E$2:$E$541,0)),"")</f>
        <v/>
      </c>
      <c r="C15" s="271">
        <f>IFERROR(INDEX('CHOICE calc'!$H$2:$H$541,MATCH(ROWS(A$6:A15),'CHOICE calc'!$E$2:$E$541,0)),"")</f>
        <v/>
      </c>
      <c r="D15" s="271">
        <f>IFERROR(INDEX('CHOICE calc'!$I$2:$I$541,MATCH(ROWS(A$6:A15),'CHOICE calc'!$E$2:$E$541,0)),"")</f>
        <v/>
      </c>
      <c r="E15" s="272">
        <f>IFERROR(INDEX('CHOICE calc'!$J$2:$J$541,MATCH(ROWS(A$6:A15),'CHOICE calc'!$E$2:$E$541,0)),"")</f>
        <v/>
      </c>
      <c r="F15" s="271">
        <f>IFERROR(INDEX('CHOICE calc'!$K$2:$K$541,MATCH(ROWS(A$6:A15),'CHOICE calc'!$E$2:$E$541,0)),"")</f>
        <v/>
      </c>
      <c r="G15" s="271">
        <f>IFERROR(INDEX('CHOICE calc'!$L$2:$L$541,MATCH(ROWS(A$6:A15),'CHOICE calc'!$E$2:$E$541,0)),"")</f>
        <v/>
      </c>
      <c r="H15" s="271">
        <f>IFERROR(INDEX('CHOICE calc'!$A$2:$A$541,MATCH(ROWS(A$6:A15),'CHOICE calc'!$E$2:$E$541,0)),"")</f>
        <v/>
      </c>
      <c r="I15" s="285" t="n"/>
      <c r="J15" s="236" t="n"/>
      <c r="K15" s="236" t="n"/>
      <c r="L15" s="236" t="n"/>
    </row>
    <row r="16" ht="25.5" customHeight="1" s="372">
      <c r="A16" s="406">
        <f>IFERROR(INDEX('CHOICE calc'!$F$2:$F$541,MATCH(ROWS(A$6:A16),'CHOICE calc'!$E$2:$E$541,0)),"")</f>
        <v/>
      </c>
      <c r="B16" s="270">
        <f>IFERROR(INDEX('CHOICE calc'!$G$2:$G$541,MATCH(ROWS(A$6:A16),'CHOICE calc'!$E$2:$E$541,0)),"")</f>
        <v/>
      </c>
      <c r="C16" s="271">
        <f>IFERROR(INDEX('CHOICE calc'!$H$2:$H$541,MATCH(ROWS(A$6:A16),'CHOICE calc'!$E$2:$E$541,0)),"")</f>
        <v/>
      </c>
      <c r="D16" s="271">
        <f>IFERROR(INDEX('CHOICE calc'!$I$2:$I$541,MATCH(ROWS(A$6:A16),'CHOICE calc'!$E$2:$E$541,0)),"")</f>
        <v/>
      </c>
      <c r="E16" s="272">
        <f>IFERROR(INDEX('CHOICE calc'!$J$2:$J$541,MATCH(ROWS(A$6:A16),'CHOICE calc'!$E$2:$E$541,0)),"")</f>
        <v/>
      </c>
      <c r="F16" s="271">
        <f>IFERROR(INDEX('CHOICE calc'!$K$2:$K$541,MATCH(ROWS(A$6:A16),'CHOICE calc'!$E$2:$E$541,0)),"")</f>
        <v/>
      </c>
      <c r="G16" s="271">
        <f>IFERROR(INDEX('CHOICE calc'!$L$2:$L$541,MATCH(ROWS(A$6:A16),'CHOICE calc'!$E$2:$E$541,0)),"")</f>
        <v/>
      </c>
      <c r="H16" s="271">
        <f>IFERROR(INDEX('CHOICE calc'!$A$2:$A$541,MATCH(ROWS(A$6:A16),'CHOICE calc'!$E$2:$E$541,0)),"")</f>
        <v/>
      </c>
      <c r="I16" s="285" t="n"/>
      <c r="J16" s="236" t="n"/>
      <c r="K16" s="236" t="n"/>
      <c r="L16" s="236" t="n"/>
    </row>
    <row r="17" ht="29.25" customHeight="1" s="372">
      <c r="A17" s="406">
        <f>IFERROR(INDEX('CHOICE calc'!$F$2:$F$541,MATCH(ROWS(A$6:A17),'CHOICE calc'!$E$2:$E$541,0)),"")</f>
        <v/>
      </c>
      <c r="B17" s="270">
        <f>IFERROR(INDEX('CHOICE calc'!$G$2:$G$541,MATCH(ROWS(A$6:A17),'CHOICE calc'!$E$2:$E$541,0)),"")</f>
        <v/>
      </c>
      <c r="C17" s="271">
        <f>IFERROR(INDEX('CHOICE calc'!$H$2:$H$541,MATCH(ROWS(A$6:A17),'CHOICE calc'!$E$2:$E$541,0)),"")</f>
        <v/>
      </c>
      <c r="D17" s="271">
        <f>IFERROR(INDEX('CHOICE calc'!$I$2:$I$541,MATCH(ROWS(A$6:A17),'CHOICE calc'!$E$2:$E$541,0)),"")</f>
        <v/>
      </c>
      <c r="E17" s="272">
        <f>IFERROR(INDEX('CHOICE calc'!$J$2:$J$541,MATCH(ROWS(A$6:A17),'CHOICE calc'!$E$2:$E$541,0)),"")</f>
        <v/>
      </c>
      <c r="F17" s="271">
        <f>IFERROR(INDEX('CHOICE calc'!$K$2:$K$541,MATCH(ROWS(A$6:A17),'CHOICE calc'!$E$2:$E$541,0)),"")</f>
        <v/>
      </c>
      <c r="G17" s="271">
        <f>IFERROR(INDEX('CHOICE calc'!$L$2:$L$541,MATCH(ROWS(A$6:A17),'CHOICE calc'!$E$2:$E$541,0)),"")</f>
        <v/>
      </c>
      <c r="H17" s="271">
        <f>IFERROR(INDEX('CHOICE calc'!$A$2:$A$541,MATCH(ROWS(A$6:A17),'CHOICE calc'!$E$2:$E$541,0)),"")</f>
        <v/>
      </c>
      <c r="I17" s="285" t="n"/>
      <c r="J17" s="236" t="n"/>
      <c r="K17" s="236" t="n"/>
      <c r="L17" s="236" t="n"/>
    </row>
    <row r="18" ht="29.25" customHeight="1" s="372">
      <c r="A18" s="406">
        <f>IFERROR(INDEX('CHOICE calc'!$F$2:$F$541,MATCH(ROWS(A$6:A18),'CHOICE calc'!$E$2:$E$541,0)),"")</f>
        <v/>
      </c>
      <c r="B18" s="270">
        <f>IFERROR(INDEX('CHOICE calc'!$G$2:$G$541,MATCH(ROWS(A$6:A18),'CHOICE calc'!$E$2:$E$541,0)),"")</f>
        <v/>
      </c>
      <c r="C18" s="271">
        <f>IFERROR(INDEX('CHOICE calc'!$H$2:$H$541,MATCH(ROWS(A$6:A18),'CHOICE calc'!$E$2:$E$541,0)),"")</f>
        <v/>
      </c>
      <c r="D18" s="271">
        <f>IFERROR(INDEX('CHOICE calc'!$I$2:$I$541,MATCH(ROWS(A$6:A18),'CHOICE calc'!$E$2:$E$541,0)),"")</f>
        <v/>
      </c>
      <c r="E18" s="272">
        <f>IFERROR(INDEX('CHOICE calc'!$J$2:$J$541,MATCH(ROWS(A$6:A18),'CHOICE calc'!$E$2:$E$541,0)),"")</f>
        <v/>
      </c>
      <c r="F18" s="271">
        <f>IFERROR(INDEX('CHOICE calc'!$K$2:$K$541,MATCH(ROWS(A$6:A18),'CHOICE calc'!$E$2:$E$541,0)),"")</f>
        <v/>
      </c>
      <c r="G18" s="271">
        <f>IFERROR(INDEX('CHOICE calc'!$L$2:$L$541,MATCH(ROWS(A$6:A18),'CHOICE calc'!$E$2:$E$541,0)),"")</f>
        <v/>
      </c>
      <c r="H18" s="271">
        <f>IFERROR(INDEX('CHOICE calc'!$A$2:$A$541,MATCH(ROWS(A$6:A18),'CHOICE calc'!$E$2:$E$541,0)),"")</f>
        <v/>
      </c>
      <c r="I18" s="285" t="n"/>
      <c r="J18" s="236" t="n"/>
      <c r="K18" s="236" t="n"/>
      <c r="L18" s="236" t="n"/>
    </row>
    <row r="19" ht="24.75" customHeight="1" s="372">
      <c r="A19" s="406">
        <f>IFERROR(INDEX('CHOICE calc'!$F$2:$F$541,MATCH(ROWS(A$6:A19),'CHOICE calc'!$E$2:$E$541,0)),"")</f>
        <v/>
      </c>
      <c r="B19" s="270">
        <f>IFERROR(INDEX('CHOICE calc'!$G$2:$G$541,MATCH(ROWS(A$6:A19),'CHOICE calc'!$E$2:$E$541,0)),"")</f>
        <v/>
      </c>
      <c r="C19" s="271">
        <f>IFERROR(INDEX('CHOICE calc'!$H$2:$H$541,MATCH(ROWS(A$6:A19),'CHOICE calc'!$E$2:$E$541,0)),"")</f>
        <v/>
      </c>
      <c r="D19" s="271">
        <f>IFERROR(INDEX('CHOICE calc'!$I$2:$I$541,MATCH(ROWS(A$6:A19),'CHOICE calc'!$E$2:$E$541,0)),"")</f>
        <v/>
      </c>
      <c r="E19" s="272">
        <f>IFERROR(INDEX('CHOICE calc'!$J$2:$J$541,MATCH(ROWS(A$6:A19),'CHOICE calc'!$E$2:$E$541,0)),"")</f>
        <v/>
      </c>
      <c r="F19" s="271">
        <f>IFERROR(INDEX('CHOICE calc'!$K$2:$K$541,MATCH(ROWS(A$6:A19),'CHOICE calc'!$E$2:$E$541,0)),"")</f>
        <v/>
      </c>
      <c r="G19" s="271">
        <f>IFERROR(INDEX('CHOICE calc'!$L$2:$L$541,MATCH(ROWS(A$6:A19),'CHOICE calc'!$E$2:$E$541,0)),"")</f>
        <v/>
      </c>
      <c r="H19" s="271">
        <f>IFERROR(INDEX('CHOICE calc'!$A$2:$A$541,MATCH(ROWS(A$6:A19),'CHOICE calc'!$E$2:$E$541,0)),"")</f>
        <v/>
      </c>
      <c r="I19" s="285" t="n"/>
      <c r="J19" s="236" t="n"/>
      <c r="K19" s="236" t="n"/>
      <c r="L19" s="236" t="n"/>
    </row>
    <row r="20" ht="26.25" customHeight="1" s="372">
      <c r="A20" s="406">
        <f>IFERROR(INDEX('CHOICE calc'!$F$2:$F$541,MATCH(ROWS(A$6:A20),'CHOICE calc'!$E$2:$E$541,0)),"")</f>
        <v/>
      </c>
      <c r="B20" s="270">
        <f>IFERROR(INDEX('CHOICE calc'!$G$2:$G$541,MATCH(ROWS(A$6:A20),'CHOICE calc'!$E$2:$E$541,0)),"")</f>
        <v/>
      </c>
      <c r="C20" s="271">
        <f>IFERROR(INDEX('CHOICE calc'!$H$2:$H$541,MATCH(ROWS(A$6:A20),'CHOICE calc'!$E$2:$E$541,0)),"")</f>
        <v/>
      </c>
      <c r="D20" s="271">
        <f>IFERROR(INDEX('CHOICE calc'!$I$2:$I$541,MATCH(ROWS(A$6:A20),'CHOICE calc'!$E$2:$E$541,0)),"")</f>
        <v/>
      </c>
      <c r="E20" s="272">
        <f>IFERROR(INDEX('CHOICE calc'!$J$2:$J$541,MATCH(ROWS(A$6:A20),'CHOICE calc'!$E$2:$E$541,0)),"")</f>
        <v/>
      </c>
      <c r="F20" s="271">
        <f>IFERROR(INDEX('CHOICE calc'!$K$2:$K$541,MATCH(ROWS(A$6:A20),'CHOICE calc'!$E$2:$E$541,0)),"")</f>
        <v/>
      </c>
      <c r="G20" s="271">
        <f>IFERROR(INDEX('CHOICE calc'!$L$2:$L$541,MATCH(ROWS(A$6:A20),'CHOICE calc'!$E$2:$E$541,0)),"")</f>
        <v/>
      </c>
      <c r="H20" s="271">
        <f>IFERROR(INDEX('CHOICE calc'!$A$2:$A$541,MATCH(ROWS(A$6:A20),'CHOICE calc'!$E$2:$E$541,0)),"")</f>
        <v/>
      </c>
      <c r="I20" s="285" t="n"/>
      <c r="J20" s="236" t="n"/>
      <c r="K20" s="236" t="n"/>
      <c r="L20" s="236" t="n"/>
    </row>
    <row r="21" ht="29.25" customHeight="1" s="372">
      <c r="A21" s="406">
        <f>IFERROR(INDEX('CHOICE calc'!$F$2:$F$541,MATCH(ROWS(A$6:A21),'CHOICE calc'!$E$2:$E$541,0)),"")</f>
        <v/>
      </c>
      <c r="B21" s="288">
        <f>IFERROR(INDEX('CHOICE calc'!$G$2:$G$541,MATCH(ROWS(A$6:A21),'CHOICE calc'!$E$2:$E$541,0)),"")</f>
        <v/>
      </c>
      <c r="C21" s="289">
        <f>IFERROR(INDEX('CHOICE calc'!$H$2:$H$541,MATCH(ROWS(A$6:A21),'CHOICE calc'!$E$2:$E$541,0)),"")</f>
        <v/>
      </c>
      <c r="D21" s="290">
        <f>IFERROR(INDEX('CHOICE calc'!$I$2:$I$541,MATCH(ROWS(A$6:A21),'CHOICE calc'!$E$2:$E$541,0)),"")</f>
        <v/>
      </c>
      <c r="E21" s="291">
        <f>IFERROR(INDEX('CHOICE calc'!$J$2:$J$541,MATCH(ROWS(A$6:A21),'CHOICE calc'!$E$2:$E$541,0)),"")</f>
        <v/>
      </c>
      <c r="F21" s="289">
        <f>IFERROR(INDEX('CHOICE calc'!$K$2:$K$541,MATCH(ROWS(A$6:A21),'CHOICE calc'!$E$2:$E$541,0)),"")</f>
        <v/>
      </c>
      <c r="G21" s="292">
        <f>IFERROR(INDEX('CHOICE calc'!$L$2:$L$541,MATCH(ROWS(A$6:A21),'CHOICE calc'!$E$2:$E$541,0)),"")</f>
        <v/>
      </c>
      <c r="H21" s="293">
        <f>IFERROR(INDEX('CHOICE calc'!$A$2:$A$541,MATCH(ROWS(A$6:A21),'CHOICE calc'!$E$2:$E$541,0)),"")</f>
        <v/>
      </c>
      <c r="I21" s="285" t="n"/>
      <c r="J21" s="236" t="n"/>
      <c r="K21" s="236" t="n"/>
      <c r="L21" s="236" t="n"/>
    </row>
    <row r="22" ht="30.75" customHeight="1" s="372">
      <c r="A22" s="406">
        <f>IFERROR(INDEX('CHOICE calc'!$F$2:$F$541,MATCH(ROWS(A$6:A22),'CHOICE calc'!$E$2:$E$541,0)),"")</f>
        <v/>
      </c>
      <c r="B22" s="288">
        <f>IFERROR(INDEX('CHOICE calc'!$G$2:$G$541,MATCH(ROWS(A$6:A22),'CHOICE calc'!$E$2:$E$541,0)),"")</f>
        <v/>
      </c>
      <c r="C22" s="289">
        <f>IFERROR(INDEX('CHOICE calc'!$H$2:$H$541,MATCH(ROWS(A$6:A22),'CHOICE calc'!$E$2:$E$541,0)),"")</f>
        <v/>
      </c>
      <c r="D22" s="290">
        <f>IFERROR(INDEX('CHOICE calc'!$I$2:$I$541,MATCH(ROWS(A$6:A22),'CHOICE calc'!$E$2:$E$541,0)),"")</f>
        <v/>
      </c>
      <c r="E22" s="291">
        <f>IFERROR(INDEX('CHOICE calc'!$J$2:$J$541,MATCH(ROWS(A$6:A22),'CHOICE calc'!$E$2:$E$541,0)),"")</f>
        <v/>
      </c>
      <c r="F22" s="289">
        <f>IFERROR(INDEX('CHOICE calc'!$K$2:$K$541,MATCH(ROWS(A$6:A22),'CHOICE calc'!$E$2:$E$541,0)),"")</f>
        <v/>
      </c>
      <c r="G22" s="292">
        <f>IFERROR(INDEX('CHOICE calc'!$L$2:$L$541,MATCH(ROWS(A$6:A22),'CHOICE calc'!$E$2:$E$541,0)),"")</f>
        <v/>
      </c>
      <c r="H22" s="293">
        <f>IFERROR(INDEX('CHOICE calc'!$A$2:$A$541,MATCH(ROWS(A$6:A22),'CHOICE calc'!$E$2:$E$541,0)),"")</f>
        <v/>
      </c>
      <c r="I22" s="285" t="n"/>
      <c r="J22" s="236" t="n"/>
      <c r="K22" s="236" t="n"/>
      <c r="L22" s="236" t="n"/>
    </row>
    <row r="23" ht="27" customHeight="1" s="372">
      <c r="A23" s="406">
        <f>IFERROR(INDEX('CHOICE calc'!$F$2:$F$541,MATCH(ROWS(A$6:A23),'CHOICE calc'!$E$2:$E$541,0)),"")</f>
        <v/>
      </c>
      <c r="B23" s="294">
        <f>IFERROR(INDEX('CHOICE calc'!$G$2:$G$541,MATCH(ROWS(A$6:A23),'CHOICE calc'!$E$2:$E$541,0)),"")</f>
        <v/>
      </c>
      <c r="C23" s="289">
        <f>IFERROR(INDEX('CHOICE calc'!$H$2:$H$541,MATCH(ROWS(A$6:A23),'CHOICE calc'!$E$2:$E$541,0)),"")</f>
        <v/>
      </c>
      <c r="D23" s="290">
        <f>IFERROR(INDEX('CHOICE calc'!$I$2:$I$541,MATCH(ROWS(A$6:A23),'CHOICE calc'!$E$2:$E$541,0)),"")</f>
        <v/>
      </c>
      <c r="E23" s="291">
        <f>IFERROR(INDEX('CHOICE calc'!$J$2:$J$541,MATCH(ROWS(A$6:A23),'CHOICE calc'!$E$2:$E$541,0)),"")</f>
        <v/>
      </c>
      <c r="F23" s="289">
        <f>IFERROR(INDEX('CHOICE calc'!$K$2:$K$541,MATCH(ROWS(A$6:A23),'CHOICE calc'!$E$2:$E$541,0)),"")</f>
        <v/>
      </c>
      <c r="G23" s="292">
        <f>IFERROR(INDEX('CHOICE calc'!$L$2:$L$541,MATCH(ROWS(A$6:A23),'CHOICE calc'!$E$2:$E$541,0)),"")</f>
        <v/>
      </c>
      <c r="H23" s="290">
        <f>IFERROR(INDEX('CHOICE calc'!$A$2:$A$541,MATCH(ROWS(A$6:A23),'CHOICE calc'!$E$2:$E$541,0)),"")</f>
        <v/>
      </c>
      <c r="I23" s="285" t="n"/>
      <c r="J23" s="236" t="n"/>
      <c r="K23" s="236" t="n"/>
      <c r="L23" s="236" t="n"/>
    </row>
    <row r="24" ht="26.25" customHeight="1" s="372">
      <c r="A24" s="406">
        <f>IFERROR(INDEX('CHOICE calc'!$F$2:$F$541,MATCH(ROWS(A$6:A24),'CHOICE calc'!$E$2:$E$541,0)),"")</f>
        <v/>
      </c>
      <c r="B24" s="294">
        <f>IFERROR(INDEX('CHOICE calc'!$G$2:$G$541,MATCH(ROWS(A$6:A24),'CHOICE calc'!$E$2:$E$541,0)),"")</f>
        <v/>
      </c>
      <c r="C24" s="289">
        <f>IFERROR(INDEX('CHOICE calc'!$H$2:$H$541,MATCH(ROWS(A$6:A24),'CHOICE calc'!$E$2:$E$541,0)),"")</f>
        <v/>
      </c>
      <c r="D24" s="290">
        <f>IFERROR(INDEX('CHOICE calc'!$I$2:$I$541,MATCH(ROWS(A$6:A24),'CHOICE calc'!$E$2:$E$541,0)),"")</f>
        <v/>
      </c>
      <c r="E24" s="291">
        <f>IFERROR(INDEX('CHOICE calc'!$J$2:$J$541,MATCH(ROWS(A$6:A24),'CHOICE calc'!$E$2:$E$541,0)),"")</f>
        <v/>
      </c>
      <c r="F24" s="289">
        <f>IFERROR(INDEX('CHOICE calc'!$K$2:$K$541,MATCH(ROWS(A$6:A24),'CHOICE calc'!$E$2:$E$541,0)),"")</f>
        <v/>
      </c>
      <c r="G24" s="292">
        <f>IFERROR(INDEX('CHOICE calc'!$L$2:$L$541,MATCH(ROWS(A$6:A24),'CHOICE calc'!$E$2:$E$541,0)),"")</f>
        <v/>
      </c>
      <c r="H24" s="293">
        <f>IFERROR(INDEX('CHOICE calc'!$A$2:$A$541,MATCH(ROWS(A$6:A24),'CHOICE calc'!$E$2:$E$541,0)),"")</f>
        <v/>
      </c>
      <c r="I24" s="285" t="n"/>
      <c r="J24" s="236" t="n"/>
      <c r="K24" s="236" t="n"/>
      <c r="L24" s="236" t="n"/>
    </row>
    <row r="25" ht="27" customHeight="1" s="372">
      <c r="A25" s="406">
        <f>IFERROR(INDEX('CHOICE calc'!$F$2:$F$541,MATCH(ROWS(A$6:A25),'CHOICE calc'!$E$2:$E$541,0)),"")</f>
        <v/>
      </c>
      <c r="B25" s="294">
        <f>IFERROR(INDEX('CHOICE calc'!$G$2:$G$541,MATCH(ROWS(A$6:A25),'CHOICE calc'!$E$2:$E$541,0)),"")</f>
        <v/>
      </c>
      <c r="C25" s="289">
        <f>IFERROR(INDEX('CHOICE calc'!$H$2:$H$541,MATCH(ROWS(A$6:A25),'CHOICE calc'!$E$2:$E$541,0)),"")</f>
        <v/>
      </c>
      <c r="D25" s="290">
        <f>IFERROR(INDEX('CHOICE calc'!$I$2:$I$541,MATCH(ROWS(A$6:A25),'CHOICE calc'!$E$2:$E$541,0)),"")</f>
        <v/>
      </c>
      <c r="E25" s="291">
        <f>IFERROR(INDEX('CHOICE calc'!$J$2:$J$541,MATCH(ROWS(A$6:A25),'CHOICE calc'!$E$2:$E$541,0)),"")</f>
        <v/>
      </c>
      <c r="F25" s="289">
        <f>IFERROR(INDEX('CHOICE calc'!$K$2:$K$541,MATCH(ROWS(A$6:A25),'CHOICE calc'!$E$2:$E$541,0)),"")</f>
        <v/>
      </c>
      <c r="G25" s="292">
        <f>IFERROR(INDEX('CHOICE calc'!$L$2:$L$541,MATCH(ROWS(A$6:A25),'CHOICE calc'!$E$2:$E$541,0)),"")</f>
        <v/>
      </c>
      <c r="H25" s="293">
        <f>IFERROR(INDEX('CHOICE calc'!$A$2:$A$541,MATCH(ROWS(A$6:A25),'CHOICE calc'!$E$2:$E$541,0)),"")</f>
        <v/>
      </c>
      <c r="I25" s="285" t="n"/>
      <c r="J25" s="236" t="n"/>
      <c r="K25" s="236" t="n"/>
      <c r="L25" s="236" t="n"/>
    </row>
    <row r="26" ht="29.25" customHeight="1" s="372">
      <c r="A26" s="406">
        <f>IFERROR(INDEX('CHOICE calc'!$F$2:$F$541,MATCH(ROWS(A$6:A26),'CHOICE calc'!$E$2:$E$541,0)),"")</f>
        <v/>
      </c>
      <c r="B26" s="294">
        <f>IFERROR(INDEX('CHOICE calc'!$G$2:$G$541,MATCH(ROWS(A$6:A26),'CHOICE calc'!$E$2:$E$541,0)),"")</f>
        <v/>
      </c>
      <c r="C26" s="289">
        <f>IFERROR(INDEX('CHOICE calc'!$H$2:$H$541,MATCH(ROWS(A$6:A26),'CHOICE calc'!$E$2:$E$541,0)),"")</f>
        <v/>
      </c>
      <c r="D26" s="290">
        <f>IFERROR(INDEX('CHOICE calc'!$I$2:$I$541,MATCH(ROWS(A$6:A26),'CHOICE calc'!$E$2:$E$541,0)),"")</f>
        <v/>
      </c>
      <c r="E26" s="291">
        <f>IFERROR(INDEX('CHOICE calc'!$J$2:$J$541,MATCH(ROWS(A$6:A26),'CHOICE calc'!$E$2:$E$541,0)),"")</f>
        <v/>
      </c>
      <c r="F26" s="289">
        <f>IFERROR(INDEX('CHOICE calc'!$K$2:$K$541,MATCH(ROWS(A$6:A26),'CHOICE calc'!$E$2:$E$541,0)),"")</f>
        <v/>
      </c>
      <c r="G26" s="292">
        <f>IFERROR(INDEX('CHOICE calc'!$L$2:$L$541,MATCH(ROWS(A$6:A26),'CHOICE calc'!$E$2:$E$541,0)),"")</f>
        <v/>
      </c>
      <c r="H26" s="293">
        <f>IFERROR(INDEX('CHOICE calc'!$A$2:$A$541,MATCH(ROWS(A$6:A26),'CHOICE calc'!$E$2:$E$541,0)),"")</f>
        <v/>
      </c>
      <c r="I26" s="285" t="n"/>
      <c r="J26" s="236" t="n"/>
      <c r="K26" s="236" t="n"/>
      <c r="L26" s="236" t="n"/>
    </row>
    <row r="27" ht="27" customHeight="1" s="372">
      <c r="A27" s="406">
        <f>IFERROR(INDEX('CHOICE calc'!$F$2:$F$541,MATCH(ROWS(A$6:A27),'CHOICE calc'!$E$2:$E$541,0)),"")</f>
        <v/>
      </c>
      <c r="B27" s="294">
        <f>IFERROR(INDEX('CHOICE calc'!$G$2:$G$541,MATCH(ROWS(A$6:A27),'CHOICE calc'!$E$2:$E$541,0)),"")</f>
        <v/>
      </c>
      <c r="C27" s="289">
        <f>IFERROR(INDEX('CHOICE calc'!$H$2:$H$541,MATCH(ROWS(A$6:A27),'CHOICE calc'!$E$2:$E$541,0)),"")</f>
        <v/>
      </c>
      <c r="D27" s="290">
        <f>IFERROR(INDEX('CHOICE calc'!$I$2:$I$541,MATCH(ROWS(A$6:A27),'CHOICE calc'!$E$2:$E$541,0)),"")</f>
        <v/>
      </c>
      <c r="E27" s="291">
        <f>IFERROR(INDEX('CHOICE calc'!$J$2:$J$541,MATCH(ROWS(A$6:A27),'CHOICE calc'!$E$2:$E$541,0)),"")</f>
        <v/>
      </c>
      <c r="F27" s="289">
        <f>IFERROR(INDEX('CHOICE calc'!$K$2:$K$541,MATCH(ROWS(A$6:A27),'CHOICE calc'!$E$2:$E$541,0)),"")</f>
        <v/>
      </c>
      <c r="G27" s="292">
        <f>IFERROR(INDEX('CHOICE calc'!$L$2:$L$541,MATCH(ROWS(A$6:A27),'CHOICE calc'!$E$2:$E$541,0)),"")</f>
        <v/>
      </c>
      <c r="H27" s="290">
        <f>IFERROR(INDEX('CHOICE calc'!$A$2:$A$541,MATCH(ROWS(A$6:A27),'CHOICE calc'!$E$2:$E$541,0)),"")</f>
        <v/>
      </c>
      <c r="I27" s="285" t="n"/>
      <c r="J27" s="236" t="n"/>
      <c r="K27" s="236" t="n"/>
      <c r="L27" s="236" t="n"/>
    </row>
    <row r="28" ht="27" customHeight="1" s="372">
      <c r="A28" s="406">
        <f>IFERROR(INDEX('CHOICE calc'!$F$2:$F$541,MATCH(ROWS(A$6:A28),'CHOICE calc'!$E$2:$E$541,0)),"")</f>
        <v/>
      </c>
      <c r="B28" s="294">
        <f>IFERROR(INDEX('CHOICE calc'!$G$2:$G$541,MATCH(ROWS(A$6:A28),'CHOICE calc'!$E$2:$E$541,0)),"")</f>
        <v/>
      </c>
      <c r="C28" s="289">
        <f>IFERROR(INDEX('CHOICE calc'!$H$2:$H$541,MATCH(ROWS(A$6:A28),'CHOICE calc'!$E$2:$E$541,0)),"")</f>
        <v/>
      </c>
      <c r="D28" s="290">
        <f>IFERROR(INDEX('CHOICE calc'!$I$2:$I$541,MATCH(ROWS(A$6:A28),'CHOICE calc'!$E$2:$E$541,0)),"")</f>
        <v/>
      </c>
      <c r="E28" s="291">
        <f>IFERROR(INDEX('CHOICE calc'!$J$2:$J$541,MATCH(ROWS(A$6:A28),'CHOICE calc'!$E$2:$E$541,0)),"")</f>
        <v/>
      </c>
      <c r="F28" s="289">
        <f>IFERROR(INDEX('CHOICE calc'!$K$2:$K$541,MATCH(ROWS(A$6:A28),'CHOICE calc'!$E$2:$E$541,0)),"")</f>
        <v/>
      </c>
      <c r="G28" s="292">
        <f>IFERROR(INDEX('CHOICE calc'!$L$2:$L$541,MATCH(ROWS(A$6:A28),'CHOICE calc'!$E$2:$E$541,0)),"")</f>
        <v/>
      </c>
      <c r="H28" s="290">
        <f>IFERROR(INDEX('CHOICE calc'!$A$2:$A$541,MATCH(ROWS(A$6:A28),'CHOICE calc'!$E$2:$E$541,0)),"")</f>
        <v/>
      </c>
      <c r="I28" s="285" t="n"/>
      <c r="J28" s="236" t="n"/>
      <c r="K28" s="236" t="n"/>
      <c r="L28" s="236" t="n"/>
    </row>
    <row r="29" ht="42.75" customHeight="1" s="372">
      <c r="A29" s="406">
        <f>IFERROR(INDEX('CHOICE calc'!$F$2:$F$541,MATCH(ROWS(A$6:A29),'CHOICE calc'!$E$2:$E$541,0)),"")</f>
        <v/>
      </c>
      <c r="B29" s="294">
        <f>IFERROR(INDEX('CHOICE calc'!$G$2:$G$541,MATCH(ROWS(A$6:A29),'CHOICE calc'!$E$2:$E$541,0)),"")</f>
        <v/>
      </c>
      <c r="C29" s="289">
        <f>IFERROR(INDEX('CHOICE calc'!$H$2:$H$541,MATCH(ROWS(A$6:A29),'CHOICE calc'!$E$2:$E$541,0)),"")</f>
        <v/>
      </c>
      <c r="D29" s="290">
        <f>IFERROR(INDEX('CHOICE calc'!$I$2:$I$541,MATCH(ROWS(A$6:A29),'CHOICE calc'!$E$2:$E$541,0)),"")</f>
        <v/>
      </c>
      <c r="E29" s="291">
        <f>IFERROR(INDEX('CHOICE calc'!$J$2:$J$541,MATCH(ROWS(A$6:A29),'CHOICE calc'!$E$2:$E$541,0)),"")</f>
        <v/>
      </c>
      <c r="F29" s="289">
        <f>IFERROR(INDEX('CHOICE calc'!$K$2:$K$541,MATCH(ROWS(A$6:A29),'CHOICE calc'!$E$2:$E$541,0)),"")</f>
        <v/>
      </c>
      <c r="G29" s="292">
        <f>IFERROR(INDEX('CHOICE calc'!$L$2:$L$541,MATCH(ROWS(A$6:A29),'CHOICE calc'!$E$2:$E$541,0)),"")</f>
        <v/>
      </c>
      <c r="H29" s="293">
        <f>IFERROR(INDEX('CHOICE calc'!$A$2:$A$541,MATCH(ROWS(A$6:A29),'CHOICE calc'!$E$2:$E$541,0)),"")</f>
        <v/>
      </c>
      <c r="I29" s="285" t="n"/>
      <c r="J29" s="236" t="n"/>
      <c r="K29" s="236" t="n"/>
      <c r="L29" s="236" t="n"/>
    </row>
    <row r="30" ht="31.5" customHeight="1" s="372">
      <c r="A30" s="406">
        <f>IFERROR(INDEX('CHOICE calc'!$F$2:$F$541,MATCH(ROWS(A$6:A30),'CHOICE calc'!$E$2:$E$541,0)),"")</f>
        <v/>
      </c>
      <c r="B30" s="294">
        <f>IFERROR(INDEX('CHOICE calc'!$G$2:$G$541,MATCH(ROWS(A$6:A30),'CHOICE calc'!$E$2:$E$541,0)),"")</f>
        <v/>
      </c>
      <c r="C30" s="289">
        <f>IFERROR(INDEX('CHOICE calc'!$H$2:$H$541,MATCH(ROWS(A$6:A30),'CHOICE calc'!$E$2:$E$541,0)),"")</f>
        <v/>
      </c>
      <c r="D30" s="290">
        <f>IFERROR(INDEX('CHOICE calc'!$I$2:$I$541,MATCH(ROWS(A$6:A30),'CHOICE calc'!$E$2:$E$541,0)),"")</f>
        <v/>
      </c>
      <c r="E30" s="291">
        <f>IFERROR(INDEX('CHOICE calc'!$J$2:$J$541,MATCH(ROWS(A$6:A30),'CHOICE calc'!$E$2:$E$541,0)),"")</f>
        <v/>
      </c>
      <c r="F30" s="289">
        <f>IFERROR(INDEX('CHOICE calc'!$K$2:$K$541,MATCH(ROWS(A$6:A30),'CHOICE calc'!$E$2:$E$541,0)),"")</f>
        <v/>
      </c>
      <c r="G30" s="292">
        <f>IFERROR(INDEX('CHOICE calc'!$L$2:$L$541,MATCH(ROWS(A$6:A30),'CHOICE calc'!$E$2:$E$541,0)),"")</f>
        <v/>
      </c>
      <c r="H30" s="290">
        <f>IFERROR(INDEX('CHOICE calc'!$A$2:$A$541,MATCH(ROWS(A$6:A30),'CHOICE calc'!$E$2:$E$541,0)),"")</f>
        <v/>
      </c>
      <c r="I30" s="285" t="n"/>
      <c r="J30" s="236" t="n"/>
      <c r="K30" s="236" t="n"/>
      <c r="L30" s="236" t="n"/>
    </row>
    <row r="31" ht="23.25" customHeight="1" s="372">
      <c r="A31" s="406">
        <f>IFERROR(INDEX('CHOICE calc'!$F$2:$F$541,MATCH(ROWS(A$6:A31),'CHOICE calc'!$E$2:$E$541,0)),"")</f>
        <v/>
      </c>
      <c r="B31" s="294">
        <f>IFERROR(INDEX('CHOICE calc'!$G$2:$G$541,MATCH(ROWS(A$6:A31),'CHOICE calc'!$E$2:$E$541,0)),"")</f>
        <v/>
      </c>
      <c r="C31" s="289">
        <f>IFERROR(INDEX('CHOICE calc'!$H$2:$H$541,MATCH(ROWS(A$6:A31),'CHOICE calc'!$E$2:$E$541,0)),"")</f>
        <v/>
      </c>
      <c r="D31" s="290">
        <f>IFERROR(INDEX('CHOICE calc'!$I$2:$I$541,MATCH(ROWS(A$6:A31),'CHOICE calc'!$E$2:$E$541,0)),"")</f>
        <v/>
      </c>
      <c r="E31" s="291">
        <f>IFERROR(INDEX('CHOICE calc'!$J$2:$J$541,MATCH(ROWS(A$6:A31),'CHOICE calc'!$E$2:$E$541,0)),"")</f>
        <v/>
      </c>
      <c r="F31" s="289">
        <f>IFERROR(INDEX('CHOICE calc'!$K$2:$K$541,MATCH(ROWS(A$6:A31),'CHOICE calc'!$E$2:$E$541,0)),"")</f>
        <v/>
      </c>
      <c r="G31" s="292">
        <f>IFERROR(INDEX('CHOICE calc'!$L$2:$L$541,MATCH(ROWS(A$6:A31),'CHOICE calc'!$E$2:$E$541,0)),"")</f>
        <v/>
      </c>
      <c r="H31" s="293">
        <f>IFERROR(INDEX('CHOICE calc'!$A$2:$A$541,MATCH(ROWS(A$6:A31),'CHOICE calc'!$E$2:$E$541,0)),"")</f>
        <v/>
      </c>
      <c r="I31" s="285" t="n"/>
      <c r="J31" s="236" t="n"/>
      <c r="K31" s="236" t="n"/>
      <c r="L31" s="236" t="n"/>
    </row>
    <row r="32" ht="22.5" customHeight="1" s="372">
      <c r="A32" s="406">
        <f>IFERROR(INDEX('CHOICE calc'!$F$2:$F$541,MATCH(ROWS(A$6:A32),'CHOICE calc'!$E$2:$E$541,0)),"")</f>
        <v/>
      </c>
      <c r="B32" s="407">
        <f>IFERROR(INDEX('CHOICE calc'!$G$2:$G$541,MATCH(ROWS(A$6:A32),'CHOICE calc'!$E$2:$E$541,0)),"")</f>
        <v/>
      </c>
      <c r="C32" s="263">
        <f>IFERROR(INDEX('CHOICE calc'!$H$2:$H$541,MATCH(ROWS(A$6:A32),'CHOICE calc'!$E$2:$E$541,0)),"")</f>
        <v/>
      </c>
      <c r="D32" s="263">
        <f>IFERROR(INDEX('CHOICE calc'!$I$2:$I$541,MATCH(ROWS(A$6:A32),'CHOICE calc'!$E$2:$E$541,0)),"")</f>
        <v/>
      </c>
      <c r="E32" s="263">
        <f>IFERROR(INDEX('CHOICE calc'!$J$2:$J$541,MATCH(ROWS(A$6:A32),'CHOICE calc'!$E$2:$E$541,0)),"")</f>
        <v/>
      </c>
      <c r="F32" s="263">
        <f>IFERROR(INDEX('CHOICE calc'!$K$2:$K$541,MATCH(ROWS(A$6:A32),'CHOICE calc'!$E$2:$E$541,0)),"")</f>
        <v/>
      </c>
      <c r="G32" s="263">
        <f>IFERROR(INDEX('CHOICE calc'!$L$2:$L$541,MATCH(ROWS(A$6:A32),'CHOICE calc'!$E$2:$E$541,0)),"")</f>
        <v/>
      </c>
      <c r="H32" s="263">
        <f>IFERROR(INDEX('CHOICE calc'!$A$2:$A$541,MATCH(ROWS(A$6:A32),'CHOICE calc'!$E$2:$E$541,0)),"")</f>
        <v/>
      </c>
      <c r="I32" s="236" t="n"/>
      <c r="J32" s="236" t="n"/>
      <c r="K32" s="236" t="n"/>
      <c r="L32" s="236" t="n"/>
    </row>
    <row r="33" ht="35.25" customHeight="1" s="372">
      <c r="A33" s="406">
        <f>IFERROR(INDEX('CHOICE calc'!$F$2:$F$541,MATCH(ROWS(A$6:A33),'CHOICE calc'!$E$2:$E$541,0)),"")</f>
        <v/>
      </c>
      <c r="B33" s="407">
        <f>IFERROR(INDEX('CHOICE calc'!$G$2:$G$541,MATCH(ROWS(A$6:A33),'CHOICE calc'!$E$2:$E$541,0)),"")</f>
        <v/>
      </c>
      <c r="C33" s="263">
        <f>IFERROR(INDEX('CHOICE calc'!$H$2:$H$541,MATCH(ROWS(A$6:A33),'CHOICE calc'!$E$2:$E$541,0)),"")</f>
        <v/>
      </c>
      <c r="D33" s="296">
        <f>IFERROR(INDEX('CHOICE calc'!$I$2:$I$541,MATCH(ROWS(A$6:A33),'CHOICE calc'!$E$2:$E$541,0)),"")</f>
        <v/>
      </c>
      <c r="E33" s="263">
        <f>IFERROR(INDEX('CHOICE calc'!$J$2:$J$541,MATCH(ROWS(A$6:A33),'CHOICE calc'!$E$2:$E$541,0)),"")</f>
        <v/>
      </c>
      <c r="F33" s="296">
        <f>IFERROR(INDEX('CHOICE calc'!$K$2:$K$541,MATCH(ROWS(A$6:A33),'CHOICE calc'!$E$2:$E$541,0)),"")</f>
        <v/>
      </c>
      <c r="G33" s="263">
        <f>IFERROR(INDEX('CHOICE calc'!$L$2:$L$541,MATCH(ROWS(A$6:A33),'CHOICE calc'!$E$2:$E$541,0)),"")</f>
        <v/>
      </c>
      <c r="H33" s="263">
        <f>IFERROR(INDEX('CHOICE calc'!$A$2:$A$541,MATCH(ROWS(A$6:A33),'CHOICE calc'!$E$2:$E$541,0)),"")</f>
        <v/>
      </c>
      <c r="I33" s="236" t="n"/>
      <c r="J33" s="236" t="n"/>
      <c r="K33" s="236" t="n"/>
      <c r="L33" s="236" t="n"/>
    </row>
    <row r="34" ht="35.25" customHeight="1" s="372">
      <c r="A34" s="406">
        <f>IFERROR(INDEX('CHOICE calc'!$F$2:$F$541,MATCH(ROWS(A$6:A34),'CHOICE calc'!$E$2:$E$541,0)),"")</f>
        <v/>
      </c>
      <c r="B34" s="407">
        <f>IFERROR(INDEX('CHOICE calc'!$G$2:$G$541,MATCH(ROWS(A$6:A34),'CHOICE calc'!$E$2:$E$541,0)),"")</f>
        <v/>
      </c>
      <c r="C34" s="263">
        <f>IFERROR(INDEX('CHOICE calc'!$H$2:$H$541,MATCH(ROWS(A$6:A34),'CHOICE calc'!$E$2:$E$541,0)),"")</f>
        <v/>
      </c>
      <c r="D34" s="296">
        <f>IFERROR(INDEX('CHOICE calc'!$I$2:$I$541,MATCH(ROWS(A$6:A34),'CHOICE calc'!$E$2:$E$541,0)),"")</f>
        <v/>
      </c>
      <c r="E34" s="263">
        <f>IFERROR(INDEX('CHOICE calc'!$J$2:$J$541,MATCH(ROWS(A$6:A34),'CHOICE calc'!$E$2:$E$541,0)),"")</f>
        <v/>
      </c>
      <c r="F34" s="296">
        <f>IFERROR(INDEX('CHOICE calc'!$K$2:$K$541,MATCH(ROWS(A$6:A34),'CHOICE calc'!$E$2:$E$541,0)),"")</f>
        <v/>
      </c>
      <c r="G34" s="263">
        <f>IFERROR(INDEX('CHOICE calc'!$L$2:$L$541,MATCH(ROWS(A$6:A34),'CHOICE calc'!$E$2:$E$541,0)),"")</f>
        <v/>
      </c>
      <c r="H34" s="263">
        <f>IFERROR(INDEX('CHOICE calc'!$A$2:$A$541,MATCH(ROWS(A$6:A34),'CHOICE calc'!$E$2:$E$541,0)),"")</f>
        <v/>
      </c>
      <c r="I34" s="236" t="n"/>
      <c r="J34" s="236" t="n"/>
      <c r="K34" s="236" t="n"/>
      <c r="L34" s="236" t="n"/>
    </row>
    <row r="35" ht="37.5" customHeight="1" s="372">
      <c r="A35" s="406">
        <f>IFERROR(INDEX('CHOICE calc'!$F$2:$F$541,MATCH(ROWS(A$6:A35),'CHOICE calc'!$E$2:$E$541,0)),"")</f>
        <v/>
      </c>
      <c r="B35" s="407">
        <f>IFERROR(INDEX('CHOICE calc'!$G$2:$G$541,MATCH(ROWS(A$6:A35),'CHOICE calc'!$E$2:$E$541,0)),"")</f>
        <v/>
      </c>
      <c r="C35" s="263">
        <f>IFERROR(INDEX('CHOICE calc'!$H$2:$H$541,MATCH(ROWS(A$6:A35),'CHOICE calc'!$E$2:$E$541,0)),"")</f>
        <v/>
      </c>
      <c r="D35" s="296">
        <f>IFERROR(INDEX('CHOICE calc'!$I$2:$I$541,MATCH(ROWS(A$6:A35),'CHOICE calc'!$E$2:$E$541,0)),"")</f>
        <v/>
      </c>
      <c r="E35" s="263">
        <f>IFERROR(INDEX('CHOICE calc'!$J$2:$J$541,MATCH(ROWS(A$6:A35),'CHOICE calc'!$E$2:$E$541,0)),"")</f>
        <v/>
      </c>
      <c r="F35" s="296">
        <f>IFERROR(INDEX('CHOICE calc'!$K$2:$K$541,MATCH(ROWS(A$6:A35),'CHOICE calc'!$E$2:$E$541,0)),"")</f>
        <v/>
      </c>
      <c r="G35" s="263">
        <f>IFERROR(INDEX('CHOICE calc'!$L$2:$L$541,MATCH(ROWS(A$6:A35),'CHOICE calc'!$E$2:$E$541,0)),"")</f>
        <v/>
      </c>
      <c r="H35" s="263">
        <f>IFERROR(INDEX('CHOICE calc'!$A$2:$A$541,MATCH(ROWS(A$6:A35),'CHOICE calc'!$E$2:$E$541,0)),"")</f>
        <v/>
      </c>
      <c r="I35" s="236" t="n"/>
      <c r="J35" s="236" t="n"/>
      <c r="K35" s="236" t="n"/>
      <c r="L35" s="236" t="n"/>
    </row>
    <row r="36" ht="15.75" customHeight="1" s="372">
      <c r="A36" s="408">
        <f>IFERROR(INDEX('CHOICE calc'!$F$2:$F$541,MATCH(ROWS(A$6:A36),'CHOICE calc'!$E$2:$E$541,0)),"")</f>
        <v/>
      </c>
      <c r="B36" s="409">
        <f>IFERROR(INDEX('CHOICE calc'!$G$2:$G$541,MATCH(ROWS(A$6:A36),'CHOICE calc'!$E$2:$E$541,0)),"")</f>
        <v/>
      </c>
      <c r="C36" s="297">
        <f>IFERROR(INDEX('CHOICE calc'!$H$2:$H$541,MATCH(ROWS(A$6:A36),'CHOICE calc'!$E$2:$E$541,0)),"")</f>
        <v/>
      </c>
      <c r="D36" s="268">
        <f>IFERROR(INDEX('CHOICE calc'!$I$2:$I$541,MATCH(ROWS(A$6:A36),'CHOICE calc'!$E$2:$E$541,0)),"")</f>
        <v/>
      </c>
      <c r="E36" s="297">
        <f>IFERROR(INDEX('CHOICE calc'!$J$2:$J$541,MATCH(ROWS(A$6:A36),'CHOICE calc'!$E$2:$E$541,0)),"")</f>
        <v/>
      </c>
      <c r="F36" s="268">
        <f>IFERROR(INDEX('CHOICE calc'!$K$2:$K$541,MATCH(ROWS(A$6:A36),'CHOICE calc'!$E$2:$E$541,0)),"")</f>
        <v/>
      </c>
      <c r="G36" s="297">
        <f>IFERROR(INDEX('CHOICE calc'!$L$2:$L$541,MATCH(ROWS(A$6:A36),'CHOICE calc'!$E$2:$E$541,0)),"")</f>
        <v/>
      </c>
      <c r="H36" s="297">
        <f>IFERROR(INDEX('CHOICE calc'!$A$2:$A$541,MATCH(ROWS(A$6:A36),'CHOICE calc'!$E$2:$E$541,0)),"")</f>
        <v/>
      </c>
      <c r="I36" s="236" t="n"/>
      <c r="J36" s="236" t="n"/>
      <c r="K36" s="236" t="n"/>
      <c r="L36" s="236" t="n"/>
    </row>
    <row r="37" ht="15.75" customHeight="1" s="372">
      <c r="A37" s="408">
        <f>IFERROR(INDEX('CHOICE calc'!$F$2:$F$541,MATCH(ROWS(A$6:A37),'CHOICE calc'!$E$2:$E$541,0)),"")</f>
        <v/>
      </c>
      <c r="B37" s="409">
        <f>IFERROR(INDEX('CHOICE calc'!$G$2:$G$541,MATCH(ROWS(A$6:A37),'CHOICE calc'!$E$2:$E$541,0)),"")</f>
        <v/>
      </c>
      <c r="C37" s="297">
        <f>IFERROR(INDEX('CHOICE calc'!$H$2:$H$541,MATCH(ROWS(A$6:A37),'CHOICE calc'!$E$2:$E$541,0)),"")</f>
        <v/>
      </c>
      <c r="D37" s="268">
        <f>IFERROR(INDEX('CHOICE calc'!$I$2:$I$541,MATCH(ROWS(A$6:A37),'CHOICE calc'!$E$2:$E$541,0)),"")</f>
        <v/>
      </c>
      <c r="E37" s="297">
        <f>IFERROR(INDEX('CHOICE calc'!$J$2:$J$541,MATCH(ROWS(A$6:A37),'CHOICE calc'!$E$2:$E$541,0)),"")</f>
        <v/>
      </c>
      <c r="F37" s="268">
        <f>IFERROR(INDEX('CHOICE calc'!$K$2:$K$541,MATCH(ROWS(A$6:A37),'CHOICE calc'!$E$2:$E$541,0)),"")</f>
        <v/>
      </c>
      <c r="G37" s="297">
        <f>IFERROR(INDEX('CHOICE calc'!$L$2:$L$541,MATCH(ROWS(A$6:A37),'CHOICE calc'!$E$2:$E$541,0)),"")</f>
        <v/>
      </c>
      <c r="H37" s="297">
        <f>IFERROR(INDEX('CHOICE calc'!$A$2:$A$541,MATCH(ROWS(A$6:A37),'CHOICE calc'!$E$2:$E$541,0)),"")</f>
        <v/>
      </c>
      <c r="I37" s="236" t="n"/>
      <c r="J37" s="236" t="n"/>
      <c r="K37" s="236" t="n"/>
      <c r="L37" s="236" t="n"/>
    </row>
    <row r="38" ht="15.75" customHeight="1" s="372">
      <c r="A38" s="408">
        <f>IFERROR(INDEX('CHOICE calc'!$F$2:$F$541,MATCH(ROWS(A$6:A38),'CHOICE calc'!$E$2:$E$541,0)),"")</f>
        <v/>
      </c>
      <c r="B38" s="409">
        <f>IFERROR(INDEX('CHOICE calc'!$G$2:$G$541,MATCH(ROWS(A$6:A38),'CHOICE calc'!$E$2:$E$541,0)),"")</f>
        <v/>
      </c>
      <c r="C38" s="297">
        <f>IFERROR(INDEX('CHOICE calc'!$H$2:$H$541,MATCH(ROWS(A$6:A38),'CHOICE calc'!$E$2:$E$541,0)),"")</f>
        <v/>
      </c>
      <c r="D38" s="268">
        <f>IFERROR(INDEX('CHOICE calc'!$I$2:$I$541,MATCH(ROWS(A$6:A38),'CHOICE calc'!$E$2:$E$541,0)),"")</f>
        <v/>
      </c>
      <c r="E38" s="297">
        <f>IFERROR(INDEX('CHOICE calc'!$J$2:$J$541,MATCH(ROWS(A$6:A38),'CHOICE calc'!$E$2:$E$541,0)),"")</f>
        <v/>
      </c>
      <c r="F38" s="268">
        <f>IFERROR(INDEX('CHOICE calc'!$K$2:$K$541,MATCH(ROWS(A$6:A38),'CHOICE calc'!$E$2:$E$541,0)),"")</f>
        <v/>
      </c>
      <c r="G38" s="297">
        <f>IFERROR(INDEX('CHOICE calc'!$L$2:$L$541,MATCH(ROWS(A$6:A38),'CHOICE calc'!$E$2:$E$541,0)),"")</f>
        <v/>
      </c>
      <c r="H38" s="297">
        <f>IFERROR(INDEX('CHOICE calc'!$A$2:$A$541,MATCH(ROWS(A$6:A38),'CHOICE calc'!$E$2:$E$541,0)),"")</f>
        <v/>
      </c>
      <c r="I38" s="236" t="n"/>
      <c r="J38" s="236" t="n"/>
      <c r="K38" s="236" t="n"/>
      <c r="L38" s="236" t="n"/>
    </row>
    <row r="39" ht="15.75" customHeight="1" s="372">
      <c r="A39" s="408">
        <f>IFERROR(INDEX('CHOICE calc'!$F$2:$F$541,MATCH(ROWS(A$6:A39),'CHOICE calc'!$E$2:$E$541,0)),"")</f>
        <v/>
      </c>
      <c r="B39" s="409">
        <f>IFERROR(INDEX('CHOICE calc'!$G$2:$G$541,MATCH(ROWS(A$6:A39),'CHOICE calc'!$E$2:$E$541,0)),"")</f>
        <v/>
      </c>
      <c r="C39" s="297">
        <f>IFERROR(INDEX('CHOICE calc'!$H$2:$H$541,MATCH(ROWS(A$6:A39),'CHOICE calc'!$E$2:$E$541,0)),"")</f>
        <v/>
      </c>
      <c r="D39" s="268">
        <f>IFERROR(INDEX('CHOICE calc'!$I$2:$I$541,MATCH(ROWS(A$6:A39),'CHOICE calc'!$E$2:$E$541,0)),"")</f>
        <v/>
      </c>
      <c r="E39" s="297">
        <f>IFERROR(INDEX('CHOICE calc'!$J$2:$J$541,MATCH(ROWS(A$6:A39),'CHOICE calc'!$E$2:$E$541,0)),"")</f>
        <v/>
      </c>
      <c r="F39" s="268">
        <f>IFERROR(INDEX('CHOICE calc'!$K$2:$K$541,MATCH(ROWS(A$6:A39),'CHOICE calc'!$E$2:$E$541,0)),"")</f>
        <v/>
      </c>
      <c r="G39" s="297">
        <f>IFERROR(INDEX('CHOICE calc'!$L$2:$L$541,MATCH(ROWS(A$6:A39),'CHOICE calc'!$E$2:$E$541,0)),"")</f>
        <v/>
      </c>
      <c r="H39" s="297">
        <f>IFERROR(INDEX('CHOICE calc'!$A$2:$A$541,MATCH(ROWS(A$6:A39),'CHOICE calc'!$E$2:$E$541,0)),"")</f>
        <v/>
      </c>
      <c r="I39" s="236" t="n"/>
      <c r="J39" s="236" t="n"/>
      <c r="K39" s="236" t="n"/>
      <c r="L39" s="236" t="n"/>
    </row>
    <row r="40" ht="15.75" customHeight="1" s="372">
      <c r="A40" s="408">
        <f>IFERROR(INDEX('CHOICE calc'!$F$2:$F$541,MATCH(ROWS(A$6:A40),'CHOICE calc'!$E$2:$E$541,0)),"")</f>
        <v/>
      </c>
      <c r="B40" s="409">
        <f>IFERROR(INDEX('CHOICE calc'!$G$2:$G$541,MATCH(ROWS(A$6:A40),'CHOICE calc'!$E$2:$E$541,0)),"")</f>
        <v/>
      </c>
      <c r="C40" s="297">
        <f>IFERROR(INDEX('CHOICE calc'!$H$2:$H$541,MATCH(ROWS(A$6:A40),'CHOICE calc'!$E$2:$E$541,0)),"")</f>
        <v/>
      </c>
      <c r="D40" s="268">
        <f>IFERROR(INDEX('CHOICE calc'!$I$2:$I$541,MATCH(ROWS(A$6:A40),'CHOICE calc'!$E$2:$E$541,0)),"")</f>
        <v/>
      </c>
      <c r="E40" s="297">
        <f>IFERROR(INDEX('CHOICE calc'!$J$2:$J$541,MATCH(ROWS(A$6:A40),'CHOICE calc'!$E$2:$E$541,0)),"")</f>
        <v/>
      </c>
      <c r="F40" s="268">
        <f>IFERROR(INDEX('CHOICE calc'!$K$2:$K$541,MATCH(ROWS(A$6:A40),'CHOICE calc'!$E$2:$E$541,0)),"")</f>
        <v/>
      </c>
      <c r="G40" s="297">
        <f>IFERROR(INDEX('CHOICE calc'!$L$2:$L$541,MATCH(ROWS(A$6:A40),'CHOICE calc'!$E$2:$E$541,0)),"")</f>
        <v/>
      </c>
      <c r="H40" s="297">
        <f>IFERROR(INDEX('CHOICE calc'!$A$2:$A$541,MATCH(ROWS(A$6:A40),'CHOICE calc'!$E$2:$E$541,0)),"")</f>
        <v/>
      </c>
      <c r="I40" s="236" t="n"/>
      <c r="J40" s="236" t="n"/>
      <c r="K40" s="236" t="n"/>
      <c r="L40" s="236" t="n"/>
    </row>
    <row r="41" ht="15.75" customHeight="1" s="372">
      <c r="A41" s="408">
        <f>IFERROR(INDEX('CHOICE calc'!$F$2:$F$541,MATCH(ROWS(A$6:A41),'CHOICE calc'!$E$2:$E$541,0)),"")</f>
        <v/>
      </c>
      <c r="B41" s="409">
        <f>IFERROR(INDEX('CHOICE calc'!$G$2:$G$541,MATCH(ROWS(A$6:A41),'CHOICE calc'!$E$2:$E$541,0)),"")</f>
        <v/>
      </c>
      <c r="C41" s="297">
        <f>IFERROR(INDEX('CHOICE calc'!$H$2:$H$541,MATCH(ROWS(A$6:A41),'CHOICE calc'!$E$2:$E$541,0)),"")</f>
        <v/>
      </c>
      <c r="D41" s="268">
        <f>IFERROR(INDEX('CHOICE calc'!$I$2:$I$541,MATCH(ROWS(A$6:A41),'CHOICE calc'!$E$2:$E$541,0)),"")</f>
        <v/>
      </c>
      <c r="E41" s="297">
        <f>IFERROR(INDEX('CHOICE calc'!$J$2:$J$541,MATCH(ROWS(A$6:A41),'CHOICE calc'!$E$2:$E$541,0)),"")</f>
        <v/>
      </c>
      <c r="F41" s="268">
        <f>IFERROR(INDEX('CHOICE calc'!$K$2:$K$541,MATCH(ROWS(A$6:A41),'CHOICE calc'!$E$2:$E$541,0)),"")</f>
        <v/>
      </c>
      <c r="G41" s="297">
        <f>IFERROR(INDEX('CHOICE calc'!$L$2:$L$541,MATCH(ROWS(A$6:A41),'CHOICE calc'!$E$2:$E$541,0)),"")</f>
        <v/>
      </c>
      <c r="H41" s="297">
        <f>IFERROR(INDEX('CHOICE calc'!$A$2:$A$541,MATCH(ROWS(A$6:A41),'CHOICE calc'!$E$2:$E$541,0)),"")</f>
        <v/>
      </c>
      <c r="I41" s="236" t="n"/>
      <c r="J41" s="236" t="n"/>
      <c r="K41" s="236" t="n"/>
      <c r="L41" s="236" t="n"/>
    </row>
    <row r="42" ht="15.75" customHeight="1" s="372">
      <c r="A42" s="408">
        <f>IFERROR(INDEX('CHOICE calc'!$F$2:$F$541,MATCH(ROWS(A$6:A42),'CHOICE calc'!$E$2:$E$541,0)),"")</f>
        <v/>
      </c>
      <c r="B42" s="409">
        <f>IFERROR(INDEX('CHOICE calc'!$G$2:$G$541,MATCH(ROWS(A$6:A42),'CHOICE calc'!$E$2:$E$541,0)),"")</f>
        <v/>
      </c>
      <c r="C42" s="297">
        <f>IFERROR(INDEX('CHOICE calc'!$H$2:$H$541,MATCH(ROWS(A$6:A42),'CHOICE calc'!$E$2:$E$541,0)),"")</f>
        <v/>
      </c>
      <c r="D42" s="268">
        <f>IFERROR(INDEX('CHOICE calc'!$I$2:$I$541,MATCH(ROWS(A$6:A42),'CHOICE calc'!$E$2:$E$541,0)),"")</f>
        <v/>
      </c>
      <c r="E42" s="297">
        <f>IFERROR(INDEX('CHOICE calc'!$J$2:$J$541,MATCH(ROWS(A$6:A42),'CHOICE calc'!$E$2:$E$541,0)),"")</f>
        <v/>
      </c>
      <c r="F42" s="268">
        <f>IFERROR(INDEX('CHOICE calc'!$K$2:$K$541,MATCH(ROWS(A$6:A42),'CHOICE calc'!$E$2:$E$541,0)),"")</f>
        <v/>
      </c>
      <c r="G42" s="297">
        <f>IFERROR(INDEX('CHOICE calc'!$L$2:$L$541,MATCH(ROWS(A$6:A42),'CHOICE calc'!$E$2:$E$541,0)),"")</f>
        <v/>
      </c>
      <c r="H42" s="297">
        <f>IFERROR(INDEX('CHOICE calc'!$A$2:$A$541,MATCH(ROWS(A$6:A42),'CHOICE calc'!$E$2:$E$541,0)),"")</f>
        <v/>
      </c>
      <c r="I42" s="236" t="n"/>
      <c r="J42" s="236" t="n"/>
      <c r="K42" s="236" t="n"/>
      <c r="L42" s="236" t="n"/>
    </row>
    <row r="43" ht="15.75" customHeight="1" s="372">
      <c r="A43" s="408">
        <f>IFERROR(INDEX('CHOICE calc'!$F$2:$F$541,MATCH(ROWS(A$6:A43),'CHOICE calc'!$E$2:$E$541,0)),"")</f>
        <v/>
      </c>
      <c r="B43" s="409">
        <f>IFERROR(INDEX('CHOICE calc'!$G$2:$G$541,MATCH(ROWS(A$6:A43),'CHOICE calc'!$E$2:$E$541,0)),"")</f>
        <v/>
      </c>
      <c r="C43" s="297">
        <f>IFERROR(INDEX('CHOICE calc'!$H$2:$H$541,MATCH(ROWS(A$6:A43),'CHOICE calc'!$E$2:$E$541,0)),"")</f>
        <v/>
      </c>
      <c r="D43" s="268">
        <f>IFERROR(INDEX('CHOICE calc'!$I$2:$I$541,MATCH(ROWS(A$6:A43),'CHOICE calc'!$E$2:$E$541,0)),"")</f>
        <v/>
      </c>
      <c r="E43" s="297">
        <f>IFERROR(INDEX('CHOICE calc'!$J$2:$J$541,MATCH(ROWS(A$6:A43),'CHOICE calc'!$E$2:$E$541,0)),"")</f>
        <v/>
      </c>
      <c r="F43" s="268">
        <f>IFERROR(INDEX('CHOICE calc'!$K$2:$K$541,MATCH(ROWS(A$6:A43),'CHOICE calc'!$E$2:$E$541,0)),"")</f>
        <v/>
      </c>
      <c r="G43" s="297">
        <f>IFERROR(INDEX('CHOICE calc'!$L$2:$L$541,MATCH(ROWS(A$6:A43),'CHOICE calc'!$E$2:$E$541,0)),"")</f>
        <v/>
      </c>
      <c r="H43" s="297">
        <f>IFERROR(INDEX('CHOICE calc'!$A$2:$A$541,MATCH(ROWS(A$6:A43),'CHOICE calc'!$E$2:$E$541,0)),"")</f>
        <v/>
      </c>
      <c r="I43" s="236" t="n"/>
      <c r="J43" s="236" t="n"/>
      <c r="K43" s="236" t="n"/>
      <c r="L43" s="236" t="n"/>
    </row>
    <row r="44" ht="15.75" customHeight="1" s="372">
      <c r="A44" s="408">
        <f>IFERROR(INDEX('CHOICE calc'!$F$2:$F$541,MATCH(ROWS(A$6:A44),'CHOICE calc'!$E$2:$E$541,0)),"")</f>
        <v/>
      </c>
      <c r="B44" s="409">
        <f>IFERROR(INDEX('CHOICE calc'!$G$2:$G$541,MATCH(ROWS(A$6:A44),'CHOICE calc'!$E$2:$E$541,0)),"")</f>
        <v/>
      </c>
      <c r="C44" s="297">
        <f>IFERROR(INDEX('CHOICE calc'!$H$2:$H$541,MATCH(ROWS(A$6:A44),'CHOICE calc'!$E$2:$E$541,0)),"")</f>
        <v/>
      </c>
      <c r="D44" s="268">
        <f>IFERROR(INDEX('CHOICE calc'!$I$2:$I$541,MATCH(ROWS(A$6:A44),'CHOICE calc'!$E$2:$E$541,0)),"")</f>
        <v/>
      </c>
      <c r="E44" s="297">
        <f>IFERROR(INDEX('CHOICE calc'!$J$2:$J$541,MATCH(ROWS(A$6:A44),'CHOICE calc'!$E$2:$E$541,0)),"")</f>
        <v/>
      </c>
      <c r="F44" s="268">
        <f>IFERROR(INDEX('CHOICE calc'!$K$2:$K$541,MATCH(ROWS(A$6:A44),'CHOICE calc'!$E$2:$E$541,0)),"")</f>
        <v/>
      </c>
      <c r="G44" s="297">
        <f>IFERROR(INDEX('CHOICE calc'!$L$2:$L$541,MATCH(ROWS(A$6:A44),'CHOICE calc'!$E$2:$E$541,0)),"")</f>
        <v/>
      </c>
      <c r="H44" s="297">
        <f>IFERROR(INDEX('CHOICE calc'!$A$2:$A$541,MATCH(ROWS(A$6:A44),'CHOICE calc'!$E$2:$E$541,0)),"")</f>
        <v/>
      </c>
      <c r="I44" s="236" t="n"/>
      <c r="J44" s="236" t="n"/>
      <c r="K44" s="236" t="n"/>
      <c r="L44" s="236" t="n"/>
    </row>
    <row r="45" ht="15.75" customHeight="1" s="372">
      <c r="A45" s="408">
        <f>IFERROR(INDEX('CHOICE calc'!$F$2:$F$541,MATCH(ROWS(A$6:A45),'CHOICE calc'!$E$2:$E$541,0)),"")</f>
        <v/>
      </c>
      <c r="B45" s="409">
        <f>IFERROR(INDEX('CHOICE calc'!$G$2:$G$541,MATCH(ROWS(A$6:A45),'CHOICE calc'!$E$2:$E$541,0)),"")</f>
        <v/>
      </c>
      <c r="C45" s="297">
        <f>IFERROR(INDEX('CHOICE calc'!$H$2:$H$541,MATCH(ROWS(A$6:A45),'CHOICE calc'!$E$2:$E$541,0)),"")</f>
        <v/>
      </c>
      <c r="D45" s="268">
        <f>IFERROR(INDEX('CHOICE calc'!$I$2:$I$541,MATCH(ROWS(A$6:A45),'CHOICE calc'!$E$2:$E$541,0)),"")</f>
        <v/>
      </c>
      <c r="E45" s="297">
        <f>IFERROR(INDEX('CHOICE calc'!$J$2:$J$541,MATCH(ROWS(A$6:A45),'CHOICE calc'!$E$2:$E$541,0)),"")</f>
        <v/>
      </c>
      <c r="F45" s="268">
        <f>IFERROR(INDEX('CHOICE calc'!$K$2:$K$541,MATCH(ROWS(A$6:A45),'CHOICE calc'!$E$2:$E$541,0)),"")</f>
        <v/>
      </c>
      <c r="G45" s="297">
        <f>IFERROR(INDEX('CHOICE calc'!$L$2:$L$541,MATCH(ROWS(A$6:A45),'CHOICE calc'!$E$2:$E$541,0)),"")</f>
        <v/>
      </c>
      <c r="H45" s="297">
        <f>IFERROR(INDEX('CHOICE calc'!$A$2:$A$541,MATCH(ROWS(A$6:A45),'CHOICE calc'!$E$2:$E$541,0)),"")</f>
        <v/>
      </c>
      <c r="I45" s="236" t="n"/>
      <c r="J45" s="236" t="n"/>
      <c r="K45" s="236" t="n"/>
      <c r="L45" s="236" t="n"/>
    </row>
    <row r="46" ht="15.75" customHeight="1" s="372">
      <c r="A46" s="408">
        <f>IFERROR(INDEX('CHOICE calc'!$F$2:$F$541,MATCH(ROWS(A$6:A46),'CHOICE calc'!$E$2:$E$541,0)),"")</f>
        <v/>
      </c>
      <c r="B46" s="409">
        <f>IFERROR(INDEX('CHOICE calc'!$G$2:$G$541,MATCH(ROWS(A$6:A46),'CHOICE calc'!$E$2:$E$541,0)),"")</f>
        <v/>
      </c>
      <c r="C46" s="297">
        <f>IFERROR(INDEX('CHOICE calc'!$H$2:$H$541,MATCH(ROWS(A$6:A46),'CHOICE calc'!$E$2:$E$541,0)),"")</f>
        <v/>
      </c>
      <c r="D46" s="268">
        <f>IFERROR(INDEX('CHOICE calc'!$I$2:$I$541,MATCH(ROWS(A$6:A46),'CHOICE calc'!$E$2:$E$541,0)),"")</f>
        <v/>
      </c>
      <c r="E46" s="297">
        <f>IFERROR(INDEX('CHOICE calc'!$J$2:$J$541,MATCH(ROWS(A$6:A46),'CHOICE calc'!$E$2:$E$541,0)),"")</f>
        <v/>
      </c>
      <c r="F46" s="268">
        <f>IFERROR(INDEX('CHOICE calc'!$K$2:$K$541,MATCH(ROWS(A$6:A46),'CHOICE calc'!$E$2:$E$541,0)),"")</f>
        <v/>
      </c>
      <c r="G46" s="297">
        <f>IFERROR(INDEX('CHOICE calc'!$L$2:$L$541,MATCH(ROWS(A$6:A46),'CHOICE calc'!$E$2:$E$541,0)),"")</f>
        <v/>
      </c>
      <c r="H46" s="297">
        <f>IFERROR(INDEX('CHOICE calc'!$A$2:$A$541,MATCH(ROWS(A$6:A46),'CHOICE calc'!$E$2:$E$541,0)),"")</f>
        <v/>
      </c>
      <c r="I46" s="236" t="n"/>
      <c r="J46" s="236" t="n"/>
      <c r="K46" s="236" t="n"/>
      <c r="L46" s="236" t="n"/>
    </row>
    <row r="47" ht="15.75" customHeight="1" s="372">
      <c r="A47" s="408">
        <f>IFERROR(INDEX('CHOICE calc'!$F$2:$F$541,MATCH(ROWS(A$6:A47),'CHOICE calc'!$E$2:$E$541,0)),"")</f>
        <v/>
      </c>
      <c r="B47" s="409">
        <f>IFERROR(INDEX('CHOICE calc'!$G$2:$G$541,MATCH(ROWS(A$6:A47),'CHOICE calc'!$E$2:$E$541,0)),"")</f>
        <v/>
      </c>
      <c r="C47" s="297">
        <f>IFERROR(INDEX('CHOICE calc'!$H$2:$H$541,MATCH(ROWS(A$6:A47),'CHOICE calc'!$E$2:$E$541,0)),"")</f>
        <v/>
      </c>
      <c r="D47" s="268">
        <f>IFERROR(INDEX('CHOICE calc'!$I$2:$I$541,MATCH(ROWS(A$6:A47),'CHOICE calc'!$E$2:$E$541,0)),"")</f>
        <v/>
      </c>
      <c r="E47" s="297">
        <f>IFERROR(INDEX('CHOICE calc'!$J$2:$J$541,MATCH(ROWS(A$6:A47),'CHOICE calc'!$E$2:$E$541,0)),"")</f>
        <v/>
      </c>
      <c r="F47" s="268">
        <f>IFERROR(INDEX('CHOICE calc'!$K$2:$K$541,MATCH(ROWS(A$6:A47),'CHOICE calc'!$E$2:$E$541,0)),"")</f>
        <v/>
      </c>
      <c r="G47" s="297">
        <f>IFERROR(INDEX('CHOICE calc'!$L$2:$L$541,MATCH(ROWS(A$6:A47),'CHOICE calc'!$E$2:$E$541,0)),"")</f>
        <v/>
      </c>
      <c r="H47" s="297">
        <f>IFERROR(INDEX('CHOICE calc'!$A$2:$A$541,MATCH(ROWS(A$6:A47),'CHOICE calc'!$E$2:$E$541,0)),"")</f>
        <v/>
      </c>
      <c r="I47" s="236" t="n"/>
      <c r="J47" s="236" t="n"/>
      <c r="K47" s="236" t="n"/>
      <c r="L47" s="236" t="n"/>
    </row>
    <row r="48" ht="15.75" customHeight="1" s="372">
      <c r="A48" s="408">
        <f>IFERROR(INDEX('CHOICE calc'!$F$2:$F$541,MATCH(ROWS(A$6:A48),'CHOICE calc'!$E$2:$E$541,0)),"")</f>
        <v/>
      </c>
      <c r="B48" s="409">
        <f>IFERROR(INDEX('CHOICE calc'!$G$2:$G$541,MATCH(ROWS(A$6:A48),'CHOICE calc'!$E$2:$E$541,0)),"")</f>
        <v/>
      </c>
      <c r="C48" s="297">
        <f>IFERROR(INDEX('CHOICE calc'!$H$2:$H$541,MATCH(ROWS(A$6:A48),'CHOICE calc'!$E$2:$E$541,0)),"")</f>
        <v/>
      </c>
      <c r="D48" s="268">
        <f>IFERROR(INDEX('CHOICE calc'!$I$2:$I$541,MATCH(ROWS(A$6:A48),'CHOICE calc'!$E$2:$E$541,0)),"")</f>
        <v/>
      </c>
      <c r="E48" s="297">
        <f>IFERROR(INDEX('CHOICE calc'!$J$2:$J$541,MATCH(ROWS(A$6:A48),'CHOICE calc'!$E$2:$E$541,0)),"")</f>
        <v/>
      </c>
      <c r="F48" s="268">
        <f>IFERROR(INDEX('CHOICE calc'!$K$2:$K$541,MATCH(ROWS(A$6:A48),'CHOICE calc'!$E$2:$E$541,0)),"")</f>
        <v/>
      </c>
      <c r="G48" s="297">
        <f>IFERROR(INDEX('CHOICE calc'!$L$2:$L$541,MATCH(ROWS(A$6:A48),'CHOICE calc'!$E$2:$E$541,0)),"")</f>
        <v/>
      </c>
      <c r="H48" s="297">
        <f>IFERROR(INDEX('CHOICE calc'!$A$2:$A$541,MATCH(ROWS(A$6:A48),'CHOICE calc'!$E$2:$E$541,0)),"")</f>
        <v/>
      </c>
      <c r="I48" s="236" t="n"/>
      <c r="J48" s="236" t="n"/>
      <c r="K48" s="236" t="n"/>
      <c r="L48" s="236" t="n"/>
    </row>
    <row r="49" ht="15.75" customHeight="1" s="372">
      <c r="A49" s="408">
        <f>IFERROR(INDEX('CHOICE calc'!$F$2:$F$541,MATCH(ROWS(A$6:A49),'CHOICE calc'!$E$2:$E$541,0)),"")</f>
        <v/>
      </c>
      <c r="B49" s="409">
        <f>IFERROR(INDEX('CHOICE calc'!$G$2:$G$541,MATCH(ROWS(A$6:A49),'CHOICE calc'!$E$2:$E$541,0)),"")</f>
        <v/>
      </c>
      <c r="C49" s="297">
        <f>IFERROR(INDEX('CHOICE calc'!$H$2:$H$541,MATCH(ROWS(A$6:A49),'CHOICE calc'!$E$2:$E$541,0)),"")</f>
        <v/>
      </c>
      <c r="D49" s="268">
        <f>IFERROR(INDEX('CHOICE calc'!$I$2:$I$541,MATCH(ROWS(A$6:A49),'CHOICE calc'!$E$2:$E$541,0)),"")</f>
        <v/>
      </c>
      <c r="E49" s="297">
        <f>IFERROR(INDEX('CHOICE calc'!$J$2:$J$541,MATCH(ROWS(A$6:A49),'CHOICE calc'!$E$2:$E$541,0)),"")</f>
        <v/>
      </c>
      <c r="F49" s="268">
        <f>IFERROR(INDEX('CHOICE calc'!$K$2:$K$541,MATCH(ROWS(A$6:A49),'CHOICE calc'!$E$2:$E$541,0)),"")</f>
        <v/>
      </c>
      <c r="G49" s="297">
        <f>IFERROR(INDEX('CHOICE calc'!$L$2:$L$541,MATCH(ROWS(A$6:A49),'CHOICE calc'!$E$2:$E$541,0)),"")</f>
        <v/>
      </c>
      <c r="H49" s="297">
        <f>IFERROR(INDEX('CHOICE calc'!$A$2:$A$541,MATCH(ROWS(A$6:A49),'CHOICE calc'!$E$2:$E$541,0)),"")</f>
        <v/>
      </c>
      <c r="I49" s="236" t="n"/>
      <c r="J49" s="236" t="n"/>
      <c r="K49" s="236" t="n"/>
      <c r="L49" s="236" t="n"/>
    </row>
    <row r="50" ht="15.75" customHeight="1" s="372">
      <c r="A50" s="408">
        <f>IFERROR(INDEX('CHOICE calc'!$F$2:$F$541,MATCH(ROWS(A$6:A50),'CHOICE calc'!$E$2:$E$541,0)),"")</f>
        <v/>
      </c>
      <c r="B50" s="409">
        <f>IFERROR(INDEX('CHOICE calc'!$G$2:$G$541,MATCH(ROWS(A$6:A50),'CHOICE calc'!$E$2:$E$541,0)),"")</f>
        <v/>
      </c>
      <c r="C50" s="297">
        <f>IFERROR(INDEX('CHOICE calc'!$H$2:$H$541,MATCH(ROWS(A$6:A50),'CHOICE calc'!$E$2:$E$541,0)),"")</f>
        <v/>
      </c>
      <c r="D50" s="268">
        <f>IFERROR(INDEX('CHOICE calc'!$I$2:$I$541,MATCH(ROWS(A$6:A50),'CHOICE calc'!$E$2:$E$541,0)),"")</f>
        <v/>
      </c>
      <c r="E50" s="297">
        <f>IFERROR(INDEX('CHOICE calc'!$J$2:$J$541,MATCH(ROWS(A$6:A50),'CHOICE calc'!$E$2:$E$541,0)),"")</f>
        <v/>
      </c>
      <c r="F50" s="268">
        <f>IFERROR(INDEX('CHOICE calc'!$K$2:$K$541,MATCH(ROWS(A$6:A50),'CHOICE calc'!$E$2:$E$541,0)),"")</f>
        <v/>
      </c>
      <c r="G50" s="297">
        <f>IFERROR(INDEX('CHOICE calc'!$L$2:$L$541,MATCH(ROWS(A$6:A50),'CHOICE calc'!$E$2:$E$541,0)),"")</f>
        <v/>
      </c>
      <c r="H50" s="297">
        <f>IFERROR(INDEX('CHOICE calc'!$A$2:$A$541,MATCH(ROWS(A$6:A50),'CHOICE calc'!$E$2:$E$541,0)),"")</f>
        <v/>
      </c>
      <c r="I50" s="236" t="n"/>
      <c r="J50" s="236" t="n"/>
      <c r="K50" s="236" t="n"/>
      <c r="L50" s="236" t="n"/>
    </row>
    <row r="51" ht="15.75" customHeight="1" s="372">
      <c r="A51" s="408">
        <f>IFERROR(INDEX('CHOICE calc'!$F$2:$F$541,MATCH(ROWS(A$6:A51),'CHOICE calc'!$E$2:$E$541,0)),"")</f>
        <v/>
      </c>
      <c r="B51" s="409">
        <f>IFERROR(INDEX('CHOICE calc'!$G$2:$G$541,MATCH(ROWS(A$6:A51),'CHOICE calc'!$E$2:$E$541,0)),"")</f>
        <v/>
      </c>
      <c r="C51" s="297">
        <f>IFERROR(INDEX('CHOICE calc'!$H$2:$H$541,MATCH(ROWS(A$6:A51),'CHOICE calc'!$E$2:$E$541,0)),"")</f>
        <v/>
      </c>
      <c r="D51" s="268">
        <f>IFERROR(INDEX('CHOICE calc'!$I$2:$I$541,MATCH(ROWS(A$6:A51),'CHOICE calc'!$E$2:$E$541,0)),"")</f>
        <v/>
      </c>
      <c r="E51" s="297">
        <f>IFERROR(INDEX('CHOICE calc'!$J$2:$J$541,MATCH(ROWS(A$6:A51),'CHOICE calc'!$E$2:$E$541,0)),"")</f>
        <v/>
      </c>
      <c r="F51" s="268">
        <f>IFERROR(INDEX('CHOICE calc'!$K$2:$K$541,MATCH(ROWS(A$6:A51),'CHOICE calc'!$E$2:$E$541,0)),"")</f>
        <v/>
      </c>
      <c r="G51" s="297">
        <f>IFERROR(INDEX('CHOICE calc'!$L$2:$L$541,MATCH(ROWS(A$6:A51),'CHOICE calc'!$E$2:$E$541,0)),"")</f>
        <v/>
      </c>
      <c r="H51" s="297">
        <f>IFERROR(INDEX('CHOICE calc'!$A$2:$A$541,MATCH(ROWS(A$6:A51),'CHOICE calc'!$E$2:$E$541,0)),"")</f>
        <v/>
      </c>
      <c r="I51" s="236" t="n"/>
      <c r="J51" s="236" t="n"/>
      <c r="K51" s="236" t="n"/>
      <c r="L51" s="236" t="n"/>
    </row>
    <row r="52" ht="15.75" customHeight="1" s="372">
      <c r="A52" s="408">
        <f>IFERROR(INDEX('CHOICE calc'!$F$2:$F$541,MATCH(ROWS(A$6:A52),'CHOICE calc'!$E$2:$E$541,0)),"")</f>
        <v/>
      </c>
      <c r="B52" s="409">
        <f>IFERROR(INDEX('CHOICE calc'!$G$2:$G$541,MATCH(ROWS(A$6:A52),'CHOICE calc'!$E$2:$E$541,0)),"")</f>
        <v/>
      </c>
      <c r="C52" s="297">
        <f>IFERROR(INDEX('CHOICE calc'!$H$2:$H$541,MATCH(ROWS(A$6:A52),'CHOICE calc'!$E$2:$E$541,0)),"")</f>
        <v/>
      </c>
      <c r="D52" s="268">
        <f>IFERROR(INDEX('CHOICE calc'!$I$2:$I$541,MATCH(ROWS(A$6:A52),'CHOICE calc'!$E$2:$E$541,0)),"")</f>
        <v/>
      </c>
      <c r="E52" s="297">
        <f>IFERROR(INDEX('CHOICE calc'!$J$2:$J$541,MATCH(ROWS(A$6:A52),'CHOICE calc'!$E$2:$E$541,0)),"")</f>
        <v/>
      </c>
      <c r="F52" s="268">
        <f>IFERROR(INDEX('CHOICE calc'!$K$2:$K$541,MATCH(ROWS(A$6:A52),'CHOICE calc'!$E$2:$E$541,0)),"")</f>
        <v/>
      </c>
      <c r="G52" s="297">
        <f>IFERROR(INDEX('CHOICE calc'!$L$2:$L$541,MATCH(ROWS(A$6:A52),'CHOICE calc'!$E$2:$E$541,0)),"")</f>
        <v/>
      </c>
      <c r="H52" s="297">
        <f>IFERROR(INDEX('CHOICE calc'!$A$2:$A$541,MATCH(ROWS(A$6:A52),'CHOICE calc'!$E$2:$E$541,0)),"")</f>
        <v/>
      </c>
      <c r="I52" s="236" t="n"/>
      <c r="J52" s="236" t="n"/>
      <c r="K52" s="236" t="n"/>
      <c r="L52" s="236" t="n"/>
    </row>
    <row r="53" ht="15.75" customHeight="1" s="372">
      <c r="A53" s="408">
        <f>IFERROR(INDEX('CHOICE calc'!$F$2:$F$541,MATCH(ROWS(A$6:A53),'CHOICE calc'!$E$2:$E$541,0)),"")</f>
        <v/>
      </c>
      <c r="B53" s="409">
        <f>IFERROR(INDEX('CHOICE calc'!$G$2:$G$541,MATCH(ROWS(A$6:A53),'CHOICE calc'!$E$2:$E$541,0)),"")</f>
        <v/>
      </c>
      <c r="C53" s="297">
        <f>IFERROR(INDEX('CHOICE calc'!$H$2:$H$541,MATCH(ROWS(A$6:A53),'CHOICE calc'!$E$2:$E$541,0)),"")</f>
        <v/>
      </c>
      <c r="D53" s="268">
        <f>IFERROR(INDEX('CHOICE calc'!$I$2:$I$541,MATCH(ROWS(A$6:A53),'CHOICE calc'!$E$2:$E$541,0)),"")</f>
        <v/>
      </c>
      <c r="E53" s="297">
        <f>IFERROR(INDEX('CHOICE calc'!$J$2:$J$541,MATCH(ROWS(A$6:A53),'CHOICE calc'!$E$2:$E$541,0)),"")</f>
        <v/>
      </c>
      <c r="F53" s="268">
        <f>IFERROR(INDEX('CHOICE calc'!$K$2:$K$541,MATCH(ROWS(A$6:A53),'CHOICE calc'!$E$2:$E$541,0)),"")</f>
        <v/>
      </c>
      <c r="G53" s="297">
        <f>IFERROR(INDEX('CHOICE calc'!$L$2:$L$541,MATCH(ROWS(A$6:A53),'CHOICE calc'!$E$2:$E$541,0)),"")</f>
        <v/>
      </c>
      <c r="H53" s="297">
        <f>IFERROR(INDEX('CHOICE calc'!$A$2:$A$541,MATCH(ROWS(A$6:A53),'CHOICE calc'!$E$2:$E$541,0)),"")</f>
        <v/>
      </c>
      <c r="I53" s="236" t="n"/>
      <c r="J53" s="236" t="n"/>
      <c r="K53" s="236" t="n"/>
      <c r="L53" s="236" t="n"/>
    </row>
    <row r="54" ht="15.75" customHeight="1" s="372">
      <c r="A54" s="408">
        <f>IFERROR(INDEX('CHOICE calc'!$F$2:$F$541,MATCH(ROWS(A$6:A54),'CHOICE calc'!$E$2:$E$541,0)),"")</f>
        <v/>
      </c>
      <c r="B54" s="409">
        <f>IFERROR(INDEX('CHOICE calc'!$G$2:$G$541,MATCH(ROWS(A$6:A54),'CHOICE calc'!$E$2:$E$541,0)),"")</f>
        <v/>
      </c>
      <c r="C54" s="297">
        <f>IFERROR(INDEX('CHOICE calc'!$H$2:$H$541,MATCH(ROWS(A$6:A54),'CHOICE calc'!$E$2:$E$541,0)),"")</f>
        <v/>
      </c>
      <c r="D54" s="268">
        <f>IFERROR(INDEX('CHOICE calc'!$I$2:$I$541,MATCH(ROWS(A$6:A54),'CHOICE calc'!$E$2:$E$541,0)),"")</f>
        <v/>
      </c>
      <c r="E54" s="297">
        <f>IFERROR(INDEX('CHOICE calc'!$J$2:$J$541,MATCH(ROWS(A$6:A54),'CHOICE calc'!$E$2:$E$541,0)),"")</f>
        <v/>
      </c>
      <c r="F54" s="268">
        <f>IFERROR(INDEX('CHOICE calc'!$K$2:$K$541,MATCH(ROWS(A$6:A54),'CHOICE calc'!$E$2:$E$541,0)),"")</f>
        <v/>
      </c>
      <c r="G54" s="297">
        <f>IFERROR(INDEX('CHOICE calc'!$L$2:$L$541,MATCH(ROWS(A$6:A54),'CHOICE calc'!$E$2:$E$541,0)),"")</f>
        <v/>
      </c>
      <c r="H54" s="297">
        <f>IFERROR(INDEX('CHOICE calc'!$A$2:$A$541,MATCH(ROWS(A$6:A54),'CHOICE calc'!$E$2:$E$541,0)),"")</f>
        <v/>
      </c>
      <c r="I54" s="236" t="n"/>
      <c r="J54" s="236" t="n"/>
      <c r="K54" s="236" t="n"/>
      <c r="L54" s="236" t="n"/>
    </row>
    <row r="55" ht="15.75" customHeight="1" s="372">
      <c r="A55" s="408">
        <f>IFERROR(INDEX('CHOICE calc'!$F$2:$F$541,MATCH(ROWS(A$6:A55),'CHOICE calc'!$E$2:$E$541,0)),"")</f>
        <v/>
      </c>
      <c r="B55" s="409">
        <f>IFERROR(INDEX('CHOICE calc'!$G$2:$G$541,MATCH(ROWS(A$6:A55),'CHOICE calc'!$E$2:$E$541,0)),"")</f>
        <v/>
      </c>
      <c r="C55" s="297">
        <f>IFERROR(INDEX('CHOICE calc'!$H$2:$H$541,MATCH(ROWS(A$6:A55),'CHOICE calc'!$E$2:$E$541,0)),"")</f>
        <v/>
      </c>
      <c r="D55" s="268">
        <f>IFERROR(INDEX('CHOICE calc'!$I$2:$I$541,MATCH(ROWS(A$6:A55),'CHOICE calc'!$E$2:$E$541,0)),"")</f>
        <v/>
      </c>
      <c r="E55" s="297">
        <f>IFERROR(INDEX('CHOICE calc'!$J$2:$J$541,MATCH(ROWS(A$6:A55),'CHOICE calc'!$E$2:$E$541,0)),"")</f>
        <v/>
      </c>
      <c r="F55" s="268">
        <f>IFERROR(INDEX('CHOICE calc'!$K$2:$K$541,MATCH(ROWS(A$6:A55),'CHOICE calc'!$E$2:$E$541,0)),"")</f>
        <v/>
      </c>
      <c r="G55" s="297">
        <f>IFERROR(INDEX('CHOICE calc'!$L$2:$L$541,MATCH(ROWS(A$6:A55),'CHOICE calc'!$E$2:$E$541,0)),"")</f>
        <v/>
      </c>
      <c r="H55" s="297">
        <f>IFERROR(INDEX('CHOICE calc'!$A$2:$A$541,MATCH(ROWS(A$6:A55),'CHOICE calc'!$E$2:$E$541,0)),"")</f>
        <v/>
      </c>
      <c r="I55" s="236" t="n"/>
      <c r="J55" s="236" t="n"/>
      <c r="K55" s="236" t="n"/>
      <c r="L55" s="236" t="n"/>
    </row>
    <row r="56" ht="15.75" customHeight="1" s="372">
      <c r="A56" s="408">
        <f>IFERROR(INDEX('CHOICE calc'!$F$2:$F$541,MATCH(ROWS(A$6:A56),'CHOICE calc'!$E$2:$E$541,0)),"")</f>
        <v/>
      </c>
      <c r="B56" s="409">
        <f>IFERROR(INDEX('CHOICE calc'!$G$2:$G$541,MATCH(ROWS(A$6:A56),'CHOICE calc'!$E$2:$E$541,0)),"")</f>
        <v/>
      </c>
      <c r="C56" s="297">
        <f>IFERROR(INDEX('CHOICE calc'!$H$2:$H$541,MATCH(ROWS(A$6:A56),'CHOICE calc'!$E$2:$E$541,0)),"")</f>
        <v/>
      </c>
      <c r="D56" s="268">
        <f>IFERROR(INDEX('CHOICE calc'!$I$2:$I$541,MATCH(ROWS(A$6:A56),'CHOICE calc'!$E$2:$E$541,0)),"")</f>
        <v/>
      </c>
      <c r="E56" s="297">
        <f>IFERROR(INDEX('CHOICE calc'!$J$2:$J$541,MATCH(ROWS(A$6:A56),'CHOICE calc'!$E$2:$E$541,0)),"")</f>
        <v/>
      </c>
      <c r="F56" s="268">
        <f>IFERROR(INDEX('CHOICE calc'!$K$2:$K$541,MATCH(ROWS(A$6:A56),'CHOICE calc'!$E$2:$E$541,0)),"")</f>
        <v/>
      </c>
      <c r="G56" s="297">
        <f>IFERROR(INDEX('CHOICE calc'!$L$2:$L$541,MATCH(ROWS(A$6:A56),'CHOICE calc'!$E$2:$E$541,0)),"")</f>
        <v/>
      </c>
      <c r="H56" s="297">
        <f>IFERROR(INDEX('CHOICE calc'!$A$2:$A$541,MATCH(ROWS(A$6:A56),'CHOICE calc'!$E$2:$E$541,0)),"")</f>
        <v/>
      </c>
      <c r="I56" s="236" t="n"/>
      <c r="J56" s="236" t="n"/>
      <c r="K56" s="236" t="n"/>
      <c r="L56" s="236" t="n"/>
    </row>
    <row r="57" ht="15.75" customHeight="1" s="372">
      <c r="A57" s="408">
        <f>IFERROR(INDEX('CHOICE calc'!$F$2:$F$541,MATCH(ROWS(A$6:A57),'CHOICE calc'!$E$2:$E$541,0)),"")</f>
        <v/>
      </c>
      <c r="B57" s="409">
        <f>IFERROR(INDEX('CHOICE calc'!$G$2:$G$541,MATCH(ROWS(A$6:A57),'CHOICE calc'!$E$2:$E$541,0)),"")</f>
        <v/>
      </c>
      <c r="C57" s="297">
        <f>IFERROR(INDEX('CHOICE calc'!$H$2:$H$541,MATCH(ROWS(A$6:A57),'CHOICE calc'!$E$2:$E$541,0)),"")</f>
        <v/>
      </c>
      <c r="D57" s="268">
        <f>IFERROR(INDEX('CHOICE calc'!$I$2:$I$541,MATCH(ROWS(A$6:A57),'CHOICE calc'!$E$2:$E$541,0)),"")</f>
        <v/>
      </c>
      <c r="E57" s="297">
        <f>IFERROR(INDEX('CHOICE calc'!$J$2:$J$541,MATCH(ROWS(A$6:A57),'CHOICE calc'!$E$2:$E$541,0)),"")</f>
        <v/>
      </c>
      <c r="F57" s="268">
        <f>IFERROR(INDEX('CHOICE calc'!$K$2:$K$541,MATCH(ROWS(A$6:A57),'CHOICE calc'!$E$2:$E$541,0)),"")</f>
        <v/>
      </c>
      <c r="G57" s="297">
        <f>IFERROR(INDEX('CHOICE calc'!$L$2:$L$541,MATCH(ROWS(A$6:A57),'CHOICE calc'!$E$2:$E$541,0)),"")</f>
        <v/>
      </c>
      <c r="H57" s="297">
        <f>IFERROR(INDEX('CHOICE calc'!$A$2:$A$541,MATCH(ROWS(A$6:A57),'CHOICE calc'!$E$2:$E$541,0)),"")</f>
        <v/>
      </c>
      <c r="I57" s="236" t="n"/>
      <c r="J57" s="236" t="n"/>
      <c r="K57" s="236" t="n"/>
      <c r="L57" s="236" t="n"/>
    </row>
    <row r="58" ht="15.75" customHeight="1" s="372">
      <c r="A58" s="408">
        <f>IFERROR(INDEX('CHOICE calc'!$F$2:$F$541,MATCH(ROWS(A$6:A58),'CHOICE calc'!$E$2:$E$541,0)),"")</f>
        <v/>
      </c>
      <c r="B58" s="409">
        <f>IFERROR(INDEX('CHOICE calc'!$G$2:$G$541,MATCH(ROWS(A$6:A58),'CHOICE calc'!$E$2:$E$541,0)),"")</f>
        <v/>
      </c>
      <c r="C58" s="297">
        <f>IFERROR(INDEX('CHOICE calc'!$H$2:$H$541,MATCH(ROWS(A$6:A58),'CHOICE calc'!$E$2:$E$541,0)),"")</f>
        <v/>
      </c>
      <c r="D58" s="268">
        <f>IFERROR(INDEX('CHOICE calc'!$I$2:$I$541,MATCH(ROWS(A$6:A58),'CHOICE calc'!$E$2:$E$541,0)),"")</f>
        <v/>
      </c>
      <c r="E58" s="297">
        <f>IFERROR(INDEX('CHOICE calc'!$J$2:$J$541,MATCH(ROWS(A$6:A58),'CHOICE calc'!$E$2:$E$541,0)),"")</f>
        <v/>
      </c>
      <c r="F58" s="268">
        <f>IFERROR(INDEX('CHOICE calc'!$K$2:$K$541,MATCH(ROWS(A$6:A58),'CHOICE calc'!$E$2:$E$541,0)),"")</f>
        <v/>
      </c>
      <c r="G58" s="297">
        <f>IFERROR(INDEX('CHOICE calc'!$L$2:$L$541,MATCH(ROWS(A$6:A58),'CHOICE calc'!$E$2:$E$541,0)),"")</f>
        <v/>
      </c>
      <c r="H58" s="297">
        <f>IFERROR(INDEX('CHOICE calc'!$A$2:$A$541,MATCH(ROWS(A$6:A58),'CHOICE calc'!$E$2:$E$541,0)),"")</f>
        <v/>
      </c>
      <c r="I58" s="236" t="n"/>
      <c r="J58" s="236" t="n"/>
      <c r="K58" s="236" t="n"/>
      <c r="L58" s="236" t="n"/>
    </row>
    <row r="59" ht="15.75" customHeight="1" s="372">
      <c r="A59" s="408">
        <f>IFERROR(INDEX('CHOICE calc'!$F$2:$F$541,MATCH(ROWS(A$6:A59),'CHOICE calc'!$E$2:$E$541,0)),"")</f>
        <v/>
      </c>
      <c r="B59" s="409">
        <f>IFERROR(INDEX('CHOICE calc'!$G$2:$G$541,MATCH(ROWS(A$6:A59),'CHOICE calc'!$E$2:$E$541,0)),"")</f>
        <v/>
      </c>
      <c r="C59" s="297">
        <f>IFERROR(INDEX('CHOICE calc'!$H$2:$H$541,MATCH(ROWS(A$6:A59),'CHOICE calc'!$E$2:$E$541,0)),"")</f>
        <v/>
      </c>
      <c r="D59" s="268">
        <f>IFERROR(INDEX('CHOICE calc'!$I$2:$I$541,MATCH(ROWS(A$6:A59),'CHOICE calc'!$E$2:$E$541,0)),"")</f>
        <v/>
      </c>
      <c r="E59" s="297">
        <f>IFERROR(INDEX('CHOICE calc'!$J$2:$J$541,MATCH(ROWS(A$6:A59),'CHOICE calc'!$E$2:$E$541,0)),"")</f>
        <v/>
      </c>
      <c r="F59" s="268">
        <f>IFERROR(INDEX('CHOICE calc'!$K$2:$K$541,MATCH(ROWS(A$6:A59),'CHOICE calc'!$E$2:$E$541,0)),"")</f>
        <v/>
      </c>
      <c r="G59" s="297">
        <f>IFERROR(INDEX('CHOICE calc'!$L$2:$L$541,MATCH(ROWS(A$6:A59),'CHOICE calc'!$E$2:$E$541,0)),"")</f>
        <v/>
      </c>
      <c r="H59" s="297">
        <f>IFERROR(INDEX('CHOICE calc'!$A$2:$A$541,MATCH(ROWS(A$6:A59),'CHOICE calc'!$E$2:$E$541,0)),"")</f>
        <v/>
      </c>
      <c r="I59" s="236" t="n"/>
      <c r="J59" s="236" t="n"/>
      <c r="K59" s="236" t="n"/>
      <c r="L59" s="236" t="n"/>
    </row>
    <row r="60" ht="15.75" customHeight="1" s="372">
      <c r="A60" s="408">
        <f>IFERROR(INDEX('CHOICE calc'!$F$2:$F$541,MATCH(ROWS(A$6:A60),'CHOICE calc'!$E$2:$E$541,0)),"")</f>
        <v/>
      </c>
      <c r="B60" s="409">
        <f>IFERROR(INDEX('CHOICE calc'!$G$2:$G$541,MATCH(ROWS(A$6:A60),'CHOICE calc'!$E$2:$E$541,0)),"")</f>
        <v/>
      </c>
      <c r="C60" s="297">
        <f>IFERROR(INDEX('CHOICE calc'!$H$2:$H$541,MATCH(ROWS(A$6:A60),'CHOICE calc'!$E$2:$E$541,0)),"")</f>
        <v/>
      </c>
      <c r="D60" s="268">
        <f>IFERROR(INDEX('CHOICE calc'!$I$2:$I$541,MATCH(ROWS(A$6:A60),'CHOICE calc'!$E$2:$E$541,0)),"")</f>
        <v/>
      </c>
      <c r="E60" s="297">
        <f>IFERROR(INDEX('CHOICE calc'!$J$2:$J$541,MATCH(ROWS(A$6:A60),'CHOICE calc'!$E$2:$E$541,0)),"")</f>
        <v/>
      </c>
      <c r="F60" s="268">
        <f>IFERROR(INDEX('CHOICE calc'!$K$2:$K$541,MATCH(ROWS(A$6:A60),'CHOICE calc'!$E$2:$E$541,0)),"")</f>
        <v/>
      </c>
      <c r="G60" s="297">
        <f>IFERROR(INDEX('CHOICE calc'!$L$2:$L$541,MATCH(ROWS(A$6:A60),'CHOICE calc'!$E$2:$E$541,0)),"")</f>
        <v/>
      </c>
      <c r="H60" s="297">
        <f>IFERROR(INDEX('CHOICE calc'!$A$2:$A$541,MATCH(ROWS(A$6:A60),'CHOICE calc'!$E$2:$E$541,0)),"")</f>
        <v/>
      </c>
      <c r="I60" s="236" t="n"/>
      <c r="J60" s="236" t="n"/>
      <c r="K60" s="236" t="n"/>
      <c r="L60" s="236" t="n"/>
    </row>
    <row r="61" ht="15.75" customHeight="1" s="372">
      <c r="A61" s="408">
        <f>IFERROR(INDEX('CHOICE calc'!$F$2:$F$541,MATCH(ROWS(A$6:A61),'CHOICE calc'!$E$2:$E$541,0)),"")</f>
        <v/>
      </c>
      <c r="B61" s="409">
        <f>IFERROR(INDEX('CHOICE calc'!$G$2:$G$541,MATCH(ROWS(A$6:A61),'CHOICE calc'!$E$2:$E$541,0)),"")</f>
        <v/>
      </c>
      <c r="C61" s="297">
        <f>IFERROR(INDEX('CHOICE calc'!$H$2:$H$541,MATCH(ROWS(A$6:A61),'CHOICE calc'!$E$2:$E$541,0)),"")</f>
        <v/>
      </c>
      <c r="D61" s="268">
        <f>IFERROR(INDEX('CHOICE calc'!$I$2:$I$541,MATCH(ROWS(A$6:A61),'CHOICE calc'!$E$2:$E$541,0)),"")</f>
        <v/>
      </c>
      <c r="E61" s="297">
        <f>IFERROR(INDEX('CHOICE calc'!$J$2:$J$541,MATCH(ROWS(A$6:A61),'CHOICE calc'!$E$2:$E$541,0)),"")</f>
        <v/>
      </c>
      <c r="F61" s="268">
        <f>IFERROR(INDEX('CHOICE calc'!$K$2:$K$541,MATCH(ROWS(A$6:A61),'CHOICE calc'!$E$2:$E$541,0)),"")</f>
        <v/>
      </c>
      <c r="G61" s="297">
        <f>IFERROR(INDEX('CHOICE calc'!$L$2:$L$541,MATCH(ROWS(A$6:A61),'CHOICE calc'!$E$2:$E$541,0)),"")</f>
        <v/>
      </c>
      <c r="H61" s="297">
        <f>IFERROR(INDEX('CHOICE calc'!$A$2:$A$541,MATCH(ROWS(A$6:A61),'CHOICE calc'!$E$2:$E$541,0)),"")</f>
        <v/>
      </c>
      <c r="I61" s="236" t="n"/>
      <c r="J61" s="236" t="n"/>
      <c r="K61" s="236" t="n"/>
      <c r="L61" s="236" t="n"/>
    </row>
    <row r="62" ht="15.75" customHeight="1" s="372">
      <c r="A62" s="408">
        <f>IFERROR(INDEX('CHOICE calc'!$F$2:$F$541,MATCH(ROWS(A$6:A62),'CHOICE calc'!$E$2:$E$541,0)),"")</f>
        <v/>
      </c>
      <c r="B62" s="409">
        <f>IFERROR(INDEX('CHOICE calc'!$G$2:$G$541,MATCH(ROWS(A$6:A62),'CHOICE calc'!$E$2:$E$541,0)),"")</f>
        <v/>
      </c>
      <c r="C62" s="297">
        <f>IFERROR(INDEX('CHOICE calc'!$H$2:$H$541,MATCH(ROWS(A$6:A62),'CHOICE calc'!$E$2:$E$541,0)),"")</f>
        <v/>
      </c>
      <c r="D62" s="268">
        <f>IFERROR(INDEX('CHOICE calc'!$I$2:$I$541,MATCH(ROWS(A$6:A62),'CHOICE calc'!$E$2:$E$541,0)),"")</f>
        <v/>
      </c>
      <c r="E62" s="297">
        <f>IFERROR(INDEX('CHOICE calc'!$J$2:$J$541,MATCH(ROWS(A$6:A62),'CHOICE calc'!$E$2:$E$541,0)),"")</f>
        <v/>
      </c>
      <c r="F62" s="268">
        <f>IFERROR(INDEX('CHOICE calc'!$K$2:$K$541,MATCH(ROWS(A$6:A62),'CHOICE calc'!$E$2:$E$541,0)),"")</f>
        <v/>
      </c>
      <c r="G62" s="297">
        <f>IFERROR(INDEX('CHOICE calc'!$L$2:$L$541,MATCH(ROWS(A$6:A62),'CHOICE calc'!$E$2:$E$541,0)),"")</f>
        <v/>
      </c>
      <c r="H62" s="297">
        <f>IFERROR(INDEX('CHOICE calc'!$A$2:$A$541,MATCH(ROWS(A$6:A62),'CHOICE calc'!$E$2:$E$541,0)),"")</f>
        <v/>
      </c>
      <c r="I62" s="236" t="n"/>
      <c r="J62" s="236" t="n"/>
      <c r="K62" s="236" t="n"/>
      <c r="L62" s="236" t="n"/>
    </row>
    <row r="63" ht="15.75" customHeight="1" s="372">
      <c r="A63" s="408">
        <f>IFERROR(INDEX('CHOICE calc'!$F$2:$F$541,MATCH(ROWS(A$6:A63),'CHOICE calc'!$E$2:$E$541,0)),"")</f>
        <v/>
      </c>
      <c r="B63" s="409">
        <f>IFERROR(INDEX('CHOICE calc'!$G$2:$G$541,MATCH(ROWS(A$6:A63),'CHOICE calc'!$E$2:$E$541,0)),"")</f>
        <v/>
      </c>
      <c r="C63" s="297">
        <f>IFERROR(INDEX('CHOICE calc'!$H$2:$H$541,MATCH(ROWS(A$6:A63),'CHOICE calc'!$E$2:$E$541,0)),"")</f>
        <v/>
      </c>
      <c r="D63" s="268">
        <f>IFERROR(INDEX('CHOICE calc'!$I$2:$I$541,MATCH(ROWS(A$6:A63),'CHOICE calc'!$E$2:$E$541,0)),"")</f>
        <v/>
      </c>
      <c r="E63" s="297">
        <f>IFERROR(INDEX('CHOICE calc'!$J$2:$J$541,MATCH(ROWS(A$6:A63),'CHOICE calc'!$E$2:$E$541,0)),"")</f>
        <v/>
      </c>
      <c r="F63" s="268">
        <f>IFERROR(INDEX('CHOICE calc'!$K$2:$K$541,MATCH(ROWS(A$6:A63),'CHOICE calc'!$E$2:$E$541,0)),"")</f>
        <v/>
      </c>
      <c r="G63" s="297">
        <f>IFERROR(INDEX('CHOICE calc'!$L$2:$L$541,MATCH(ROWS(A$6:A63),'CHOICE calc'!$E$2:$E$541,0)),"")</f>
        <v/>
      </c>
      <c r="H63" s="297">
        <f>IFERROR(INDEX('CHOICE calc'!$A$2:$A$541,MATCH(ROWS(A$6:A63),'CHOICE calc'!$E$2:$E$541,0)),"")</f>
        <v/>
      </c>
      <c r="I63" s="236" t="n"/>
      <c r="J63" s="236" t="n"/>
      <c r="K63" s="236" t="n"/>
      <c r="L63" s="236" t="n"/>
    </row>
    <row r="64" ht="15.75" customHeight="1" s="372">
      <c r="A64" s="408">
        <f>IFERROR(INDEX('CHOICE calc'!$F$2:$F$541,MATCH(ROWS(A$6:A64),'CHOICE calc'!$E$2:$E$541,0)),"")</f>
        <v/>
      </c>
      <c r="B64" s="409">
        <f>IFERROR(INDEX('CHOICE calc'!$G$2:$G$541,MATCH(ROWS(A$6:A64),'CHOICE calc'!$E$2:$E$541,0)),"")</f>
        <v/>
      </c>
      <c r="C64" s="297">
        <f>IFERROR(INDEX('CHOICE calc'!$H$2:$H$541,MATCH(ROWS(A$6:A64),'CHOICE calc'!$E$2:$E$541,0)),"")</f>
        <v/>
      </c>
      <c r="D64" s="268">
        <f>IFERROR(INDEX('CHOICE calc'!$I$2:$I$541,MATCH(ROWS(A$6:A64),'CHOICE calc'!$E$2:$E$541,0)),"")</f>
        <v/>
      </c>
      <c r="E64" s="297">
        <f>IFERROR(INDEX('CHOICE calc'!$J$2:$J$541,MATCH(ROWS(A$6:A64),'CHOICE calc'!$E$2:$E$541,0)),"")</f>
        <v/>
      </c>
      <c r="F64" s="268">
        <f>IFERROR(INDEX('CHOICE calc'!$K$2:$K$541,MATCH(ROWS(A$6:A64),'CHOICE calc'!$E$2:$E$541,0)),"")</f>
        <v/>
      </c>
      <c r="G64" s="297">
        <f>IFERROR(INDEX('CHOICE calc'!$L$2:$L$541,MATCH(ROWS(A$6:A64),'CHOICE calc'!$E$2:$E$541,0)),"")</f>
        <v/>
      </c>
      <c r="H64" s="297">
        <f>IFERROR(INDEX('CHOICE calc'!$A$2:$A$541,MATCH(ROWS(A$6:A64),'CHOICE calc'!$E$2:$E$541,0)),"")</f>
        <v/>
      </c>
      <c r="I64" s="236" t="n"/>
      <c r="J64" s="236" t="n"/>
      <c r="K64" s="236" t="n"/>
      <c r="L64" s="236" t="n"/>
    </row>
    <row r="65" ht="15.75" customHeight="1" s="372">
      <c r="A65" s="408">
        <f>IFERROR(INDEX('CHOICE calc'!$F$2:$F$541,MATCH(ROWS(A$6:A65),'CHOICE calc'!$E$2:$E$541,0)),"")</f>
        <v/>
      </c>
      <c r="B65" s="409">
        <f>IFERROR(INDEX('CHOICE calc'!$G$2:$G$541,MATCH(ROWS(A$6:A65),'CHOICE calc'!$E$2:$E$541,0)),"")</f>
        <v/>
      </c>
      <c r="C65" s="297">
        <f>IFERROR(INDEX('CHOICE calc'!$H$2:$H$541,MATCH(ROWS(A$6:A65),'CHOICE calc'!$E$2:$E$541,0)),"")</f>
        <v/>
      </c>
      <c r="D65" s="268">
        <f>IFERROR(INDEX('CHOICE calc'!$I$2:$I$541,MATCH(ROWS(A$6:A65),'CHOICE calc'!$E$2:$E$541,0)),"")</f>
        <v/>
      </c>
      <c r="E65" s="297">
        <f>IFERROR(INDEX('CHOICE calc'!$J$2:$J$541,MATCH(ROWS(A$6:A65),'CHOICE calc'!$E$2:$E$541,0)),"")</f>
        <v/>
      </c>
      <c r="F65" s="268">
        <f>IFERROR(INDEX('CHOICE calc'!$K$2:$K$541,MATCH(ROWS(A$6:A65),'CHOICE calc'!$E$2:$E$541,0)),"")</f>
        <v/>
      </c>
      <c r="G65" s="297">
        <f>IFERROR(INDEX('CHOICE calc'!$L$2:$L$541,MATCH(ROWS(A$6:A65),'CHOICE calc'!$E$2:$E$541,0)),"")</f>
        <v/>
      </c>
      <c r="H65" s="297">
        <f>IFERROR(INDEX('CHOICE calc'!$A$2:$A$541,MATCH(ROWS(A$6:A65),'CHOICE calc'!$E$2:$E$541,0)),"")</f>
        <v/>
      </c>
      <c r="I65" s="236" t="n"/>
      <c r="J65" s="236" t="n"/>
      <c r="K65" s="236" t="n"/>
      <c r="L65" s="236" t="n"/>
    </row>
    <row r="66" ht="15.75" customHeight="1" s="372">
      <c r="A66" s="408">
        <f>IFERROR(INDEX('CHOICE calc'!$F$2:$F$541,MATCH(ROWS(A$6:A66),'CHOICE calc'!$E$2:$E$541,0)),"")</f>
        <v/>
      </c>
      <c r="B66" s="409">
        <f>IFERROR(INDEX('CHOICE calc'!$G$2:$G$541,MATCH(ROWS(A$6:A66),'CHOICE calc'!$E$2:$E$541,0)),"")</f>
        <v/>
      </c>
      <c r="C66" s="297">
        <f>IFERROR(INDEX('CHOICE calc'!$H$2:$H$541,MATCH(ROWS(A$6:A66),'CHOICE calc'!$E$2:$E$541,0)),"")</f>
        <v/>
      </c>
      <c r="D66" s="268">
        <f>IFERROR(INDEX('CHOICE calc'!$I$2:$I$541,MATCH(ROWS(A$6:A66),'CHOICE calc'!$E$2:$E$541,0)),"")</f>
        <v/>
      </c>
      <c r="E66" s="297">
        <f>IFERROR(INDEX('CHOICE calc'!$J$2:$J$541,MATCH(ROWS(A$6:A66),'CHOICE calc'!$E$2:$E$541,0)),"")</f>
        <v/>
      </c>
      <c r="F66" s="268">
        <f>IFERROR(INDEX('CHOICE calc'!$K$2:$K$541,MATCH(ROWS(A$6:A66),'CHOICE calc'!$E$2:$E$541,0)),"")</f>
        <v/>
      </c>
      <c r="G66" s="297">
        <f>IFERROR(INDEX('CHOICE calc'!$L$2:$L$541,MATCH(ROWS(A$6:A66),'CHOICE calc'!$E$2:$E$541,0)),"")</f>
        <v/>
      </c>
      <c r="H66" s="297">
        <f>IFERROR(INDEX('CHOICE calc'!$A$2:$A$541,MATCH(ROWS(A$6:A66),'CHOICE calc'!$E$2:$E$541,0)),"")</f>
        <v/>
      </c>
      <c r="I66" s="236" t="n"/>
      <c r="J66" s="236" t="n"/>
      <c r="K66" s="236" t="n"/>
      <c r="L66" s="236" t="n"/>
    </row>
    <row r="67" ht="15.75" customHeight="1" s="372">
      <c r="A67" s="408">
        <f>IFERROR(INDEX('CHOICE calc'!$F$2:$F$541,MATCH(ROWS(A$6:A67),'CHOICE calc'!$E$2:$E$541,0)),"")</f>
        <v/>
      </c>
      <c r="B67" s="409">
        <f>IFERROR(INDEX('CHOICE calc'!$G$2:$G$541,MATCH(ROWS(A$6:A67),'CHOICE calc'!$E$2:$E$541,0)),"")</f>
        <v/>
      </c>
      <c r="C67" s="297">
        <f>IFERROR(INDEX('CHOICE calc'!$H$2:$H$541,MATCH(ROWS(A$6:A67),'CHOICE calc'!$E$2:$E$541,0)),"")</f>
        <v/>
      </c>
      <c r="D67" s="268">
        <f>IFERROR(INDEX('CHOICE calc'!$I$2:$I$541,MATCH(ROWS(A$6:A67),'CHOICE calc'!$E$2:$E$541,0)),"")</f>
        <v/>
      </c>
      <c r="E67" s="297">
        <f>IFERROR(INDEX('CHOICE calc'!$J$2:$J$541,MATCH(ROWS(A$6:A67),'CHOICE calc'!$E$2:$E$541,0)),"")</f>
        <v/>
      </c>
      <c r="F67" s="268">
        <f>IFERROR(INDEX('CHOICE calc'!$K$2:$K$541,MATCH(ROWS(A$6:A67),'CHOICE calc'!$E$2:$E$541,0)),"")</f>
        <v/>
      </c>
      <c r="G67" s="297">
        <f>IFERROR(INDEX('CHOICE calc'!$L$2:$L$541,MATCH(ROWS(A$6:A67),'CHOICE calc'!$E$2:$E$541,0)),"")</f>
        <v/>
      </c>
      <c r="H67" s="297">
        <f>IFERROR(INDEX('CHOICE calc'!$A$2:$A$541,MATCH(ROWS(A$6:A67),'CHOICE calc'!$E$2:$E$541,0)),"")</f>
        <v/>
      </c>
      <c r="I67" s="236" t="n"/>
      <c r="J67" s="236" t="n"/>
      <c r="K67" s="236" t="n"/>
      <c r="L67" s="236" t="n"/>
    </row>
    <row r="68" ht="15.75" customHeight="1" s="372">
      <c r="A68" s="408">
        <f>IFERROR(INDEX('CHOICE calc'!$F$2:$F$541,MATCH(ROWS(A$6:A68),'CHOICE calc'!$E$2:$E$541,0)),"")</f>
        <v/>
      </c>
      <c r="B68" s="409">
        <f>IFERROR(INDEX('CHOICE calc'!$G$2:$G$541,MATCH(ROWS(A$6:A68),'CHOICE calc'!$E$2:$E$541,0)),"")</f>
        <v/>
      </c>
      <c r="C68" s="297">
        <f>IFERROR(INDEX('CHOICE calc'!$H$2:$H$541,MATCH(ROWS(A$6:A68),'CHOICE calc'!$E$2:$E$541,0)),"")</f>
        <v/>
      </c>
      <c r="D68" s="268">
        <f>IFERROR(INDEX('CHOICE calc'!$I$2:$I$541,MATCH(ROWS(A$6:A68),'CHOICE calc'!$E$2:$E$541,0)),"")</f>
        <v/>
      </c>
      <c r="E68" s="297">
        <f>IFERROR(INDEX('CHOICE calc'!$J$2:$J$541,MATCH(ROWS(A$6:A68),'CHOICE calc'!$E$2:$E$541,0)),"")</f>
        <v/>
      </c>
      <c r="F68" s="268">
        <f>IFERROR(INDEX('CHOICE calc'!$K$2:$K$541,MATCH(ROWS(A$6:A68),'CHOICE calc'!$E$2:$E$541,0)),"")</f>
        <v/>
      </c>
      <c r="G68" s="297">
        <f>IFERROR(INDEX('CHOICE calc'!$L$2:$L$541,MATCH(ROWS(A$6:A68),'CHOICE calc'!$E$2:$E$541,0)),"")</f>
        <v/>
      </c>
      <c r="H68" s="297">
        <f>IFERROR(INDEX('CHOICE calc'!$A$2:$A$541,MATCH(ROWS(A$6:A68),'CHOICE calc'!$E$2:$E$541,0)),"")</f>
        <v/>
      </c>
      <c r="I68" s="236" t="n"/>
      <c r="J68" s="236" t="n"/>
      <c r="K68" s="236" t="n"/>
      <c r="L68" s="236" t="n"/>
    </row>
    <row r="69" ht="15.75" customHeight="1" s="372">
      <c r="A69" s="408">
        <f>IFERROR(INDEX('CHOICE calc'!$F$2:$F$541,MATCH(ROWS(A$6:A69),'CHOICE calc'!$E$2:$E$541,0)),"")</f>
        <v/>
      </c>
      <c r="B69" s="409">
        <f>IFERROR(INDEX('CHOICE calc'!$G$2:$G$541,MATCH(ROWS(A$6:A69),'CHOICE calc'!$E$2:$E$541,0)),"")</f>
        <v/>
      </c>
      <c r="C69" s="297">
        <f>IFERROR(INDEX('CHOICE calc'!$H$2:$H$541,MATCH(ROWS(A$6:A69),'CHOICE calc'!$E$2:$E$541,0)),"")</f>
        <v/>
      </c>
      <c r="D69" s="268">
        <f>IFERROR(INDEX('CHOICE calc'!$I$2:$I$541,MATCH(ROWS(A$6:A69),'CHOICE calc'!$E$2:$E$541,0)),"")</f>
        <v/>
      </c>
      <c r="E69" s="297">
        <f>IFERROR(INDEX('CHOICE calc'!$J$2:$J$541,MATCH(ROWS(A$6:A69),'CHOICE calc'!$E$2:$E$541,0)),"")</f>
        <v/>
      </c>
      <c r="F69" s="268">
        <f>IFERROR(INDEX('CHOICE calc'!$K$2:$K$541,MATCH(ROWS(A$6:A69),'CHOICE calc'!$E$2:$E$541,0)),"")</f>
        <v/>
      </c>
      <c r="G69" s="297">
        <f>IFERROR(INDEX('CHOICE calc'!$L$2:$L$541,MATCH(ROWS(A$6:A69),'CHOICE calc'!$E$2:$E$541,0)),"")</f>
        <v/>
      </c>
      <c r="H69" s="297">
        <f>IFERROR(INDEX('CHOICE calc'!$A$2:$A$541,MATCH(ROWS(A$6:A69),'CHOICE calc'!$E$2:$E$541,0)),"")</f>
        <v/>
      </c>
      <c r="I69" s="236" t="n"/>
      <c r="J69" s="236" t="n"/>
      <c r="K69" s="236" t="n"/>
      <c r="L69" s="236" t="n"/>
    </row>
    <row r="70" ht="15.75" customHeight="1" s="372">
      <c r="A70" s="408">
        <f>IFERROR(INDEX('CHOICE calc'!$F$2:$F$541,MATCH(ROWS(A$6:A70),'CHOICE calc'!$E$2:$E$541,0)),"")</f>
        <v/>
      </c>
      <c r="B70" s="409">
        <f>IFERROR(INDEX('CHOICE calc'!$G$2:$G$541,MATCH(ROWS(A$6:A70),'CHOICE calc'!$E$2:$E$541,0)),"")</f>
        <v/>
      </c>
      <c r="C70" s="297">
        <f>IFERROR(INDEX('CHOICE calc'!$H$2:$H$541,MATCH(ROWS(A$6:A70),'CHOICE calc'!$E$2:$E$541,0)),"")</f>
        <v/>
      </c>
      <c r="D70" s="268">
        <f>IFERROR(INDEX('CHOICE calc'!$I$2:$I$541,MATCH(ROWS(A$6:A70),'CHOICE calc'!$E$2:$E$541,0)),"")</f>
        <v/>
      </c>
      <c r="E70" s="297">
        <f>IFERROR(INDEX('CHOICE calc'!$J$2:$J$541,MATCH(ROWS(A$6:A70),'CHOICE calc'!$E$2:$E$541,0)),"")</f>
        <v/>
      </c>
      <c r="F70" s="268">
        <f>IFERROR(INDEX('CHOICE calc'!$K$2:$K$541,MATCH(ROWS(A$6:A70),'CHOICE calc'!$E$2:$E$541,0)),"")</f>
        <v/>
      </c>
      <c r="G70" s="297">
        <f>IFERROR(INDEX('CHOICE calc'!$L$2:$L$541,MATCH(ROWS(A$6:A70),'CHOICE calc'!$E$2:$E$541,0)),"")</f>
        <v/>
      </c>
      <c r="H70" s="297">
        <f>IFERROR(INDEX('CHOICE calc'!$A$2:$A$541,MATCH(ROWS(A$6:A70),'CHOICE calc'!$E$2:$E$541,0)),"")</f>
        <v/>
      </c>
      <c r="I70" s="236" t="n"/>
      <c r="J70" s="236" t="n"/>
      <c r="K70" s="236" t="n"/>
      <c r="L70" s="236" t="n"/>
    </row>
    <row r="71" ht="15.75" customHeight="1" s="372">
      <c r="A71" s="408">
        <f>IFERROR(INDEX('CHOICE calc'!$F$2:$F$541,MATCH(ROWS(A$6:A71),'CHOICE calc'!$E$2:$E$541,0)),"")</f>
        <v/>
      </c>
      <c r="B71" s="409">
        <f>IFERROR(INDEX('CHOICE calc'!$G$2:$G$541,MATCH(ROWS(A$6:A71),'CHOICE calc'!$E$2:$E$541,0)),"")</f>
        <v/>
      </c>
      <c r="C71" s="297">
        <f>IFERROR(INDEX('CHOICE calc'!$H$2:$H$541,MATCH(ROWS(A$6:A71),'CHOICE calc'!$E$2:$E$541,0)),"")</f>
        <v/>
      </c>
      <c r="D71" s="268">
        <f>IFERROR(INDEX('CHOICE calc'!$I$2:$I$541,MATCH(ROWS(A$6:A71),'CHOICE calc'!$E$2:$E$541,0)),"")</f>
        <v/>
      </c>
      <c r="E71" s="297">
        <f>IFERROR(INDEX('CHOICE calc'!$J$2:$J$541,MATCH(ROWS(A$6:A71),'CHOICE calc'!$E$2:$E$541,0)),"")</f>
        <v/>
      </c>
      <c r="F71" s="268">
        <f>IFERROR(INDEX('CHOICE calc'!$K$2:$K$541,MATCH(ROWS(A$6:A71),'CHOICE calc'!$E$2:$E$541,0)),"")</f>
        <v/>
      </c>
      <c r="G71" s="297">
        <f>IFERROR(INDEX('CHOICE calc'!$L$2:$L$541,MATCH(ROWS(A$6:A71),'CHOICE calc'!$E$2:$E$541,0)),"")</f>
        <v/>
      </c>
      <c r="H71" s="297">
        <f>IFERROR(INDEX('CHOICE calc'!$A$2:$A$541,MATCH(ROWS(A$6:A71),'CHOICE calc'!$E$2:$E$541,0)),"")</f>
        <v/>
      </c>
      <c r="I71" s="236" t="n"/>
      <c r="J71" s="236" t="n"/>
      <c r="K71" s="236" t="n"/>
      <c r="L71" s="236" t="n"/>
    </row>
    <row r="72" ht="15.75" customHeight="1" s="372">
      <c r="A72" s="408">
        <f>IFERROR(INDEX('CHOICE calc'!$F$2:$F$541,MATCH(ROWS(A$6:A72),'CHOICE calc'!$E$2:$E$541,0)),"")</f>
        <v/>
      </c>
      <c r="B72" s="409">
        <f>IFERROR(INDEX('CHOICE calc'!$G$2:$G$541,MATCH(ROWS(A$6:A72),'CHOICE calc'!$E$2:$E$541,0)),"")</f>
        <v/>
      </c>
      <c r="C72" s="297">
        <f>IFERROR(INDEX('CHOICE calc'!$H$2:$H$541,MATCH(ROWS(A$6:A72),'CHOICE calc'!$E$2:$E$541,0)),"")</f>
        <v/>
      </c>
      <c r="D72" s="268">
        <f>IFERROR(INDEX('CHOICE calc'!$I$2:$I$541,MATCH(ROWS(A$6:A72),'CHOICE calc'!$E$2:$E$541,0)),"")</f>
        <v/>
      </c>
      <c r="E72" s="297">
        <f>IFERROR(INDEX('CHOICE calc'!$J$2:$J$541,MATCH(ROWS(A$6:A72),'CHOICE calc'!$E$2:$E$541,0)),"")</f>
        <v/>
      </c>
      <c r="F72" s="268">
        <f>IFERROR(INDEX('CHOICE calc'!$K$2:$K$541,MATCH(ROWS(A$6:A72),'CHOICE calc'!$E$2:$E$541,0)),"")</f>
        <v/>
      </c>
      <c r="G72" s="297">
        <f>IFERROR(INDEX('CHOICE calc'!$L$2:$L$541,MATCH(ROWS(A$6:A72),'CHOICE calc'!$E$2:$E$541,0)),"")</f>
        <v/>
      </c>
      <c r="H72" s="297">
        <f>IFERROR(INDEX('CHOICE calc'!$A$2:$A$541,MATCH(ROWS(A$6:A72),'CHOICE calc'!$E$2:$E$541,0)),"")</f>
        <v/>
      </c>
      <c r="I72" s="236" t="n"/>
      <c r="J72" s="236" t="n"/>
      <c r="K72" s="236" t="n"/>
      <c r="L72" s="236" t="n"/>
    </row>
    <row r="73" ht="15.75" customHeight="1" s="372">
      <c r="A73" s="408">
        <f>IFERROR(INDEX('CHOICE calc'!$F$2:$F$541,MATCH(ROWS(A$6:A73),'CHOICE calc'!$E$2:$E$541,0)),"")</f>
        <v/>
      </c>
      <c r="B73" s="409">
        <f>IFERROR(INDEX('CHOICE calc'!$G$2:$G$541,MATCH(ROWS(A$6:A73),'CHOICE calc'!$E$2:$E$541,0)),"")</f>
        <v/>
      </c>
      <c r="C73" s="297">
        <f>IFERROR(INDEX('CHOICE calc'!$H$2:$H$541,MATCH(ROWS(A$6:A73),'CHOICE calc'!$E$2:$E$541,0)),"")</f>
        <v/>
      </c>
      <c r="D73" s="268">
        <f>IFERROR(INDEX('CHOICE calc'!$I$2:$I$541,MATCH(ROWS(A$6:A73),'CHOICE calc'!$E$2:$E$541,0)),"")</f>
        <v/>
      </c>
      <c r="E73" s="297">
        <f>IFERROR(INDEX('CHOICE calc'!$J$2:$J$541,MATCH(ROWS(A$6:A73),'CHOICE calc'!$E$2:$E$541,0)),"")</f>
        <v/>
      </c>
      <c r="F73" s="268">
        <f>IFERROR(INDEX('CHOICE calc'!$K$2:$K$541,MATCH(ROWS(A$6:A73),'CHOICE calc'!$E$2:$E$541,0)),"")</f>
        <v/>
      </c>
      <c r="G73" s="297">
        <f>IFERROR(INDEX('CHOICE calc'!$L$2:$L$541,MATCH(ROWS(A$6:A73),'CHOICE calc'!$E$2:$E$541,0)),"")</f>
        <v/>
      </c>
      <c r="H73" s="297">
        <f>IFERROR(INDEX('CHOICE calc'!$A$2:$A$541,MATCH(ROWS(A$6:A73),'CHOICE calc'!$E$2:$E$541,0)),"")</f>
        <v/>
      </c>
      <c r="I73" s="236" t="n"/>
      <c r="J73" s="236" t="n"/>
      <c r="K73" s="236" t="n"/>
      <c r="L73" s="236" t="n"/>
    </row>
    <row r="74" ht="15.75" customHeight="1" s="372">
      <c r="A74" s="408">
        <f>IFERROR(INDEX('CHOICE calc'!$F$2:$F$541,MATCH(ROWS(A$6:A74),'CHOICE calc'!$E$2:$E$541,0)),"")</f>
        <v/>
      </c>
      <c r="B74" s="409">
        <f>IFERROR(INDEX('CHOICE calc'!$G$2:$G$541,MATCH(ROWS(A$6:A74),'CHOICE calc'!$E$2:$E$541,0)),"")</f>
        <v/>
      </c>
      <c r="C74" s="297">
        <f>IFERROR(INDEX('CHOICE calc'!$H$2:$H$541,MATCH(ROWS(A$6:A74),'CHOICE calc'!$E$2:$E$541,0)),"")</f>
        <v/>
      </c>
      <c r="D74" s="268">
        <f>IFERROR(INDEX('CHOICE calc'!$I$2:$I$541,MATCH(ROWS(A$6:A74),'CHOICE calc'!$E$2:$E$541,0)),"")</f>
        <v/>
      </c>
      <c r="E74" s="297">
        <f>IFERROR(INDEX('CHOICE calc'!$J$2:$J$541,MATCH(ROWS(A$6:A74),'CHOICE calc'!$E$2:$E$541,0)),"")</f>
        <v/>
      </c>
      <c r="F74" s="268">
        <f>IFERROR(INDEX('CHOICE calc'!$K$2:$K$541,MATCH(ROWS(A$6:A74),'CHOICE calc'!$E$2:$E$541,0)),"")</f>
        <v/>
      </c>
      <c r="G74" s="297">
        <f>IFERROR(INDEX('CHOICE calc'!$L$2:$L$541,MATCH(ROWS(A$6:A74),'CHOICE calc'!$E$2:$E$541,0)),"")</f>
        <v/>
      </c>
      <c r="H74" s="297">
        <f>IFERROR(INDEX('CHOICE calc'!$A$2:$A$541,MATCH(ROWS(A$6:A74),'CHOICE calc'!$E$2:$E$541,0)),"")</f>
        <v/>
      </c>
      <c r="I74" s="236" t="n"/>
      <c r="J74" s="236" t="n"/>
      <c r="K74" s="236" t="n"/>
      <c r="L74" s="236" t="n"/>
    </row>
    <row r="75" ht="15.75" customHeight="1" s="372">
      <c r="A75" s="408">
        <f>IFERROR(INDEX('CHOICE calc'!$F$2:$F$541,MATCH(ROWS(A$6:A75),'CHOICE calc'!$E$2:$E$541,0)),"")</f>
        <v/>
      </c>
      <c r="B75" s="409">
        <f>IFERROR(INDEX('CHOICE calc'!$G$2:$G$541,MATCH(ROWS(A$6:A75),'CHOICE calc'!$E$2:$E$541,0)),"")</f>
        <v/>
      </c>
      <c r="C75" s="297">
        <f>IFERROR(INDEX('CHOICE calc'!$H$2:$H$541,MATCH(ROWS(A$6:A75),'CHOICE calc'!$E$2:$E$541,0)),"")</f>
        <v/>
      </c>
      <c r="D75" s="268">
        <f>IFERROR(INDEX('CHOICE calc'!$I$2:$I$541,MATCH(ROWS(A$6:A75),'CHOICE calc'!$E$2:$E$541,0)),"")</f>
        <v/>
      </c>
      <c r="E75" s="297">
        <f>IFERROR(INDEX('CHOICE calc'!$J$2:$J$541,MATCH(ROWS(A$6:A75),'CHOICE calc'!$E$2:$E$541,0)),"")</f>
        <v/>
      </c>
      <c r="F75" s="268">
        <f>IFERROR(INDEX('CHOICE calc'!$K$2:$K$541,MATCH(ROWS(A$6:A75),'CHOICE calc'!$E$2:$E$541,0)),"")</f>
        <v/>
      </c>
      <c r="G75" s="297">
        <f>IFERROR(INDEX('CHOICE calc'!$L$2:$L$541,MATCH(ROWS(A$6:A75),'CHOICE calc'!$E$2:$E$541,0)),"")</f>
        <v/>
      </c>
      <c r="H75" s="297">
        <f>IFERROR(INDEX('CHOICE calc'!$A$2:$A$541,MATCH(ROWS(A$6:A75),'CHOICE calc'!$E$2:$E$541,0)),"")</f>
        <v/>
      </c>
      <c r="I75" s="236" t="n"/>
      <c r="J75" s="236" t="n"/>
      <c r="K75" s="236" t="n"/>
      <c r="L75" s="236" t="n"/>
    </row>
    <row r="76" ht="15.75" customHeight="1" s="372">
      <c r="A76" s="408">
        <f>IFERROR(INDEX('CHOICE calc'!$F$2:$F$541,MATCH(ROWS(A$6:A76),'CHOICE calc'!$E$2:$E$541,0)),"")</f>
        <v/>
      </c>
      <c r="B76" s="409">
        <f>IFERROR(INDEX('CHOICE calc'!$G$2:$G$541,MATCH(ROWS(A$6:A76),'CHOICE calc'!$E$2:$E$541,0)),"")</f>
        <v/>
      </c>
      <c r="C76" s="297">
        <f>IFERROR(INDEX('CHOICE calc'!$H$2:$H$541,MATCH(ROWS(A$6:A76),'CHOICE calc'!$E$2:$E$541,0)),"")</f>
        <v/>
      </c>
      <c r="D76" s="268">
        <f>IFERROR(INDEX('CHOICE calc'!$I$2:$I$541,MATCH(ROWS(A$6:A76),'CHOICE calc'!$E$2:$E$541,0)),"")</f>
        <v/>
      </c>
      <c r="E76" s="297">
        <f>IFERROR(INDEX('CHOICE calc'!$J$2:$J$541,MATCH(ROWS(A$6:A76),'CHOICE calc'!$E$2:$E$541,0)),"")</f>
        <v/>
      </c>
      <c r="F76" s="268">
        <f>IFERROR(INDEX('CHOICE calc'!$K$2:$K$541,MATCH(ROWS(A$6:A76),'CHOICE calc'!$E$2:$E$541,0)),"")</f>
        <v/>
      </c>
      <c r="G76" s="297">
        <f>IFERROR(INDEX('CHOICE calc'!$L$2:$L$541,MATCH(ROWS(A$6:A76),'CHOICE calc'!$E$2:$E$541,0)),"")</f>
        <v/>
      </c>
      <c r="H76" s="297">
        <f>IFERROR(INDEX('CHOICE calc'!$A$2:$A$541,MATCH(ROWS(A$6:A76),'CHOICE calc'!$E$2:$E$541,0)),"")</f>
        <v/>
      </c>
      <c r="I76" s="236" t="n"/>
      <c r="J76" s="236" t="n"/>
      <c r="K76" s="236" t="n"/>
      <c r="L76" s="236" t="n"/>
    </row>
    <row r="77" ht="15.75" customHeight="1" s="372">
      <c r="A77" s="408">
        <f>IFERROR(INDEX('CHOICE calc'!$F$2:$F$541,MATCH(ROWS(A$6:A77),'CHOICE calc'!$E$2:$E$541,0)),"")</f>
        <v/>
      </c>
      <c r="B77" s="409">
        <f>IFERROR(INDEX('CHOICE calc'!$G$2:$G$541,MATCH(ROWS(A$6:A77),'CHOICE calc'!$E$2:$E$541,0)),"")</f>
        <v/>
      </c>
      <c r="C77" s="297">
        <f>IFERROR(INDEX('CHOICE calc'!$H$2:$H$541,MATCH(ROWS(A$6:A77),'CHOICE calc'!$E$2:$E$541,0)),"")</f>
        <v/>
      </c>
      <c r="D77" s="268">
        <f>IFERROR(INDEX('CHOICE calc'!$I$2:$I$541,MATCH(ROWS(A$6:A77),'CHOICE calc'!$E$2:$E$541,0)),"")</f>
        <v/>
      </c>
      <c r="E77" s="297">
        <f>IFERROR(INDEX('CHOICE calc'!$J$2:$J$541,MATCH(ROWS(A$6:A77),'CHOICE calc'!$E$2:$E$541,0)),"")</f>
        <v/>
      </c>
      <c r="F77" s="268">
        <f>IFERROR(INDEX('CHOICE calc'!$K$2:$K$541,MATCH(ROWS(A$6:A77),'CHOICE calc'!$E$2:$E$541,0)),"")</f>
        <v/>
      </c>
      <c r="G77" s="297">
        <f>IFERROR(INDEX('CHOICE calc'!$L$2:$L$541,MATCH(ROWS(A$6:A77),'CHOICE calc'!$E$2:$E$541,0)),"")</f>
        <v/>
      </c>
      <c r="H77" s="297">
        <f>IFERROR(INDEX('CHOICE calc'!$A$2:$A$541,MATCH(ROWS(A$6:A77),'CHOICE calc'!$E$2:$E$541,0)),"")</f>
        <v/>
      </c>
      <c r="I77" s="236" t="n"/>
      <c r="J77" s="236" t="n"/>
      <c r="K77" s="236" t="n"/>
      <c r="L77" s="236" t="n"/>
    </row>
    <row r="78" ht="15.75" customHeight="1" s="372">
      <c r="A78" s="408">
        <f>IFERROR(INDEX('CHOICE calc'!$F$2:$F$541,MATCH(ROWS(A$6:A78),'CHOICE calc'!$E$2:$E$541,0)),"")</f>
        <v/>
      </c>
      <c r="B78" s="409">
        <f>IFERROR(INDEX('CHOICE calc'!$G$2:$G$541,MATCH(ROWS(A$6:A78),'CHOICE calc'!$E$2:$E$541,0)),"")</f>
        <v/>
      </c>
      <c r="C78" s="297">
        <f>IFERROR(INDEX('CHOICE calc'!$H$2:$H$541,MATCH(ROWS(A$6:A78),'CHOICE calc'!$E$2:$E$541,0)),"")</f>
        <v/>
      </c>
      <c r="D78" s="268">
        <f>IFERROR(INDEX('CHOICE calc'!$I$2:$I$541,MATCH(ROWS(A$6:A78),'CHOICE calc'!$E$2:$E$541,0)),"")</f>
        <v/>
      </c>
      <c r="E78" s="297">
        <f>IFERROR(INDEX('CHOICE calc'!$J$2:$J$541,MATCH(ROWS(A$6:A78),'CHOICE calc'!$E$2:$E$541,0)),"")</f>
        <v/>
      </c>
      <c r="F78" s="268">
        <f>IFERROR(INDEX('CHOICE calc'!$K$2:$K$541,MATCH(ROWS(A$6:A78),'CHOICE calc'!$E$2:$E$541,0)),"")</f>
        <v/>
      </c>
      <c r="G78" s="297">
        <f>IFERROR(INDEX('CHOICE calc'!$L$2:$L$541,MATCH(ROWS(A$6:A78),'CHOICE calc'!$E$2:$E$541,0)),"")</f>
        <v/>
      </c>
      <c r="H78" s="297">
        <f>IFERROR(INDEX('CHOICE calc'!$A$2:$A$541,MATCH(ROWS(A$6:A78),'CHOICE calc'!$E$2:$E$541,0)),"")</f>
        <v/>
      </c>
      <c r="I78" s="236" t="n"/>
      <c r="J78" s="236" t="n"/>
      <c r="K78" s="236" t="n"/>
      <c r="L78" s="236" t="n"/>
    </row>
    <row r="79" ht="15.75" customHeight="1" s="372">
      <c r="A79" s="408">
        <f>IFERROR(INDEX('CHOICE calc'!$F$2:$F$541,MATCH(ROWS(A$6:A79),'CHOICE calc'!$E$2:$E$541,0)),"")</f>
        <v/>
      </c>
      <c r="B79" s="409">
        <f>IFERROR(INDEX('CHOICE calc'!$G$2:$G$541,MATCH(ROWS(A$6:A79),'CHOICE calc'!$E$2:$E$541,0)),"")</f>
        <v/>
      </c>
      <c r="C79" s="297">
        <f>IFERROR(INDEX('CHOICE calc'!$H$2:$H$541,MATCH(ROWS(A$6:A79),'CHOICE calc'!$E$2:$E$541,0)),"")</f>
        <v/>
      </c>
      <c r="D79" s="268">
        <f>IFERROR(INDEX('CHOICE calc'!$I$2:$I$541,MATCH(ROWS(A$6:A79),'CHOICE calc'!$E$2:$E$541,0)),"")</f>
        <v/>
      </c>
      <c r="E79" s="297">
        <f>IFERROR(INDEX('CHOICE calc'!$J$2:$J$541,MATCH(ROWS(A$6:A79),'CHOICE calc'!$E$2:$E$541,0)),"")</f>
        <v/>
      </c>
      <c r="F79" s="268">
        <f>IFERROR(INDEX('CHOICE calc'!$K$2:$K$541,MATCH(ROWS(A$6:A79),'CHOICE calc'!$E$2:$E$541,0)),"")</f>
        <v/>
      </c>
      <c r="G79" s="297">
        <f>IFERROR(INDEX('CHOICE calc'!$L$2:$L$541,MATCH(ROWS(A$6:A79),'CHOICE calc'!$E$2:$E$541,0)),"")</f>
        <v/>
      </c>
      <c r="H79" s="297">
        <f>IFERROR(INDEX('CHOICE calc'!$A$2:$A$541,MATCH(ROWS(A$6:A79),'CHOICE calc'!$E$2:$E$541,0)),"")</f>
        <v/>
      </c>
      <c r="I79" s="236" t="n"/>
      <c r="J79" s="236" t="n"/>
      <c r="K79" s="236" t="n"/>
      <c r="L79" s="236" t="n"/>
    </row>
    <row r="80" ht="15.75" customHeight="1" s="372">
      <c r="A80" s="408">
        <f>IFERROR(INDEX('CHOICE calc'!$F$2:$F$541,MATCH(ROWS(A$6:A80),'CHOICE calc'!$E$2:$E$541,0)),"")</f>
        <v/>
      </c>
      <c r="B80" s="409">
        <f>IFERROR(INDEX('CHOICE calc'!$G$2:$G$541,MATCH(ROWS(A$6:A80),'CHOICE calc'!$E$2:$E$541,0)),"")</f>
        <v/>
      </c>
      <c r="C80" s="297">
        <f>IFERROR(INDEX('CHOICE calc'!$H$2:$H$541,MATCH(ROWS(A$6:A80),'CHOICE calc'!$E$2:$E$541,0)),"")</f>
        <v/>
      </c>
      <c r="D80" s="268">
        <f>IFERROR(INDEX('CHOICE calc'!$I$2:$I$541,MATCH(ROWS(A$6:A80),'CHOICE calc'!$E$2:$E$541,0)),"")</f>
        <v/>
      </c>
      <c r="E80" s="297">
        <f>IFERROR(INDEX('CHOICE calc'!$J$2:$J$541,MATCH(ROWS(A$6:A80),'CHOICE calc'!$E$2:$E$541,0)),"")</f>
        <v/>
      </c>
      <c r="F80" s="268">
        <f>IFERROR(INDEX('CHOICE calc'!$K$2:$K$541,MATCH(ROWS(A$6:A80),'CHOICE calc'!$E$2:$E$541,0)),"")</f>
        <v/>
      </c>
      <c r="G80" s="297">
        <f>IFERROR(INDEX('CHOICE calc'!$L$2:$L$541,MATCH(ROWS(A$6:A80),'CHOICE calc'!$E$2:$E$541,0)),"")</f>
        <v/>
      </c>
      <c r="H80" s="297">
        <f>IFERROR(INDEX('CHOICE calc'!$A$2:$A$541,MATCH(ROWS(A$6:A80),'CHOICE calc'!$E$2:$E$541,0)),"")</f>
        <v/>
      </c>
      <c r="I80" s="236" t="n"/>
      <c r="J80" s="236" t="n"/>
      <c r="K80" s="236" t="n"/>
      <c r="L80" s="236" t="n"/>
    </row>
    <row r="81" ht="15.75" customHeight="1" s="372">
      <c r="A81" s="408">
        <f>IFERROR(INDEX('CHOICE calc'!$F$2:$F$541,MATCH(ROWS(A$6:A81),'CHOICE calc'!$E$2:$E$541,0)),"")</f>
        <v/>
      </c>
      <c r="B81" s="409">
        <f>IFERROR(INDEX('CHOICE calc'!$G$2:$G$541,MATCH(ROWS(A$6:A81),'CHOICE calc'!$E$2:$E$541,0)),"")</f>
        <v/>
      </c>
      <c r="C81" s="297">
        <f>IFERROR(INDEX('CHOICE calc'!$H$2:$H$541,MATCH(ROWS(A$6:A81),'CHOICE calc'!$E$2:$E$541,0)),"")</f>
        <v/>
      </c>
      <c r="D81" s="268">
        <f>IFERROR(INDEX('CHOICE calc'!$I$2:$I$541,MATCH(ROWS(A$6:A81),'CHOICE calc'!$E$2:$E$541,0)),"")</f>
        <v/>
      </c>
      <c r="E81" s="297">
        <f>IFERROR(INDEX('CHOICE calc'!$J$2:$J$541,MATCH(ROWS(A$6:A81),'CHOICE calc'!$E$2:$E$541,0)),"")</f>
        <v/>
      </c>
      <c r="F81" s="268">
        <f>IFERROR(INDEX('CHOICE calc'!$K$2:$K$541,MATCH(ROWS(A$6:A81),'CHOICE calc'!$E$2:$E$541,0)),"")</f>
        <v/>
      </c>
      <c r="G81" s="297">
        <f>IFERROR(INDEX('CHOICE calc'!$L$2:$L$541,MATCH(ROWS(A$6:A81),'CHOICE calc'!$E$2:$E$541,0)),"")</f>
        <v/>
      </c>
      <c r="H81" s="297">
        <f>IFERROR(INDEX('CHOICE calc'!$A$2:$A$541,MATCH(ROWS(A$6:A81),'CHOICE calc'!$E$2:$E$541,0)),"")</f>
        <v/>
      </c>
      <c r="I81" s="236" t="n"/>
      <c r="J81" s="236" t="n"/>
      <c r="K81" s="236" t="n"/>
      <c r="L81" s="236" t="n"/>
    </row>
    <row r="82" ht="15.75" customHeight="1" s="372">
      <c r="A82" s="408">
        <f>IFERROR(INDEX('CHOICE calc'!$F$2:$F$541,MATCH(ROWS(A$6:A82),'CHOICE calc'!$E$2:$E$541,0)),"")</f>
        <v/>
      </c>
      <c r="B82" s="409">
        <f>IFERROR(INDEX('CHOICE calc'!$G$2:$G$541,MATCH(ROWS(A$6:A82),'CHOICE calc'!$E$2:$E$541,0)),"")</f>
        <v/>
      </c>
      <c r="C82" s="297">
        <f>IFERROR(INDEX('CHOICE calc'!$H$2:$H$541,MATCH(ROWS(A$6:A82),'CHOICE calc'!$E$2:$E$541,0)),"")</f>
        <v/>
      </c>
      <c r="D82" s="268">
        <f>IFERROR(INDEX('CHOICE calc'!$I$2:$I$541,MATCH(ROWS(A$6:A82),'CHOICE calc'!$E$2:$E$541,0)),"")</f>
        <v/>
      </c>
      <c r="E82" s="297">
        <f>IFERROR(INDEX('CHOICE calc'!$J$2:$J$541,MATCH(ROWS(A$6:A82),'CHOICE calc'!$E$2:$E$541,0)),"")</f>
        <v/>
      </c>
      <c r="F82" s="268">
        <f>IFERROR(INDEX('CHOICE calc'!$K$2:$K$541,MATCH(ROWS(A$6:A82),'CHOICE calc'!$E$2:$E$541,0)),"")</f>
        <v/>
      </c>
      <c r="G82" s="297">
        <f>IFERROR(INDEX('CHOICE calc'!$L$2:$L$541,MATCH(ROWS(A$6:A82),'CHOICE calc'!$E$2:$E$541,0)),"")</f>
        <v/>
      </c>
      <c r="H82" s="297">
        <f>IFERROR(INDEX('CHOICE calc'!$A$2:$A$541,MATCH(ROWS(A$6:A82),'CHOICE calc'!$E$2:$E$541,0)),"")</f>
        <v/>
      </c>
      <c r="I82" s="236" t="n"/>
      <c r="J82" s="236" t="n"/>
      <c r="K82" s="236" t="n"/>
      <c r="L82" s="236" t="n"/>
    </row>
    <row r="83" ht="15.75" customHeight="1" s="372">
      <c r="A83" s="408">
        <f>IFERROR(INDEX('CHOICE calc'!$F$2:$F$541,MATCH(ROWS(A$6:A83),'CHOICE calc'!$E$2:$E$541,0)),"")</f>
        <v/>
      </c>
      <c r="B83" s="409">
        <f>IFERROR(INDEX('CHOICE calc'!$G$2:$G$541,MATCH(ROWS(A$6:A83),'CHOICE calc'!$E$2:$E$541,0)),"")</f>
        <v/>
      </c>
      <c r="C83" s="297">
        <f>IFERROR(INDEX('CHOICE calc'!$H$2:$H$541,MATCH(ROWS(A$6:A83),'CHOICE calc'!$E$2:$E$541,0)),"")</f>
        <v/>
      </c>
      <c r="D83" s="268">
        <f>IFERROR(INDEX('CHOICE calc'!$I$2:$I$541,MATCH(ROWS(A$6:A83),'CHOICE calc'!$E$2:$E$541,0)),"")</f>
        <v/>
      </c>
      <c r="E83" s="297">
        <f>IFERROR(INDEX('CHOICE calc'!$J$2:$J$541,MATCH(ROWS(A$6:A83),'CHOICE calc'!$E$2:$E$541,0)),"")</f>
        <v/>
      </c>
      <c r="F83" s="268">
        <f>IFERROR(INDEX('CHOICE calc'!$K$2:$K$541,MATCH(ROWS(A$6:A83),'CHOICE calc'!$E$2:$E$541,0)),"")</f>
        <v/>
      </c>
      <c r="G83" s="297">
        <f>IFERROR(INDEX('CHOICE calc'!$L$2:$L$541,MATCH(ROWS(A$6:A83),'CHOICE calc'!$E$2:$E$541,0)),"")</f>
        <v/>
      </c>
      <c r="H83" s="297">
        <f>IFERROR(INDEX('CHOICE calc'!$A$2:$A$541,MATCH(ROWS(A$6:A83),'CHOICE calc'!$E$2:$E$541,0)),"")</f>
        <v/>
      </c>
      <c r="I83" s="236" t="n"/>
      <c r="J83" s="236" t="n"/>
      <c r="K83" s="236" t="n"/>
      <c r="L83" s="236" t="n"/>
    </row>
    <row r="84" ht="15.75" customHeight="1" s="372">
      <c r="A84" s="408">
        <f>IFERROR(INDEX('CHOICE calc'!$F$2:$F$541,MATCH(ROWS(A$6:A84),'CHOICE calc'!$E$2:$E$541,0)),"")</f>
        <v/>
      </c>
      <c r="B84" s="409">
        <f>IFERROR(INDEX('CHOICE calc'!$G$2:$G$541,MATCH(ROWS(A$6:A84),'CHOICE calc'!$E$2:$E$541,0)),"")</f>
        <v/>
      </c>
      <c r="C84" s="297">
        <f>IFERROR(INDEX('CHOICE calc'!$H$2:$H$541,MATCH(ROWS(A$6:A84),'CHOICE calc'!$E$2:$E$541,0)),"")</f>
        <v/>
      </c>
      <c r="D84" s="268">
        <f>IFERROR(INDEX('CHOICE calc'!$I$2:$I$541,MATCH(ROWS(A$6:A84),'CHOICE calc'!$E$2:$E$541,0)),"")</f>
        <v/>
      </c>
      <c r="E84" s="297">
        <f>IFERROR(INDEX('CHOICE calc'!$J$2:$J$541,MATCH(ROWS(A$6:A84),'CHOICE calc'!$E$2:$E$541,0)),"")</f>
        <v/>
      </c>
      <c r="F84" s="268">
        <f>IFERROR(INDEX('CHOICE calc'!$K$2:$K$541,MATCH(ROWS(A$6:A84),'CHOICE calc'!$E$2:$E$541,0)),"")</f>
        <v/>
      </c>
      <c r="G84" s="297">
        <f>IFERROR(INDEX('CHOICE calc'!$L$2:$L$541,MATCH(ROWS(A$6:A84),'CHOICE calc'!$E$2:$E$541,0)),"")</f>
        <v/>
      </c>
      <c r="H84" s="297">
        <f>IFERROR(INDEX('CHOICE calc'!$A$2:$A$541,MATCH(ROWS(A$6:A84),'CHOICE calc'!$E$2:$E$541,0)),"")</f>
        <v/>
      </c>
      <c r="I84" s="236" t="n"/>
      <c r="J84" s="236" t="n"/>
      <c r="K84" s="236" t="n"/>
      <c r="L84" s="236" t="n"/>
    </row>
    <row r="85" ht="15.75" customHeight="1" s="372">
      <c r="A85" s="408">
        <f>IFERROR(INDEX('CHOICE calc'!$F$2:$F$541,MATCH(ROWS(A$6:A85),'CHOICE calc'!$E$2:$E$541,0)),"")</f>
        <v/>
      </c>
      <c r="B85" s="409">
        <f>IFERROR(INDEX('CHOICE calc'!$G$2:$G$541,MATCH(ROWS(A$6:A85),'CHOICE calc'!$E$2:$E$541,0)),"")</f>
        <v/>
      </c>
      <c r="C85" s="297">
        <f>IFERROR(INDEX('CHOICE calc'!$H$2:$H$541,MATCH(ROWS(A$6:A85),'CHOICE calc'!$E$2:$E$541,0)),"")</f>
        <v/>
      </c>
      <c r="D85" s="268">
        <f>IFERROR(INDEX('CHOICE calc'!$I$2:$I$541,MATCH(ROWS(A$6:A85),'CHOICE calc'!$E$2:$E$541,0)),"")</f>
        <v/>
      </c>
      <c r="E85" s="297">
        <f>IFERROR(INDEX('CHOICE calc'!$J$2:$J$541,MATCH(ROWS(A$6:A85),'CHOICE calc'!$E$2:$E$541,0)),"")</f>
        <v/>
      </c>
      <c r="F85" s="268">
        <f>IFERROR(INDEX('CHOICE calc'!$K$2:$K$541,MATCH(ROWS(A$6:A85),'CHOICE calc'!$E$2:$E$541,0)),"")</f>
        <v/>
      </c>
      <c r="G85" s="297">
        <f>IFERROR(INDEX('CHOICE calc'!$L$2:$L$541,MATCH(ROWS(A$6:A85),'CHOICE calc'!$E$2:$E$541,0)),"")</f>
        <v/>
      </c>
      <c r="H85" s="297">
        <f>IFERROR(INDEX('CHOICE calc'!$A$2:$A$541,MATCH(ROWS(A$6:A85),'CHOICE calc'!$E$2:$E$541,0)),"")</f>
        <v/>
      </c>
      <c r="I85" s="236" t="n"/>
      <c r="J85" s="236" t="n"/>
      <c r="K85" s="236" t="n"/>
      <c r="L85" s="236" t="n"/>
    </row>
    <row r="86" ht="15.75" customHeight="1" s="372">
      <c r="A86" s="408">
        <f>IFERROR(INDEX('CHOICE calc'!$F$2:$F$541,MATCH(ROWS(A$6:A86),'CHOICE calc'!$E$2:$E$541,0)),"")</f>
        <v/>
      </c>
      <c r="B86" s="409">
        <f>IFERROR(INDEX('CHOICE calc'!$G$2:$G$541,MATCH(ROWS(A$6:A86),'CHOICE calc'!$E$2:$E$541,0)),"")</f>
        <v/>
      </c>
      <c r="C86" s="297">
        <f>IFERROR(INDEX('CHOICE calc'!$H$2:$H$541,MATCH(ROWS(A$6:A86),'CHOICE calc'!$E$2:$E$541,0)),"")</f>
        <v/>
      </c>
      <c r="D86" s="268">
        <f>IFERROR(INDEX('CHOICE calc'!$I$2:$I$541,MATCH(ROWS(A$6:A86),'CHOICE calc'!$E$2:$E$541,0)),"")</f>
        <v/>
      </c>
      <c r="E86" s="297">
        <f>IFERROR(INDEX('CHOICE calc'!$J$2:$J$541,MATCH(ROWS(A$6:A86),'CHOICE calc'!$E$2:$E$541,0)),"")</f>
        <v/>
      </c>
      <c r="F86" s="268">
        <f>IFERROR(INDEX('CHOICE calc'!$K$2:$K$541,MATCH(ROWS(A$6:A86),'CHOICE calc'!$E$2:$E$541,0)),"")</f>
        <v/>
      </c>
      <c r="G86" s="297">
        <f>IFERROR(INDEX('CHOICE calc'!$L$2:$L$541,MATCH(ROWS(A$6:A86),'CHOICE calc'!$E$2:$E$541,0)),"")</f>
        <v/>
      </c>
      <c r="H86" s="297">
        <f>IFERROR(INDEX('CHOICE calc'!$A$2:$A$541,MATCH(ROWS(A$6:A86),'CHOICE calc'!$E$2:$E$541,0)),"")</f>
        <v/>
      </c>
      <c r="I86" s="236" t="n"/>
      <c r="J86" s="236" t="n"/>
      <c r="K86" s="236" t="n"/>
      <c r="L86" s="236" t="n"/>
    </row>
    <row r="87" ht="15.75" customHeight="1" s="372">
      <c r="A87" s="408">
        <f>IFERROR(INDEX('CHOICE calc'!$F$2:$F$541,MATCH(ROWS(A$6:A87),'CHOICE calc'!$E$2:$E$541,0)),"")</f>
        <v/>
      </c>
      <c r="B87" s="409">
        <f>IFERROR(INDEX('CHOICE calc'!$G$2:$G$541,MATCH(ROWS(A$6:A87),'CHOICE calc'!$E$2:$E$541,0)),"")</f>
        <v/>
      </c>
      <c r="C87" s="297">
        <f>IFERROR(INDEX('CHOICE calc'!$H$2:$H$541,MATCH(ROWS(A$6:A87),'CHOICE calc'!$E$2:$E$541,0)),"")</f>
        <v/>
      </c>
      <c r="D87" s="268">
        <f>IFERROR(INDEX('CHOICE calc'!$I$2:$I$541,MATCH(ROWS(A$6:A87),'CHOICE calc'!$E$2:$E$541,0)),"")</f>
        <v/>
      </c>
      <c r="E87" s="297">
        <f>IFERROR(INDEX('CHOICE calc'!$J$2:$J$541,MATCH(ROWS(A$6:A87),'CHOICE calc'!$E$2:$E$541,0)),"")</f>
        <v/>
      </c>
      <c r="F87" s="268">
        <f>IFERROR(INDEX('CHOICE calc'!$K$2:$K$541,MATCH(ROWS(A$6:A87),'CHOICE calc'!$E$2:$E$541,0)),"")</f>
        <v/>
      </c>
      <c r="G87" s="297">
        <f>IFERROR(INDEX('CHOICE calc'!$L$2:$L$541,MATCH(ROWS(A$6:A87),'CHOICE calc'!$E$2:$E$541,0)),"")</f>
        <v/>
      </c>
      <c r="H87" s="297">
        <f>IFERROR(INDEX('CHOICE calc'!$A$2:$A$541,MATCH(ROWS(A$6:A87),'CHOICE calc'!$E$2:$E$541,0)),"")</f>
        <v/>
      </c>
      <c r="I87" s="236" t="n"/>
      <c r="J87" s="236" t="n"/>
      <c r="K87" s="236" t="n"/>
      <c r="L87" s="236" t="n"/>
    </row>
    <row r="88" ht="15.75" customHeight="1" s="372">
      <c r="A88" s="408">
        <f>IFERROR(INDEX('CHOICE calc'!$F$2:$F$541,MATCH(ROWS(A$6:A88),'CHOICE calc'!$E$2:$E$541,0)),"")</f>
        <v/>
      </c>
      <c r="B88" s="409">
        <f>IFERROR(INDEX('CHOICE calc'!$G$2:$G$541,MATCH(ROWS(A$6:A88),'CHOICE calc'!$E$2:$E$541,0)),"")</f>
        <v/>
      </c>
      <c r="C88" s="297">
        <f>IFERROR(INDEX('CHOICE calc'!$H$2:$H$541,MATCH(ROWS(A$6:A88),'CHOICE calc'!$E$2:$E$541,0)),"")</f>
        <v/>
      </c>
      <c r="D88" s="268">
        <f>IFERROR(INDEX('CHOICE calc'!$I$2:$I$541,MATCH(ROWS(A$6:A88),'CHOICE calc'!$E$2:$E$541,0)),"")</f>
        <v/>
      </c>
      <c r="E88" s="297">
        <f>IFERROR(INDEX('CHOICE calc'!$J$2:$J$541,MATCH(ROWS(A$6:A88),'CHOICE calc'!$E$2:$E$541,0)),"")</f>
        <v/>
      </c>
      <c r="F88" s="268">
        <f>IFERROR(INDEX('CHOICE calc'!$K$2:$K$541,MATCH(ROWS(A$6:A88),'CHOICE calc'!$E$2:$E$541,0)),"")</f>
        <v/>
      </c>
      <c r="G88" s="297">
        <f>IFERROR(INDEX('CHOICE calc'!$L$2:$L$541,MATCH(ROWS(A$6:A88),'CHOICE calc'!$E$2:$E$541,0)),"")</f>
        <v/>
      </c>
      <c r="H88" s="297">
        <f>IFERROR(INDEX('CHOICE calc'!$A$2:$A$541,MATCH(ROWS(A$6:A88),'CHOICE calc'!$E$2:$E$541,0)),"")</f>
        <v/>
      </c>
      <c r="I88" s="236" t="n"/>
      <c r="J88" s="236" t="n"/>
      <c r="K88" s="236" t="n"/>
      <c r="L88" s="236" t="n"/>
    </row>
    <row r="89" ht="15.75" customHeight="1" s="372">
      <c r="A89" s="408">
        <f>IFERROR(INDEX('CHOICE calc'!$F$2:$F$541,MATCH(ROWS(A$6:A89),'CHOICE calc'!$E$2:$E$541,0)),"")</f>
        <v/>
      </c>
      <c r="B89" s="409">
        <f>IFERROR(INDEX('CHOICE calc'!$G$2:$G$541,MATCH(ROWS(A$6:A89),'CHOICE calc'!$E$2:$E$541,0)),"")</f>
        <v/>
      </c>
      <c r="C89" s="297">
        <f>IFERROR(INDEX('CHOICE calc'!$H$2:$H$541,MATCH(ROWS(A$6:A89),'CHOICE calc'!$E$2:$E$541,0)),"")</f>
        <v/>
      </c>
      <c r="D89" s="268">
        <f>IFERROR(INDEX('CHOICE calc'!$I$2:$I$541,MATCH(ROWS(A$6:A89),'CHOICE calc'!$E$2:$E$541,0)),"")</f>
        <v/>
      </c>
      <c r="E89" s="297">
        <f>IFERROR(INDEX('CHOICE calc'!$J$2:$J$541,MATCH(ROWS(A$6:A89),'CHOICE calc'!$E$2:$E$541,0)),"")</f>
        <v/>
      </c>
      <c r="F89" s="268">
        <f>IFERROR(INDEX('CHOICE calc'!$K$2:$K$541,MATCH(ROWS(A$6:A89),'CHOICE calc'!$E$2:$E$541,0)),"")</f>
        <v/>
      </c>
      <c r="G89" s="297">
        <f>IFERROR(INDEX('CHOICE calc'!$L$2:$L$541,MATCH(ROWS(A$6:A89),'CHOICE calc'!$E$2:$E$541,0)),"")</f>
        <v/>
      </c>
      <c r="H89" s="297">
        <f>IFERROR(INDEX('CHOICE calc'!$A$2:$A$541,MATCH(ROWS(A$6:A89),'CHOICE calc'!$E$2:$E$541,0)),"")</f>
        <v/>
      </c>
      <c r="I89" s="236" t="n"/>
      <c r="J89" s="236" t="n"/>
      <c r="K89" s="236" t="n"/>
      <c r="L89" s="236" t="n"/>
    </row>
    <row r="90" ht="15.75" customHeight="1" s="372">
      <c r="A90" s="408">
        <f>IFERROR(INDEX('CHOICE calc'!$F$2:$F$541,MATCH(ROWS(A$6:A90),'CHOICE calc'!$E$2:$E$541,0)),"")</f>
        <v/>
      </c>
      <c r="B90" s="409">
        <f>IFERROR(INDEX('CHOICE calc'!$G$2:$G$541,MATCH(ROWS(A$6:A90),'CHOICE calc'!$E$2:$E$541,0)),"")</f>
        <v/>
      </c>
      <c r="C90" s="297">
        <f>IFERROR(INDEX('CHOICE calc'!$H$2:$H$541,MATCH(ROWS(A$6:A90),'CHOICE calc'!$E$2:$E$541,0)),"")</f>
        <v/>
      </c>
      <c r="D90" s="268">
        <f>IFERROR(INDEX('CHOICE calc'!$I$2:$I$541,MATCH(ROWS(A$6:A90),'CHOICE calc'!$E$2:$E$541,0)),"")</f>
        <v/>
      </c>
      <c r="E90" s="297">
        <f>IFERROR(INDEX('CHOICE calc'!$J$2:$J$541,MATCH(ROWS(A$6:A90),'CHOICE calc'!$E$2:$E$541,0)),"")</f>
        <v/>
      </c>
      <c r="F90" s="268">
        <f>IFERROR(INDEX('CHOICE calc'!$K$2:$K$541,MATCH(ROWS(A$6:A90),'CHOICE calc'!$E$2:$E$541,0)),"")</f>
        <v/>
      </c>
      <c r="G90" s="297">
        <f>IFERROR(INDEX('CHOICE calc'!$L$2:$L$541,MATCH(ROWS(A$6:A90),'CHOICE calc'!$E$2:$E$541,0)),"")</f>
        <v/>
      </c>
      <c r="H90" s="297">
        <f>IFERROR(INDEX('CHOICE calc'!$A$2:$A$541,MATCH(ROWS(A$6:A90),'CHOICE calc'!$E$2:$E$541,0)),"")</f>
        <v/>
      </c>
      <c r="I90" s="236" t="n"/>
      <c r="J90" s="236" t="n"/>
      <c r="K90" s="236" t="n"/>
      <c r="L90" s="236" t="n"/>
    </row>
    <row r="91" ht="15.75" customHeight="1" s="372">
      <c r="A91" s="408">
        <f>IFERROR(INDEX('CHOICE calc'!$F$2:$F$541,MATCH(ROWS(A$6:A91),'CHOICE calc'!$E$2:$E$541,0)),"")</f>
        <v/>
      </c>
      <c r="B91" s="409">
        <f>IFERROR(INDEX('CHOICE calc'!$G$2:$G$541,MATCH(ROWS(A$6:A91),'CHOICE calc'!$E$2:$E$541,0)),"")</f>
        <v/>
      </c>
      <c r="C91" s="297">
        <f>IFERROR(INDEX('CHOICE calc'!$H$2:$H$541,MATCH(ROWS(A$6:A91),'CHOICE calc'!$E$2:$E$541,0)),"")</f>
        <v/>
      </c>
      <c r="D91" s="268">
        <f>IFERROR(INDEX('CHOICE calc'!$I$2:$I$541,MATCH(ROWS(A$6:A91),'CHOICE calc'!$E$2:$E$541,0)),"")</f>
        <v/>
      </c>
      <c r="E91" s="297">
        <f>IFERROR(INDEX('CHOICE calc'!$J$2:$J$541,MATCH(ROWS(A$6:A91),'CHOICE calc'!$E$2:$E$541,0)),"")</f>
        <v/>
      </c>
      <c r="F91" s="268">
        <f>IFERROR(INDEX('CHOICE calc'!$K$2:$K$541,MATCH(ROWS(A$6:A91),'CHOICE calc'!$E$2:$E$541,0)),"")</f>
        <v/>
      </c>
      <c r="G91" s="297">
        <f>IFERROR(INDEX('CHOICE calc'!$L$2:$L$541,MATCH(ROWS(A$6:A91),'CHOICE calc'!$E$2:$E$541,0)),"")</f>
        <v/>
      </c>
      <c r="H91" s="297">
        <f>IFERROR(INDEX('CHOICE calc'!$A$2:$A$541,MATCH(ROWS(A$6:A91),'CHOICE calc'!$E$2:$E$541,0)),"")</f>
        <v/>
      </c>
      <c r="I91" s="236" t="n"/>
      <c r="J91" s="236" t="n"/>
      <c r="K91" s="236" t="n"/>
      <c r="L91" s="236" t="n"/>
    </row>
    <row r="92" ht="15.75" customHeight="1" s="372">
      <c r="A92" s="408">
        <f>IFERROR(INDEX('CHOICE calc'!$F$2:$F$541,MATCH(ROWS(A$6:A92),'CHOICE calc'!$E$2:$E$541,0)),"")</f>
        <v/>
      </c>
      <c r="B92" s="409">
        <f>IFERROR(INDEX('CHOICE calc'!$G$2:$G$541,MATCH(ROWS(A$6:A92),'CHOICE calc'!$E$2:$E$541,0)),"")</f>
        <v/>
      </c>
      <c r="C92" s="297">
        <f>IFERROR(INDEX('CHOICE calc'!$H$2:$H$541,MATCH(ROWS(A$6:A92),'CHOICE calc'!$E$2:$E$541,0)),"")</f>
        <v/>
      </c>
      <c r="D92" s="268">
        <f>IFERROR(INDEX('CHOICE calc'!$I$2:$I$541,MATCH(ROWS(A$6:A92),'CHOICE calc'!$E$2:$E$541,0)),"")</f>
        <v/>
      </c>
      <c r="E92" s="297">
        <f>IFERROR(INDEX('CHOICE calc'!$J$2:$J$541,MATCH(ROWS(A$6:A92),'CHOICE calc'!$E$2:$E$541,0)),"")</f>
        <v/>
      </c>
      <c r="F92" s="268">
        <f>IFERROR(INDEX('CHOICE calc'!$K$2:$K$541,MATCH(ROWS(A$6:A92),'CHOICE calc'!$E$2:$E$541,0)),"")</f>
        <v/>
      </c>
      <c r="G92" s="297">
        <f>IFERROR(INDEX('CHOICE calc'!$L$2:$L$541,MATCH(ROWS(A$6:A92),'CHOICE calc'!$E$2:$E$541,0)),"")</f>
        <v/>
      </c>
      <c r="H92" s="297">
        <f>IFERROR(INDEX('CHOICE calc'!$A$2:$A$541,MATCH(ROWS(A$6:A92),'CHOICE calc'!$E$2:$E$541,0)),"")</f>
        <v/>
      </c>
      <c r="I92" s="236" t="n"/>
      <c r="J92" s="236" t="n"/>
      <c r="K92" s="236" t="n"/>
      <c r="L92" s="236" t="n"/>
    </row>
    <row r="93" ht="15.75" customHeight="1" s="372">
      <c r="A93" s="408">
        <f>IFERROR(INDEX('CHOICE calc'!$F$2:$F$541,MATCH(ROWS(A$6:A93),'CHOICE calc'!$E$2:$E$541,0)),"")</f>
        <v/>
      </c>
      <c r="B93" s="409">
        <f>IFERROR(INDEX('CHOICE calc'!$G$2:$G$541,MATCH(ROWS(A$6:A93),'CHOICE calc'!$E$2:$E$541,0)),"")</f>
        <v/>
      </c>
      <c r="C93" s="297">
        <f>IFERROR(INDEX('CHOICE calc'!$H$2:$H$541,MATCH(ROWS(A$6:A93),'CHOICE calc'!$E$2:$E$541,0)),"")</f>
        <v/>
      </c>
      <c r="D93" s="268">
        <f>IFERROR(INDEX('CHOICE calc'!$I$2:$I$541,MATCH(ROWS(A$6:A93),'CHOICE calc'!$E$2:$E$541,0)),"")</f>
        <v/>
      </c>
      <c r="E93" s="297">
        <f>IFERROR(INDEX('CHOICE calc'!$J$2:$J$541,MATCH(ROWS(A$6:A93),'CHOICE calc'!$E$2:$E$541,0)),"")</f>
        <v/>
      </c>
      <c r="F93" s="268">
        <f>IFERROR(INDEX('CHOICE calc'!$K$2:$K$541,MATCH(ROWS(A$6:A93),'CHOICE calc'!$E$2:$E$541,0)),"")</f>
        <v/>
      </c>
      <c r="G93" s="297">
        <f>IFERROR(INDEX('CHOICE calc'!$L$2:$L$541,MATCH(ROWS(A$6:A93),'CHOICE calc'!$E$2:$E$541,0)),"")</f>
        <v/>
      </c>
      <c r="H93" s="297">
        <f>IFERROR(INDEX('CHOICE calc'!$A$2:$A$541,MATCH(ROWS(A$6:A93),'CHOICE calc'!$E$2:$E$541,0)),"")</f>
        <v/>
      </c>
      <c r="I93" s="236" t="n"/>
      <c r="J93" s="236" t="n"/>
      <c r="K93" s="236" t="n"/>
      <c r="L93" s="236" t="n"/>
    </row>
    <row r="94" ht="15.75" customHeight="1" s="372">
      <c r="A94" s="408">
        <f>IFERROR(INDEX('CHOICE calc'!$F$2:$F$541,MATCH(ROWS(A$6:A94),'CHOICE calc'!$E$2:$E$541,0)),"")</f>
        <v/>
      </c>
      <c r="B94" s="409">
        <f>IFERROR(INDEX('CHOICE calc'!$G$2:$G$541,MATCH(ROWS(A$6:A94),'CHOICE calc'!$E$2:$E$541,0)),"")</f>
        <v/>
      </c>
      <c r="C94" s="297">
        <f>IFERROR(INDEX('CHOICE calc'!$H$2:$H$541,MATCH(ROWS(A$6:A94),'CHOICE calc'!$E$2:$E$541,0)),"")</f>
        <v/>
      </c>
      <c r="D94" s="268">
        <f>IFERROR(INDEX('CHOICE calc'!$I$2:$I$541,MATCH(ROWS(A$6:A94),'CHOICE calc'!$E$2:$E$541,0)),"")</f>
        <v/>
      </c>
      <c r="E94" s="297">
        <f>IFERROR(INDEX('CHOICE calc'!$J$2:$J$541,MATCH(ROWS(A$6:A94),'CHOICE calc'!$E$2:$E$541,0)),"")</f>
        <v/>
      </c>
      <c r="F94" s="268">
        <f>IFERROR(INDEX('CHOICE calc'!$K$2:$K$541,MATCH(ROWS(A$6:A94),'CHOICE calc'!$E$2:$E$541,0)),"")</f>
        <v/>
      </c>
      <c r="G94" s="297">
        <f>IFERROR(INDEX('CHOICE calc'!$L$2:$L$541,MATCH(ROWS(A$6:A94),'CHOICE calc'!$E$2:$E$541,0)),"")</f>
        <v/>
      </c>
      <c r="H94" s="297">
        <f>IFERROR(INDEX('CHOICE calc'!$A$2:$A$541,MATCH(ROWS(A$6:A94),'CHOICE calc'!$E$2:$E$541,0)),"")</f>
        <v/>
      </c>
      <c r="I94" s="236" t="n"/>
      <c r="J94" s="236" t="n"/>
      <c r="K94" s="236" t="n"/>
      <c r="L94" s="236" t="n"/>
    </row>
    <row r="95" ht="15.75" customHeight="1" s="372">
      <c r="A95" s="408">
        <f>IFERROR(INDEX('CHOICE calc'!$F$2:$F$541,MATCH(ROWS(A$6:A95),'CHOICE calc'!$E$2:$E$541,0)),"")</f>
        <v/>
      </c>
      <c r="B95" s="409">
        <f>IFERROR(INDEX('CHOICE calc'!$G$2:$G$541,MATCH(ROWS(A$6:A95),'CHOICE calc'!$E$2:$E$541,0)),"")</f>
        <v/>
      </c>
      <c r="C95" s="297">
        <f>IFERROR(INDEX('CHOICE calc'!$H$2:$H$541,MATCH(ROWS(A$6:A95),'CHOICE calc'!$E$2:$E$541,0)),"")</f>
        <v/>
      </c>
      <c r="D95" s="268">
        <f>IFERROR(INDEX('CHOICE calc'!$I$2:$I$541,MATCH(ROWS(A$6:A95),'CHOICE calc'!$E$2:$E$541,0)),"")</f>
        <v/>
      </c>
      <c r="E95" s="297">
        <f>IFERROR(INDEX('CHOICE calc'!$J$2:$J$541,MATCH(ROWS(A$6:A95),'CHOICE calc'!$E$2:$E$541,0)),"")</f>
        <v/>
      </c>
      <c r="F95" s="268">
        <f>IFERROR(INDEX('CHOICE calc'!$K$2:$K$541,MATCH(ROWS(A$6:A95),'CHOICE calc'!$E$2:$E$541,0)),"")</f>
        <v/>
      </c>
      <c r="G95" s="297">
        <f>IFERROR(INDEX('CHOICE calc'!$L$2:$L$541,MATCH(ROWS(A$6:A95),'CHOICE calc'!$E$2:$E$541,0)),"")</f>
        <v/>
      </c>
      <c r="H95" s="297">
        <f>IFERROR(INDEX('CHOICE calc'!$A$2:$A$541,MATCH(ROWS(A$6:A95),'CHOICE calc'!$E$2:$E$541,0)),"")</f>
        <v/>
      </c>
      <c r="I95" s="236" t="n"/>
      <c r="J95" s="236" t="n"/>
      <c r="K95" s="236" t="n"/>
      <c r="L95" s="236" t="n"/>
    </row>
    <row r="96" ht="15.75" customHeight="1" s="372">
      <c r="A96" s="408">
        <f>IFERROR(INDEX('CHOICE calc'!$F$2:$F$541,MATCH(ROWS(A$6:A96),'CHOICE calc'!$E$2:$E$541,0)),"")</f>
        <v/>
      </c>
      <c r="B96" s="409">
        <f>IFERROR(INDEX('CHOICE calc'!$G$2:$G$541,MATCH(ROWS(A$6:A96),'CHOICE calc'!$E$2:$E$541,0)),"")</f>
        <v/>
      </c>
      <c r="C96" s="297">
        <f>IFERROR(INDEX('CHOICE calc'!$H$2:$H$541,MATCH(ROWS(A$6:A96),'CHOICE calc'!$E$2:$E$541,0)),"")</f>
        <v/>
      </c>
      <c r="D96" s="268">
        <f>IFERROR(INDEX('CHOICE calc'!$I$2:$I$541,MATCH(ROWS(A$6:A96),'CHOICE calc'!$E$2:$E$541,0)),"")</f>
        <v/>
      </c>
      <c r="E96" s="297">
        <f>IFERROR(INDEX('CHOICE calc'!$J$2:$J$541,MATCH(ROWS(A$6:A96),'CHOICE calc'!$E$2:$E$541,0)),"")</f>
        <v/>
      </c>
      <c r="F96" s="268">
        <f>IFERROR(INDEX('CHOICE calc'!$K$2:$K$541,MATCH(ROWS(A$6:A96),'CHOICE calc'!$E$2:$E$541,0)),"")</f>
        <v/>
      </c>
      <c r="G96" s="297">
        <f>IFERROR(INDEX('CHOICE calc'!$L$2:$L$541,MATCH(ROWS(A$6:A96),'CHOICE calc'!$E$2:$E$541,0)),"")</f>
        <v/>
      </c>
      <c r="H96" s="297">
        <f>IFERROR(INDEX('CHOICE calc'!$A$2:$A$541,MATCH(ROWS(A$6:A96),'CHOICE calc'!$E$2:$E$541,0)),"")</f>
        <v/>
      </c>
      <c r="I96" s="236" t="n"/>
      <c r="J96" s="236" t="n"/>
      <c r="K96" s="236" t="n"/>
      <c r="L96" s="236" t="n"/>
    </row>
    <row r="97" ht="15.75" customHeight="1" s="372">
      <c r="A97" s="408">
        <f>IFERROR(INDEX('CHOICE calc'!$F$2:$F$541,MATCH(ROWS(A$6:A97),'CHOICE calc'!$E$2:$E$541,0)),"")</f>
        <v/>
      </c>
      <c r="B97" s="409">
        <f>IFERROR(INDEX('CHOICE calc'!$G$2:$G$541,MATCH(ROWS(A$6:A97),'CHOICE calc'!$E$2:$E$541,0)),"")</f>
        <v/>
      </c>
      <c r="C97" s="297">
        <f>IFERROR(INDEX('CHOICE calc'!$H$2:$H$541,MATCH(ROWS(A$6:A97),'CHOICE calc'!$E$2:$E$541,0)),"")</f>
        <v/>
      </c>
      <c r="D97" s="268">
        <f>IFERROR(INDEX('CHOICE calc'!$I$2:$I$541,MATCH(ROWS(A$6:A97),'CHOICE calc'!$E$2:$E$541,0)),"")</f>
        <v/>
      </c>
      <c r="E97" s="297">
        <f>IFERROR(INDEX('CHOICE calc'!$J$2:$J$541,MATCH(ROWS(A$6:A97),'CHOICE calc'!$E$2:$E$541,0)),"")</f>
        <v/>
      </c>
      <c r="F97" s="268">
        <f>IFERROR(INDEX('CHOICE calc'!$K$2:$K$541,MATCH(ROWS(A$6:A97),'CHOICE calc'!$E$2:$E$541,0)),"")</f>
        <v/>
      </c>
      <c r="G97" s="297">
        <f>IFERROR(INDEX('CHOICE calc'!$L$2:$L$541,MATCH(ROWS(A$6:A97),'CHOICE calc'!$E$2:$E$541,0)),"")</f>
        <v/>
      </c>
      <c r="H97" s="297">
        <f>IFERROR(INDEX('CHOICE calc'!$A$2:$A$541,MATCH(ROWS(A$6:A97),'CHOICE calc'!$E$2:$E$541,0)),"")</f>
        <v/>
      </c>
      <c r="I97" s="236" t="n"/>
      <c r="J97" s="236" t="n"/>
      <c r="K97" s="236" t="n"/>
      <c r="L97" s="236" t="n"/>
    </row>
    <row r="98" ht="15.75" customHeight="1" s="372">
      <c r="A98" s="408">
        <f>IFERROR(INDEX('CHOICE calc'!$F$2:$F$541,MATCH(ROWS(A$6:A98),'CHOICE calc'!$E$2:$E$541,0)),"")</f>
        <v/>
      </c>
      <c r="B98" s="409">
        <f>IFERROR(INDEX('CHOICE calc'!$G$2:$G$541,MATCH(ROWS(A$6:A98),'CHOICE calc'!$E$2:$E$541,0)),"")</f>
        <v/>
      </c>
      <c r="C98" s="297">
        <f>IFERROR(INDEX('CHOICE calc'!$H$2:$H$541,MATCH(ROWS(A$6:A98),'CHOICE calc'!$E$2:$E$541,0)),"")</f>
        <v/>
      </c>
      <c r="D98" s="268">
        <f>IFERROR(INDEX('CHOICE calc'!$I$2:$I$541,MATCH(ROWS(A$6:A98),'CHOICE calc'!$E$2:$E$541,0)),"")</f>
        <v/>
      </c>
      <c r="E98" s="297">
        <f>IFERROR(INDEX('CHOICE calc'!$J$2:$J$541,MATCH(ROWS(A$6:A98),'CHOICE calc'!$E$2:$E$541,0)),"")</f>
        <v/>
      </c>
      <c r="F98" s="268">
        <f>IFERROR(INDEX('CHOICE calc'!$K$2:$K$541,MATCH(ROWS(A$6:A98),'CHOICE calc'!$E$2:$E$541,0)),"")</f>
        <v/>
      </c>
      <c r="G98" s="297">
        <f>IFERROR(INDEX('CHOICE calc'!$L$2:$L$541,MATCH(ROWS(A$6:A98),'CHOICE calc'!$E$2:$E$541,0)),"")</f>
        <v/>
      </c>
      <c r="H98" s="297">
        <f>IFERROR(INDEX('CHOICE calc'!$A$2:$A$541,MATCH(ROWS(A$6:A98),'CHOICE calc'!$E$2:$E$541,0)),"")</f>
        <v/>
      </c>
      <c r="I98" s="236" t="n"/>
      <c r="J98" s="236" t="n"/>
      <c r="K98" s="236" t="n"/>
      <c r="L98" s="236" t="n"/>
    </row>
    <row r="99" ht="15.75" customHeight="1" s="372">
      <c r="A99" s="408">
        <f>IFERROR(INDEX('CHOICE calc'!$F$2:$F$541,MATCH(ROWS(A$6:A99),'CHOICE calc'!$E$2:$E$541,0)),"")</f>
        <v/>
      </c>
      <c r="B99" s="409">
        <f>IFERROR(INDEX('CHOICE calc'!$G$2:$G$541,MATCH(ROWS(A$6:A99),'CHOICE calc'!$E$2:$E$541,0)),"")</f>
        <v/>
      </c>
      <c r="C99" s="297">
        <f>IFERROR(INDEX('CHOICE calc'!$H$2:$H$541,MATCH(ROWS(A$6:A99),'CHOICE calc'!$E$2:$E$541,0)),"")</f>
        <v/>
      </c>
      <c r="D99" s="268">
        <f>IFERROR(INDEX('CHOICE calc'!$I$2:$I$541,MATCH(ROWS(A$6:A99),'CHOICE calc'!$E$2:$E$541,0)),"")</f>
        <v/>
      </c>
      <c r="E99" s="297">
        <f>IFERROR(INDEX('CHOICE calc'!$J$2:$J$541,MATCH(ROWS(A$6:A99),'CHOICE calc'!$E$2:$E$541,0)),"")</f>
        <v/>
      </c>
      <c r="F99" s="268">
        <f>IFERROR(INDEX('CHOICE calc'!$K$2:$K$541,MATCH(ROWS(A$6:A99),'CHOICE calc'!$E$2:$E$541,0)),"")</f>
        <v/>
      </c>
      <c r="G99" s="297">
        <f>IFERROR(INDEX('CHOICE calc'!$L$2:$L$541,MATCH(ROWS(A$6:A99),'CHOICE calc'!$E$2:$E$541,0)),"")</f>
        <v/>
      </c>
      <c r="H99" s="297">
        <f>IFERROR(INDEX('CHOICE calc'!$A$2:$A$541,MATCH(ROWS(A$6:A99),'CHOICE calc'!$E$2:$E$541,0)),"")</f>
        <v/>
      </c>
      <c r="I99" s="236" t="n"/>
      <c r="J99" s="236" t="n"/>
      <c r="K99" s="236" t="n"/>
      <c r="L99" s="236" t="n"/>
    </row>
    <row r="100" ht="15.75" customHeight="1" s="372">
      <c r="A100" s="408">
        <f>IFERROR(INDEX('CHOICE calc'!$F$2:$F$541,MATCH(ROWS(A$6:A100),'CHOICE calc'!$E$2:$E$541,0)),"")</f>
        <v/>
      </c>
      <c r="B100" s="409">
        <f>IFERROR(INDEX('CHOICE calc'!$G$2:$G$541,MATCH(ROWS(A$6:A100),'CHOICE calc'!$E$2:$E$541,0)),"")</f>
        <v/>
      </c>
      <c r="C100" s="297">
        <f>IFERROR(INDEX('CHOICE calc'!$H$2:$H$541,MATCH(ROWS(A$6:A100),'CHOICE calc'!$E$2:$E$541,0)),"")</f>
        <v/>
      </c>
      <c r="D100" s="268">
        <f>IFERROR(INDEX('CHOICE calc'!$I$2:$I$541,MATCH(ROWS(A$6:A100),'CHOICE calc'!$E$2:$E$541,0)),"")</f>
        <v/>
      </c>
      <c r="E100" s="297">
        <f>IFERROR(INDEX('CHOICE calc'!$J$2:$J$541,MATCH(ROWS(A$6:A100),'CHOICE calc'!$E$2:$E$541,0)),"")</f>
        <v/>
      </c>
      <c r="F100" s="268">
        <f>IFERROR(INDEX('CHOICE calc'!$K$2:$K$541,MATCH(ROWS(A$6:A100),'CHOICE calc'!$E$2:$E$541,0)),"")</f>
        <v/>
      </c>
      <c r="G100" s="297">
        <f>IFERROR(INDEX('CHOICE calc'!$L$2:$L$541,MATCH(ROWS(A$6:A100),'CHOICE calc'!$E$2:$E$541,0)),"")</f>
        <v/>
      </c>
      <c r="H100" s="297">
        <f>IFERROR(INDEX('CHOICE calc'!$A$2:$A$541,MATCH(ROWS(A$6:A100),'CHOICE calc'!$E$2:$E$541,0)),"")</f>
        <v/>
      </c>
      <c r="I100" s="236" t="n"/>
      <c r="J100" s="236" t="n"/>
      <c r="K100" s="236" t="n"/>
      <c r="L100" s="236" t="n"/>
    </row>
    <row r="101" ht="15.75" customHeight="1" s="372">
      <c r="A101" s="408">
        <f>IFERROR(INDEX('CHOICE calc'!$F$2:$F$541,MATCH(ROWS(A$6:A101),'CHOICE calc'!$E$2:$E$541,0)),"")</f>
        <v/>
      </c>
      <c r="B101" s="409">
        <f>IFERROR(INDEX('CHOICE calc'!$G$2:$G$541,MATCH(ROWS(A$6:A101),'CHOICE calc'!$E$2:$E$541,0)),"")</f>
        <v/>
      </c>
      <c r="C101" s="297">
        <f>IFERROR(INDEX('CHOICE calc'!$H$2:$H$541,MATCH(ROWS(A$6:A101),'CHOICE calc'!$E$2:$E$541,0)),"")</f>
        <v/>
      </c>
      <c r="D101" s="268">
        <f>IFERROR(INDEX('CHOICE calc'!$I$2:$I$541,MATCH(ROWS(A$6:A101),'CHOICE calc'!$E$2:$E$541,0)),"")</f>
        <v/>
      </c>
      <c r="E101" s="297">
        <f>IFERROR(INDEX('CHOICE calc'!$J$2:$J$541,MATCH(ROWS(A$6:A101),'CHOICE calc'!$E$2:$E$541,0)),"")</f>
        <v/>
      </c>
      <c r="F101" s="268">
        <f>IFERROR(INDEX('CHOICE calc'!$K$2:$K$541,MATCH(ROWS(A$6:A101),'CHOICE calc'!$E$2:$E$541,0)),"")</f>
        <v/>
      </c>
      <c r="G101" s="297">
        <f>IFERROR(INDEX('CHOICE calc'!$L$2:$L$541,MATCH(ROWS(A$6:A101),'CHOICE calc'!$E$2:$E$541,0)),"")</f>
        <v/>
      </c>
      <c r="H101" s="297">
        <f>IFERROR(INDEX('CHOICE calc'!$A$2:$A$541,MATCH(ROWS(A$6:A101),'CHOICE calc'!$E$2:$E$541,0)),"")</f>
        <v/>
      </c>
      <c r="I101" s="236" t="n"/>
      <c r="J101" s="236" t="n"/>
      <c r="K101" s="236" t="n"/>
      <c r="L101" s="236" t="n"/>
    </row>
    <row r="102" ht="15.75" customHeight="1" s="372">
      <c r="A102" s="408">
        <f>IFERROR(INDEX('CHOICE calc'!$F$2:$F$541,MATCH(ROWS(A$6:A102),'CHOICE calc'!$E$2:$E$541,0)),"")</f>
        <v/>
      </c>
      <c r="B102" s="409">
        <f>IFERROR(INDEX('CHOICE calc'!$G$2:$G$541,MATCH(ROWS(A$6:A102),'CHOICE calc'!$E$2:$E$541,0)),"")</f>
        <v/>
      </c>
      <c r="C102" s="297">
        <f>IFERROR(INDEX('CHOICE calc'!$H$2:$H$541,MATCH(ROWS(A$6:A102),'CHOICE calc'!$E$2:$E$541,0)),"")</f>
        <v/>
      </c>
      <c r="D102" s="268">
        <f>IFERROR(INDEX('CHOICE calc'!$I$2:$I$541,MATCH(ROWS(A$6:A102),'CHOICE calc'!$E$2:$E$541,0)),"")</f>
        <v/>
      </c>
      <c r="E102" s="297">
        <f>IFERROR(INDEX('CHOICE calc'!$J$2:$J$541,MATCH(ROWS(A$6:A102),'CHOICE calc'!$E$2:$E$541,0)),"")</f>
        <v/>
      </c>
      <c r="F102" s="268">
        <f>IFERROR(INDEX('CHOICE calc'!$K$2:$K$541,MATCH(ROWS(A$6:A102),'CHOICE calc'!$E$2:$E$541,0)),"")</f>
        <v/>
      </c>
      <c r="G102" s="297">
        <f>IFERROR(INDEX('CHOICE calc'!$L$2:$L$541,MATCH(ROWS(A$6:A102),'CHOICE calc'!$E$2:$E$541,0)),"")</f>
        <v/>
      </c>
      <c r="H102" s="297">
        <f>IFERROR(INDEX('CHOICE calc'!$A$2:$A$541,MATCH(ROWS(A$6:A102),'CHOICE calc'!$E$2:$E$541,0)),"")</f>
        <v/>
      </c>
      <c r="I102" s="236" t="n"/>
      <c r="J102" s="236" t="n"/>
      <c r="K102" s="236" t="n"/>
      <c r="L102" s="236" t="n"/>
    </row>
    <row r="103" ht="15.75" customHeight="1" s="372">
      <c r="A103" s="408">
        <f>IFERROR(INDEX('CHOICE calc'!$F$2:$F$541,MATCH(ROWS(A$6:A103),'CHOICE calc'!$E$2:$E$541,0)),"")</f>
        <v/>
      </c>
      <c r="B103" s="409">
        <f>IFERROR(INDEX('CHOICE calc'!$G$2:$G$541,MATCH(ROWS(A$6:A103),'CHOICE calc'!$E$2:$E$541,0)),"")</f>
        <v/>
      </c>
      <c r="C103" s="297">
        <f>IFERROR(INDEX('CHOICE calc'!$H$2:$H$541,MATCH(ROWS(A$6:A103),'CHOICE calc'!$E$2:$E$541,0)),"")</f>
        <v/>
      </c>
      <c r="D103" s="268">
        <f>IFERROR(INDEX('CHOICE calc'!$I$2:$I$541,MATCH(ROWS(A$6:A103),'CHOICE calc'!$E$2:$E$541,0)),"")</f>
        <v/>
      </c>
      <c r="E103" s="297">
        <f>IFERROR(INDEX('CHOICE calc'!$J$2:$J$541,MATCH(ROWS(A$6:A103),'CHOICE calc'!$E$2:$E$541,0)),"")</f>
        <v/>
      </c>
      <c r="F103" s="268">
        <f>IFERROR(INDEX('CHOICE calc'!$K$2:$K$541,MATCH(ROWS(A$6:A103),'CHOICE calc'!$E$2:$E$541,0)),"")</f>
        <v/>
      </c>
      <c r="G103" s="297">
        <f>IFERROR(INDEX('CHOICE calc'!$L$2:$L$541,MATCH(ROWS(A$6:A103),'CHOICE calc'!$E$2:$E$541,0)),"")</f>
        <v/>
      </c>
      <c r="H103" s="297">
        <f>IFERROR(INDEX('CHOICE calc'!$A$2:$A$541,MATCH(ROWS(A$6:A103),'CHOICE calc'!$E$2:$E$541,0)),"")</f>
        <v/>
      </c>
      <c r="I103" s="236" t="n"/>
      <c r="J103" s="236" t="n"/>
      <c r="K103" s="236" t="n"/>
      <c r="L103" s="236" t="n"/>
    </row>
    <row r="104" ht="15.75" customHeight="1" s="372">
      <c r="A104" s="408">
        <f>IFERROR(INDEX('CHOICE calc'!$F$2:$F$541,MATCH(ROWS(A$6:A104),'CHOICE calc'!$E$2:$E$541,0)),"")</f>
        <v/>
      </c>
      <c r="B104" s="409">
        <f>IFERROR(INDEX('CHOICE calc'!$G$2:$G$541,MATCH(ROWS(A$6:A104),'CHOICE calc'!$E$2:$E$541,0)),"")</f>
        <v/>
      </c>
      <c r="C104" s="297">
        <f>IFERROR(INDEX('CHOICE calc'!$H$2:$H$541,MATCH(ROWS(A$6:A104),'CHOICE calc'!$E$2:$E$541,0)),"")</f>
        <v/>
      </c>
      <c r="D104" s="268">
        <f>IFERROR(INDEX('CHOICE calc'!$I$2:$I$541,MATCH(ROWS(A$6:A104),'CHOICE calc'!$E$2:$E$541,0)),"")</f>
        <v/>
      </c>
      <c r="E104" s="297">
        <f>IFERROR(INDEX('CHOICE calc'!$J$2:$J$541,MATCH(ROWS(A$6:A104),'CHOICE calc'!$E$2:$E$541,0)),"")</f>
        <v/>
      </c>
      <c r="F104" s="268">
        <f>IFERROR(INDEX('CHOICE calc'!$K$2:$K$541,MATCH(ROWS(A$6:A104),'CHOICE calc'!$E$2:$E$541,0)),"")</f>
        <v/>
      </c>
      <c r="G104" s="297">
        <f>IFERROR(INDEX('CHOICE calc'!$L$2:$L$541,MATCH(ROWS(A$6:A104),'CHOICE calc'!$E$2:$E$541,0)),"")</f>
        <v/>
      </c>
      <c r="H104" s="297">
        <f>IFERROR(INDEX('CHOICE calc'!$A$2:$A$541,MATCH(ROWS(A$6:A104),'CHOICE calc'!$E$2:$E$541,0)),"")</f>
        <v/>
      </c>
      <c r="I104" s="236" t="n"/>
      <c r="J104" s="236" t="n"/>
      <c r="K104" s="236" t="n"/>
      <c r="L104" s="236" t="n"/>
    </row>
    <row r="105" ht="15.75" customHeight="1" s="372">
      <c r="A105" s="408">
        <f>IFERROR(INDEX('CHOICE calc'!$F$2:$F$541,MATCH(ROWS(A$6:A105),'CHOICE calc'!$E$2:$E$541,0)),"")</f>
        <v/>
      </c>
      <c r="B105" s="409">
        <f>IFERROR(INDEX('CHOICE calc'!$G$2:$G$541,MATCH(ROWS(A$6:A105),'CHOICE calc'!$E$2:$E$541,0)),"")</f>
        <v/>
      </c>
      <c r="C105" s="297">
        <f>IFERROR(INDEX('CHOICE calc'!$H$2:$H$541,MATCH(ROWS(A$6:A105),'CHOICE calc'!$E$2:$E$541,0)),"")</f>
        <v/>
      </c>
      <c r="D105" s="268">
        <f>IFERROR(INDEX('CHOICE calc'!$I$2:$I$541,MATCH(ROWS(A$6:A105),'CHOICE calc'!$E$2:$E$541,0)),"")</f>
        <v/>
      </c>
      <c r="E105" s="297">
        <f>IFERROR(INDEX('CHOICE calc'!$J$2:$J$541,MATCH(ROWS(A$6:A105),'CHOICE calc'!$E$2:$E$541,0)),"")</f>
        <v/>
      </c>
      <c r="F105" s="268">
        <f>IFERROR(INDEX('CHOICE calc'!$K$2:$K$541,MATCH(ROWS(A$6:A105),'CHOICE calc'!$E$2:$E$541,0)),"")</f>
        <v/>
      </c>
      <c r="G105" s="297">
        <f>IFERROR(INDEX('CHOICE calc'!$L$2:$L$541,MATCH(ROWS(A$6:A105),'CHOICE calc'!$E$2:$E$541,0)),"")</f>
        <v/>
      </c>
      <c r="H105" s="297">
        <f>IFERROR(INDEX('CHOICE calc'!$A$2:$A$541,MATCH(ROWS(A$6:A105),'CHOICE calc'!$E$2:$E$541,0)),"")</f>
        <v/>
      </c>
      <c r="I105" s="236" t="n"/>
      <c r="J105" s="236" t="n"/>
      <c r="K105" s="236" t="n"/>
      <c r="L105" s="236" t="n"/>
    </row>
    <row r="106" ht="15.75" customHeight="1" s="372">
      <c r="A106" s="408">
        <f>IFERROR(INDEX('CHOICE calc'!$F$2:$F$541,MATCH(ROWS(A$6:A106),'CHOICE calc'!$E$2:$E$541,0)),"")</f>
        <v/>
      </c>
      <c r="B106" s="409">
        <f>IFERROR(INDEX('CHOICE calc'!$G$2:$G$541,MATCH(ROWS(A$6:A106),'CHOICE calc'!$E$2:$E$541,0)),"")</f>
        <v/>
      </c>
      <c r="C106" s="297">
        <f>IFERROR(INDEX('CHOICE calc'!$H$2:$H$541,MATCH(ROWS(A$6:A106),'CHOICE calc'!$E$2:$E$541,0)),"")</f>
        <v/>
      </c>
      <c r="D106" s="268">
        <f>IFERROR(INDEX('CHOICE calc'!$I$2:$I$541,MATCH(ROWS(A$6:A106),'CHOICE calc'!$E$2:$E$541,0)),"")</f>
        <v/>
      </c>
      <c r="E106" s="297">
        <f>IFERROR(INDEX('CHOICE calc'!$J$2:$J$541,MATCH(ROWS(A$6:A106),'CHOICE calc'!$E$2:$E$541,0)),"")</f>
        <v/>
      </c>
      <c r="F106" s="268">
        <f>IFERROR(INDEX('CHOICE calc'!$K$2:$K$541,MATCH(ROWS(A$6:A106),'CHOICE calc'!$E$2:$E$541,0)),"")</f>
        <v/>
      </c>
      <c r="G106" s="297">
        <f>IFERROR(INDEX('CHOICE calc'!$L$2:$L$541,MATCH(ROWS(A$6:A106),'CHOICE calc'!$E$2:$E$541,0)),"")</f>
        <v/>
      </c>
      <c r="H106" s="297">
        <f>IFERROR(INDEX('CHOICE calc'!$A$2:$A$541,MATCH(ROWS(A$6:A106),'CHOICE calc'!$E$2:$E$541,0)),"")</f>
        <v/>
      </c>
      <c r="I106" s="236" t="n"/>
      <c r="J106" s="236" t="n"/>
      <c r="K106" s="236" t="n"/>
      <c r="L106" s="236" t="n"/>
    </row>
    <row r="107" ht="15.75" customHeight="1" s="372">
      <c r="A107" s="408">
        <f>IFERROR(INDEX('CHOICE calc'!$F$2:$F$541,MATCH(ROWS(A$6:A107),'CHOICE calc'!$E$2:$E$541,0)),"")</f>
        <v/>
      </c>
      <c r="B107" s="409">
        <f>IFERROR(INDEX('CHOICE calc'!$G$2:$G$541,MATCH(ROWS(A$6:A107),'CHOICE calc'!$E$2:$E$541,0)),"")</f>
        <v/>
      </c>
      <c r="C107" s="297">
        <f>IFERROR(INDEX('CHOICE calc'!$H$2:$H$541,MATCH(ROWS(A$6:A107),'CHOICE calc'!$E$2:$E$541,0)),"")</f>
        <v/>
      </c>
      <c r="D107" s="268">
        <f>IFERROR(INDEX('CHOICE calc'!$I$2:$I$541,MATCH(ROWS(A$6:A107),'CHOICE calc'!$E$2:$E$541,0)),"")</f>
        <v/>
      </c>
      <c r="E107" s="297">
        <f>IFERROR(INDEX('CHOICE calc'!$J$2:$J$541,MATCH(ROWS(A$6:A107),'CHOICE calc'!$E$2:$E$541,0)),"")</f>
        <v/>
      </c>
      <c r="F107" s="268">
        <f>IFERROR(INDEX('CHOICE calc'!$K$2:$K$541,MATCH(ROWS(A$6:A107),'CHOICE calc'!$E$2:$E$541,0)),"")</f>
        <v/>
      </c>
      <c r="G107" s="297">
        <f>IFERROR(INDEX('CHOICE calc'!$L$2:$L$541,MATCH(ROWS(A$6:A107),'CHOICE calc'!$E$2:$E$541,0)),"")</f>
        <v/>
      </c>
      <c r="H107" s="297">
        <f>IFERROR(INDEX('CHOICE calc'!$A$2:$A$541,MATCH(ROWS(A$6:A107),'CHOICE calc'!$E$2:$E$541,0)),"")</f>
        <v/>
      </c>
      <c r="I107" s="236" t="n"/>
      <c r="J107" s="236" t="n"/>
      <c r="K107" s="236" t="n"/>
      <c r="L107" s="236" t="n"/>
    </row>
    <row r="108" ht="15.75" customHeight="1" s="372">
      <c r="A108" s="408">
        <f>IFERROR(INDEX('CHOICE calc'!$F$2:$F$541,MATCH(ROWS(A$6:A108),'CHOICE calc'!$E$2:$E$541,0)),"")</f>
        <v/>
      </c>
      <c r="B108" s="409">
        <f>IFERROR(INDEX('CHOICE calc'!$G$2:$G$541,MATCH(ROWS(A$6:A108),'CHOICE calc'!$E$2:$E$541,0)),"")</f>
        <v/>
      </c>
      <c r="C108" s="297">
        <f>IFERROR(INDEX('CHOICE calc'!$H$2:$H$541,MATCH(ROWS(A$6:A108),'CHOICE calc'!$E$2:$E$541,0)),"")</f>
        <v/>
      </c>
      <c r="D108" s="268">
        <f>IFERROR(INDEX('CHOICE calc'!$I$2:$I$541,MATCH(ROWS(A$6:A108),'CHOICE calc'!$E$2:$E$541,0)),"")</f>
        <v/>
      </c>
      <c r="E108" s="297">
        <f>IFERROR(INDEX('CHOICE calc'!$J$2:$J$541,MATCH(ROWS(A$6:A108),'CHOICE calc'!$E$2:$E$541,0)),"")</f>
        <v/>
      </c>
      <c r="F108" s="268">
        <f>IFERROR(INDEX('CHOICE calc'!$K$2:$K$541,MATCH(ROWS(A$6:A108),'CHOICE calc'!$E$2:$E$541,0)),"")</f>
        <v/>
      </c>
      <c r="G108" s="297">
        <f>IFERROR(INDEX('CHOICE calc'!$L$2:$L$541,MATCH(ROWS(A$6:A108),'CHOICE calc'!$E$2:$E$541,0)),"")</f>
        <v/>
      </c>
      <c r="H108" s="297">
        <f>IFERROR(INDEX('CHOICE calc'!$A$2:$A$541,MATCH(ROWS(A$6:A108),'CHOICE calc'!$E$2:$E$541,0)),"")</f>
        <v/>
      </c>
      <c r="I108" s="236" t="n"/>
      <c r="J108" s="236" t="n"/>
      <c r="K108" s="236" t="n"/>
      <c r="L108" s="236" t="n"/>
    </row>
    <row r="109" ht="15.75" customHeight="1" s="372">
      <c r="A109" s="408">
        <f>IFERROR(INDEX('CHOICE calc'!$F$2:$F$541,MATCH(ROWS(A$6:A109),'CHOICE calc'!$E$2:$E$541,0)),"")</f>
        <v/>
      </c>
      <c r="B109" s="409">
        <f>IFERROR(INDEX('CHOICE calc'!$G$2:$G$541,MATCH(ROWS(A$6:A109),'CHOICE calc'!$E$2:$E$541,0)),"")</f>
        <v/>
      </c>
      <c r="C109" s="297">
        <f>IFERROR(INDEX('CHOICE calc'!$H$2:$H$541,MATCH(ROWS(A$6:A109),'CHOICE calc'!$E$2:$E$541,0)),"")</f>
        <v/>
      </c>
      <c r="D109" s="268">
        <f>IFERROR(INDEX('CHOICE calc'!$I$2:$I$541,MATCH(ROWS(A$6:A109),'CHOICE calc'!$E$2:$E$541,0)),"")</f>
        <v/>
      </c>
      <c r="E109" s="297">
        <f>IFERROR(INDEX('CHOICE calc'!$J$2:$J$541,MATCH(ROWS(A$6:A109),'CHOICE calc'!$E$2:$E$541,0)),"")</f>
        <v/>
      </c>
      <c r="F109" s="268">
        <f>IFERROR(INDEX('CHOICE calc'!$K$2:$K$541,MATCH(ROWS(A$6:A109),'CHOICE calc'!$E$2:$E$541,0)),"")</f>
        <v/>
      </c>
      <c r="G109" s="297">
        <f>IFERROR(INDEX('CHOICE calc'!$L$2:$L$541,MATCH(ROWS(A$6:A109),'CHOICE calc'!$E$2:$E$541,0)),"")</f>
        <v/>
      </c>
      <c r="H109" s="297">
        <f>IFERROR(INDEX('CHOICE calc'!$A$2:$A$541,MATCH(ROWS(A$6:A109),'CHOICE calc'!$E$2:$E$541,0)),"")</f>
        <v/>
      </c>
      <c r="I109" s="236" t="n"/>
      <c r="J109" s="236" t="n"/>
      <c r="K109" s="236" t="n"/>
      <c r="L109" s="236" t="n"/>
    </row>
    <row r="110" ht="15.75" customHeight="1" s="372">
      <c r="A110" s="408">
        <f>IFERROR(INDEX('CHOICE calc'!$F$2:$F$541,MATCH(ROWS(A$6:A110),'CHOICE calc'!$E$2:$E$541,0)),"")</f>
        <v/>
      </c>
      <c r="B110" s="409">
        <f>IFERROR(INDEX('CHOICE calc'!$G$2:$G$541,MATCH(ROWS(A$6:A110),'CHOICE calc'!$E$2:$E$541,0)),"")</f>
        <v/>
      </c>
      <c r="C110" s="297">
        <f>IFERROR(INDEX('CHOICE calc'!$H$2:$H$541,MATCH(ROWS(A$6:A110),'CHOICE calc'!$E$2:$E$541,0)),"")</f>
        <v/>
      </c>
      <c r="D110" s="268">
        <f>IFERROR(INDEX('CHOICE calc'!$I$2:$I$541,MATCH(ROWS(A$6:A110),'CHOICE calc'!$E$2:$E$541,0)),"")</f>
        <v/>
      </c>
      <c r="E110" s="297">
        <f>IFERROR(INDEX('CHOICE calc'!$J$2:$J$541,MATCH(ROWS(A$6:A110),'CHOICE calc'!$E$2:$E$541,0)),"")</f>
        <v/>
      </c>
      <c r="F110" s="268">
        <f>IFERROR(INDEX('CHOICE calc'!$K$2:$K$541,MATCH(ROWS(A$6:A110),'CHOICE calc'!$E$2:$E$541,0)),"")</f>
        <v/>
      </c>
      <c r="G110" s="297">
        <f>IFERROR(INDEX('CHOICE calc'!$L$2:$L$541,MATCH(ROWS(A$6:A110),'CHOICE calc'!$E$2:$E$541,0)),"")</f>
        <v/>
      </c>
      <c r="H110" s="297">
        <f>IFERROR(INDEX('CHOICE calc'!$A$2:$A$541,MATCH(ROWS(A$6:A110),'CHOICE calc'!$E$2:$E$541,0)),"")</f>
        <v/>
      </c>
      <c r="I110" s="236" t="n"/>
      <c r="J110" s="236" t="n"/>
      <c r="K110" s="236" t="n"/>
      <c r="L110" s="236" t="n"/>
    </row>
    <row r="111" ht="15.75" customHeight="1" s="372">
      <c r="A111" s="408">
        <f>IFERROR(INDEX('CHOICE calc'!$F$2:$F$541,MATCH(ROWS(A$6:A111),'CHOICE calc'!$E$2:$E$541,0)),"")</f>
        <v/>
      </c>
      <c r="B111" s="409">
        <f>IFERROR(INDEX('CHOICE calc'!$G$2:$G$541,MATCH(ROWS(A$6:A111),'CHOICE calc'!$E$2:$E$541,0)),"")</f>
        <v/>
      </c>
      <c r="C111" s="297">
        <f>IFERROR(INDEX('CHOICE calc'!$H$2:$H$541,MATCH(ROWS(A$6:A111),'CHOICE calc'!$E$2:$E$541,0)),"")</f>
        <v/>
      </c>
      <c r="D111" s="268">
        <f>IFERROR(INDEX('CHOICE calc'!$I$2:$I$541,MATCH(ROWS(A$6:A111),'CHOICE calc'!$E$2:$E$541,0)),"")</f>
        <v/>
      </c>
      <c r="E111" s="297">
        <f>IFERROR(INDEX('CHOICE calc'!$J$2:$J$541,MATCH(ROWS(A$6:A111),'CHOICE calc'!$E$2:$E$541,0)),"")</f>
        <v/>
      </c>
      <c r="F111" s="268">
        <f>IFERROR(INDEX('CHOICE calc'!$K$2:$K$541,MATCH(ROWS(A$6:A111),'CHOICE calc'!$E$2:$E$541,0)),"")</f>
        <v/>
      </c>
      <c r="G111" s="297">
        <f>IFERROR(INDEX('CHOICE calc'!$L$2:$L$541,MATCH(ROWS(A$6:A111),'CHOICE calc'!$E$2:$E$541,0)),"")</f>
        <v/>
      </c>
      <c r="H111" s="297">
        <f>IFERROR(INDEX('CHOICE calc'!$A$2:$A$541,MATCH(ROWS(A$6:A111),'CHOICE calc'!$E$2:$E$541,0)),"")</f>
        <v/>
      </c>
      <c r="I111" s="236" t="n"/>
      <c r="J111" s="236" t="n"/>
      <c r="K111" s="236" t="n"/>
      <c r="L111" s="236" t="n"/>
    </row>
    <row r="112" ht="15.75" customHeight="1" s="372">
      <c r="A112" s="408">
        <f>IFERROR(INDEX('CHOICE calc'!$F$2:$F$541,MATCH(ROWS(A$6:A112),'CHOICE calc'!$E$2:$E$541,0)),"")</f>
        <v/>
      </c>
      <c r="B112" s="409">
        <f>IFERROR(INDEX('CHOICE calc'!$G$2:$G$541,MATCH(ROWS(A$6:A112),'CHOICE calc'!$E$2:$E$541,0)),"")</f>
        <v/>
      </c>
      <c r="C112" s="297">
        <f>IFERROR(INDEX('CHOICE calc'!$H$2:$H$541,MATCH(ROWS(A$6:A112),'CHOICE calc'!$E$2:$E$541,0)),"")</f>
        <v/>
      </c>
      <c r="D112" s="268">
        <f>IFERROR(INDEX('CHOICE calc'!$I$2:$I$541,MATCH(ROWS(A$6:A112),'CHOICE calc'!$E$2:$E$541,0)),"")</f>
        <v/>
      </c>
      <c r="E112" s="297">
        <f>IFERROR(INDEX('CHOICE calc'!$J$2:$J$541,MATCH(ROWS(A$6:A112),'CHOICE calc'!$E$2:$E$541,0)),"")</f>
        <v/>
      </c>
      <c r="F112" s="268">
        <f>IFERROR(INDEX('CHOICE calc'!$K$2:$K$541,MATCH(ROWS(A$6:A112),'CHOICE calc'!$E$2:$E$541,0)),"")</f>
        <v/>
      </c>
      <c r="G112" s="297">
        <f>IFERROR(INDEX('CHOICE calc'!$L$2:$L$541,MATCH(ROWS(A$6:A112),'CHOICE calc'!$E$2:$E$541,0)),"")</f>
        <v/>
      </c>
      <c r="H112" s="297">
        <f>IFERROR(INDEX('CHOICE calc'!$A$2:$A$541,MATCH(ROWS(A$6:A112),'CHOICE calc'!$E$2:$E$541,0)),"")</f>
        <v/>
      </c>
      <c r="I112" s="236" t="n"/>
      <c r="J112" s="236" t="n"/>
      <c r="K112" s="236" t="n"/>
      <c r="L112" s="236" t="n"/>
    </row>
    <row r="113" ht="15.75" customHeight="1" s="372">
      <c r="A113" s="408">
        <f>IFERROR(INDEX('CHOICE calc'!$F$2:$F$541,MATCH(ROWS(A$6:A113),'CHOICE calc'!$E$2:$E$541,0)),"")</f>
        <v/>
      </c>
      <c r="B113" s="409">
        <f>IFERROR(INDEX('CHOICE calc'!$G$2:$G$541,MATCH(ROWS(A$6:A113),'CHOICE calc'!$E$2:$E$541,0)),"")</f>
        <v/>
      </c>
      <c r="C113" s="297">
        <f>IFERROR(INDEX('CHOICE calc'!$H$2:$H$541,MATCH(ROWS(A$6:A113),'CHOICE calc'!$E$2:$E$541,0)),"")</f>
        <v/>
      </c>
      <c r="D113" s="268">
        <f>IFERROR(INDEX('CHOICE calc'!$I$2:$I$541,MATCH(ROWS(A$6:A113),'CHOICE calc'!$E$2:$E$541,0)),"")</f>
        <v/>
      </c>
      <c r="E113" s="297">
        <f>IFERROR(INDEX('CHOICE calc'!$J$2:$J$541,MATCH(ROWS(A$6:A113),'CHOICE calc'!$E$2:$E$541,0)),"")</f>
        <v/>
      </c>
      <c r="F113" s="268">
        <f>IFERROR(INDEX('CHOICE calc'!$K$2:$K$541,MATCH(ROWS(A$6:A113),'CHOICE calc'!$E$2:$E$541,0)),"")</f>
        <v/>
      </c>
      <c r="G113" s="297">
        <f>IFERROR(INDEX('CHOICE calc'!$L$2:$L$541,MATCH(ROWS(A$6:A113),'CHOICE calc'!$E$2:$E$541,0)),"")</f>
        <v/>
      </c>
      <c r="H113" s="297">
        <f>IFERROR(INDEX('CHOICE calc'!$A$2:$A$541,MATCH(ROWS(A$6:A113),'CHOICE calc'!$E$2:$E$541,0)),"")</f>
        <v/>
      </c>
      <c r="I113" s="236" t="n"/>
      <c r="J113" s="236" t="n"/>
      <c r="K113" s="236" t="n"/>
      <c r="L113" s="236" t="n"/>
    </row>
    <row r="114" ht="15.75" customHeight="1" s="372">
      <c r="A114" s="408">
        <f>IFERROR(INDEX('CHOICE calc'!$F$2:$F$541,MATCH(ROWS(A$6:A114),'CHOICE calc'!$E$2:$E$541,0)),"")</f>
        <v/>
      </c>
      <c r="B114" s="409">
        <f>IFERROR(INDEX('CHOICE calc'!$G$2:$G$541,MATCH(ROWS(A$6:A114),'CHOICE calc'!$E$2:$E$541,0)),"")</f>
        <v/>
      </c>
      <c r="C114" s="297">
        <f>IFERROR(INDEX('CHOICE calc'!$H$2:$H$541,MATCH(ROWS(A$6:A114),'CHOICE calc'!$E$2:$E$541,0)),"")</f>
        <v/>
      </c>
      <c r="D114" s="268">
        <f>IFERROR(INDEX('CHOICE calc'!$I$2:$I$541,MATCH(ROWS(A$6:A114),'CHOICE calc'!$E$2:$E$541,0)),"")</f>
        <v/>
      </c>
      <c r="E114" s="297">
        <f>IFERROR(INDEX('CHOICE calc'!$J$2:$J$541,MATCH(ROWS(A$6:A114),'CHOICE calc'!$E$2:$E$541,0)),"")</f>
        <v/>
      </c>
      <c r="F114" s="268">
        <f>IFERROR(INDEX('CHOICE calc'!$K$2:$K$541,MATCH(ROWS(A$6:A114),'CHOICE calc'!$E$2:$E$541,0)),"")</f>
        <v/>
      </c>
      <c r="G114" s="297">
        <f>IFERROR(INDEX('CHOICE calc'!$L$2:$L$541,MATCH(ROWS(A$6:A114),'CHOICE calc'!$E$2:$E$541,0)),"")</f>
        <v/>
      </c>
      <c r="H114" s="297">
        <f>IFERROR(INDEX('CHOICE calc'!$A$2:$A$541,MATCH(ROWS(A$6:A114),'CHOICE calc'!$E$2:$E$541,0)),"")</f>
        <v/>
      </c>
      <c r="I114" s="236" t="n"/>
      <c r="J114" s="236" t="n"/>
      <c r="K114" s="236" t="n"/>
      <c r="L114" s="236" t="n"/>
    </row>
    <row r="115" ht="15.75" customHeight="1" s="372">
      <c r="A115" s="408">
        <f>IFERROR(INDEX('CHOICE calc'!$F$2:$F$541,MATCH(ROWS(A$6:A115),'CHOICE calc'!$E$2:$E$541,0)),"")</f>
        <v/>
      </c>
      <c r="B115" s="409">
        <f>IFERROR(INDEX('CHOICE calc'!$G$2:$G$541,MATCH(ROWS(A$6:A115),'CHOICE calc'!$E$2:$E$541,0)),"")</f>
        <v/>
      </c>
      <c r="C115" s="297">
        <f>IFERROR(INDEX('CHOICE calc'!$H$2:$H$541,MATCH(ROWS(A$6:A115),'CHOICE calc'!$E$2:$E$541,0)),"")</f>
        <v/>
      </c>
      <c r="D115" s="268">
        <f>IFERROR(INDEX('CHOICE calc'!$I$2:$I$541,MATCH(ROWS(A$6:A115),'CHOICE calc'!$E$2:$E$541,0)),"")</f>
        <v/>
      </c>
      <c r="E115" s="297">
        <f>IFERROR(INDEX('CHOICE calc'!$J$2:$J$541,MATCH(ROWS(A$6:A115),'CHOICE calc'!$E$2:$E$541,0)),"")</f>
        <v/>
      </c>
      <c r="F115" s="268">
        <f>IFERROR(INDEX('CHOICE calc'!$K$2:$K$541,MATCH(ROWS(A$6:A115),'CHOICE calc'!$E$2:$E$541,0)),"")</f>
        <v/>
      </c>
      <c r="G115" s="297">
        <f>IFERROR(INDEX('CHOICE calc'!$L$2:$L$541,MATCH(ROWS(A$6:A115),'CHOICE calc'!$E$2:$E$541,0)),"")</f>
        <v/>
      </c>
      <c r="H115" s="297">
        <f>IFERROR(INDEX('CHOICE calc'!$A$2:$A$541,MATCH(ROWS(A$6:A115),'CHOICE calc'!$E$2:$E$541,0)),"")</f>
        <v/>
      </c>
      <c r="I115" s="236" t="n"/>
      <c r="J115" s="236" t="n"/>
      <c r="K115" s="236" t="n"/>
      <c r="L115" s="236" t="n"/>
    </row>
    <row r="116" ht="15.75" customHeight="1" s="372">
      <c r="A116" s="408">
        <f>IFERROR(INDEX('CHOICE calc'!$F$2:$F$541,MATCH(ROWS(A$6:A116),'CHOICE calc'!$E$2:$E$541,0)),"")</f>
        <v/>
      </c>
      <c r="B116" s="409">
        <f>IFERROR(INDEX('CHOICE calc'!$G$2:$G$541,MATCH(ROWS(A$6:A116),'CHOICE calc'!$E$2:$E$541,0)),"")</f>
        <v/>
      </c>
      <c r="C116" s="297">
        <f>IFERROR(INDEX('CHOICE calc'!$H$2:$H$541,MATCH(ROWS(A$6:A116),'CHOICE calc'!$E$2:$E$541,0)),"")</f>
        <v/>
      </c>
      <c r="D116" s="268">
        <f>IFERROR(INDEX('CHOICE calc'!$I$2:$I$541,MATCH(ROWS(A$6:A116),'CHOICE calc'!$E$2:$E$541,0)),"")</f>
        <v/>
      </c>
      <c r="E116" s="297">
        <f>IFERROR(INDEX('CHOICE calc'!$J$2:$J$541,MATCH(ROWS(A$6:A116),'CHOICE calc'!$E$2:$E$541,0)),"")</f>
        <v/>
      </c>
      <c r="F116" s="268">
        <f>IFERROR(INDEX('CHOICE calc'!$K$2:$K$541,MATCH(ROWS(A$6:A116),'CHOICE calc'!$E$2:$E$541,0)),"")</f>
        <v/>
      </c>
      <c r="G116" s="297">
        <f>IFERROR(INDEX('CHOICE calc'!$L$2:$L$541,MATCH(ROWS(A$6:A116),'CHOICE calc'!$E$2:$E$541,0)),"")</f>
        <v/>
      </c>
      <c r="H116" s="297">
        <f>IFERROR(INDEX('CHOICE calc'!$A$2:$A$541,MATCH(ROWS(A$6:A116),'CHOICE calc'!$E$2:$E$541,0)),"")</f>
        <v/>
      </c>
      <c r="I116" s="236" t="n"/>
      <c r="J116" s="236" t="n"/>
      <c r="K116" s="236" t="n"/>
      <c r="L116" s="236" t="n"/>
    </row>
    <row r="117" ht="15.75" customHeight="1" s="372">
      <c r="A117" s="408">
        <f>IFERROR(INDEX('CHOICE calc'!$F$2:$F$541,MATCH(ROWS(A$6:A117),'CHOICE calc'!$E$2:$E$541,0)),"")</f>
        <v/>
      </c>
      <c r="B117" s="409">
        <f>IFERROR(INDEX('CHOICE calc'!$G$2:$G$541,MATCH(ROWS(A$6:A117),'CHOICE calc'!$E$2:$E$541,0)),"")</f>
        <v/>
      </c>
      <c r="C117" s="297">
        <f>IFERROR(INDEX('CHOICE calc'!$H$2:$H$541,MATCH(ROWS(A$6:A117),'CHOICE calc'!$E$2:$E$541,0)),"")</f>
        <v/>
      </c>
      <c r="D117" s="268">
        <f>IFERROR(INDEX('CHOICE calc'!$I$2:$I$541,MATCH(ROWS(A$6:A117),'CHOICE calc'!$E$2:$E$541,0)),"")</f>
        <v/>
      </c>
      <c r="E117" s="297">
        <f>IFERROR(INDEX('CHOICE calc'!$J$2:$J$541,MATCH(ROWS(A$6:A117),'CHOICE calc'!$E$2:$E$541,0)),"")</f>
        <v/>
      </c>
      <c r="F117" s="268">
        <f>IFERROR(INDEX('CHOICE calc'!$K$2:$K$541,MATCH(ROWS(A$6:A117),'CHOICE calc'!$E$2:$E$541,0)),"")</f>
        <v/>
      </c>
      <c r="G117" s="297">
        <f>IFERROR(INDEX('CHOICE calc'!$L$2:$L$541,MATCH(ROWS(A$6:A117),'CHOICE calc'!$E$2:$E$541,0)),"")</f>
        <v/>
      </c>
      <c r="H117" s="297">
        <f>IFERROR(INDEX('CHOICE calc'!$A$2:$A$541,MATCH(ROWS(A$6:A117),'CHOICE calc'!$E$2:$E$541,0)),"")</f>
        <v/>
      </c>
      <c r="I117" s="236" t="n"/>
      <c r="J117" s="236" t="n"/>
      <c r="K117" s="236" t="n"/>
      <c r="L117" s="236" t="n"/>
    </row>
    <row r="118" ht="15.75" customHeight="1" s="372">
      <c r="A118" s="408">
        <f>IFERROR(INDEX('CHOICE calc'!$F$2:$F$541,MATCH(ROWS(A$6:A118),'CHOICE calc'!$E$2:$E$541,0)),"")</f>
        <v/>
      </c>
      <c r="B118" s="409">
        <f>IFERROR(INDEX('CHOICE calc'!$G$2:$G$541,MATCH(ROWS(A$6:A118),'CHOICE calc'!$E$2:$E$541,0)),"")</f>
        <v/>
      </c>
      <c r="C118" s="297">
        <f>IFERROR(INDEX('CHOICE calc'!$H$2:$H$541,MATCH(ROWS(A$6:A118),'CHOICE calc'!$E$2:$E$541,0)),"")</f>
        <v/>
      </c>
      <c r="D118" s="268">
        <f>IFERROR(INDEX('CHOICE calc'!$I$2:$I$541,MATCH(ROWS(A$6:A118),'CHOICE calc'!$E$2:$E$541,0)),"")</f>
        <v/>
      </c>
      <c r="E118" s="297">
        <f>IFERROR(INDEX('CHOICE calc'!$J$2:$J$541,MATCH(ROWS(A$6:A118),'CHOICE calc'!$E$2:$E$541,0)),"")</f>
        <v/>
      </c>
      <c r="F118" s="268">
        <f>IFERROR(INDEX('CHOICE calc'!$K$2:$K$541,MATCH(ROWS(A$6:A118),'CHOICE calc'!$E$2:$E$541,0)),"")</f>
        <v/>
      </c>
      <c r="G118" s="297">
        <f>IFERROR(INDEX('CHOICE calc'!$L$2:$L$541,MATCH(ROWS(A$6:A118),'CHOICE calc'!$E$2:$E$541,0)),"")</f>
        <v/>
      </c>
      <c r="H118" s="297">
        <f>IFERROR(INDEX('CHOICE calc'!$A$2:$A$541,MATCH(ROWS(A$6:A118),'CHOICE calc'!$E$2:$E$541,0)),"")</f>
        <v/>
      </c>
      <c r="I118" s="236" t="n"/>
      <c r="J118" s="236" t="n"/>
      <c r="K118" s="236" t="n"/>
      <c r="L118" s="236" t="n"/>
    </row>
    <row r="119" ht="15.75" customHeight="1" s="372">
      <c r="A119" s="408">
        <f>IFERROR(INDEX('CHOICE calc'!$F$2:$F$541,MATCH(ROWS(A$6:A119),'CHOICE calc'!$E$2:$E$541,0)),"")</f>
        <v/>
      </c>
      <c r="B119" s="409">
        <f>IFERROR(INDEX('CHOICE calc'!$G$2:$G$541,MATCH(ROWS(A$6:A119),'CHOICE calc'!$E$2:$E$541,0)),"")</f>
        <v/>
      </c>
      <c r="C119" s="297">
        <f>IFERROR(INDEX('CHOICE calc'!$H$2:$H$541,MATCH(ROWS(A$6:A119),'CHOICE calc'!$E$2:$E$541,0)),"")</f>
        <v/>
      </c>
      <c r="D119" s="268">
        <f>IFERROR(INDEX('CHOICE calc'!$I$2:$I$541,MATCH(ROWS(A$6:A119),'CHOICE calc'!$E$2:$E$541,0)),"")</f>
        <v/>
      </c>
      <c r="E119" s="297">
        <f>IFERROR(INDEX('CHOICE calc'!$J$2:$J$541,MATCH(ROWS(A$6:A119),'CHOICE calc'!$E$2:$E$541,0)),"")</f>
        <v/>
      </c>
      <c r="F119" s="268">
        <f>IFERROR(INDEX('CHOICE calc'!$K$2:$K$541,MATCH(ROWS(A$6:A119),'CHOICE calc'!$E$2:$E$541,0)),"")</f>
        <v/>
      </c>
      <c r="G119" s="297">
        <f>IFERROR(INDEX('CHOICE calc'!$L$2:$L$541,MATCH(ROWS(A$6:A119),'CHOICE calc'!$E$2:$E$541,0)),"")</f>
        <v/>
      </c>
      <c r="H119" s="297">
        <f>IFERROR(INDEX('CHOICE calc'!$A$2:$A$541,MATCH(ROWS(A$6:A119),'CHOICE calc'!$E$2:$E$541,0)),"")</f>
        <v/>
      </c>
      <c r="I119" s="236" t="n"/>
      <c r="J119" s="236" t="n"/>
      <c r="K119" s="236" t="n"/>
      <c r="L119" s="236" t="n"/>
    </row>
    <row r="120" ht="15.75" customHeight="1" s="372">
      <c r="A120" s="408">
        <f>IFERROR(INDEX('CHOICE calc'!$F$2:$F$541,MATCH(ROWS(A$6:A120),'CHOICE calc'!$E$2:$E$541,0)),"")</f>
        <v/>
      </c>
      <c r="B120" s="409">
        <f>IFERROR(INDEX('CHOICE calc'!$G$2:$G$541,MATCH(ROWS(A$6:A120),'CHOICE calc'!$E$2:$E$541,0)),"")</f>
        <v/>
      </c>
      <c r="C120" s="297">
        <f>IFERROR(INDEX('CHOICE calc'!$H$2:$H$541,MATCH(ROWS(A$6:A120),'CHOICE calc'!$E$2:$E$541,0)),"")</f>
        <v/>
      </c>
      <c r="D120" s="268">
        <f>IFERROR(INDEX('CHOICE calc'!$I$2:$I$541,MATCH(ROWS(A$6:A120),'CHOICE calc'!$E$2:$E$541,0)),"")</f>
        <v/>
      </c>
      <c r="E120" s="297">
        <f>IFERROR(INDEX('CHOICE calc'!$J$2:$J$541,MATCH(ROWS(A$6:A120),'CHOICE calc'!$E$2:$E$541,0)),"")</f>
        <v/>
      </c>
      <c r="F120" s="268">
        <f>IFERROR(INDEX('CHOICE calc'!$K$2:$K$541,MATCH(ROWS(A$6:A120),'CHOICE calc'!$E$2:$E$541,0)),"")</f>
        <v/>
      </c>
      <c r="G120" s="297">
        <f>IFERROR(INDEX('CHOICE calc'!$L$2:$L$541,MATCH(ROWS(A$6:A120),'CHOICE calc'!$E$2:$E$541,0)),"")</f>
        <v/>
      </c>
      <c r="H120" s="297">
        <f>IFERROR(INDEX('CHOICE calc'!$A$2:$A$541,MATCH(ROWS(A$6:A120),'CHOICE calc'!$E$2:$E$541,0)),"")</f>
        <v/>
      </c>
      <c r="I120" s="236" t="n"/>
      <c r="J120" s="236" t="n"/>
      <c r="K120" s="236" t="n"/>
      <c r="L120" s="236" t="n"/>
    </row>
    <row r="121" ht="15.75" customHeight="1" s="372">
      <c r="A121" s="408">
        <f>IFERROR(INDEX('CHOICE calc'!$F$2:$F$541,MATCH(ROWS(A$6:A121),'CHOICE calc'!$E$2:$E$541,0)),"")</f>
        <v/>
      </c>
      <c r="B121" s="409">
        <f>IFERROR(INDEX('CHOICE calc'!$G$2:$G$541,MATCH(ROWS(A$6:A121),'CHOICE calc'!$E$2:$E$541,0)),"")</f>
        <v/>
      </c>
      <c r="C121" s="297">
        <f>IFERROR(INDEX('CHOICE calc'!$H$2:$H$541,MATCH(ROWS(A$6:A121),'CHOICE calc'!$E$2:$E$541,0)),"")</f>
        <v/>
      </c>
      <c r="D121" s="268">
        <f>IFERROR(INDEX('CHOICE calc'!$I$2:$I$541,MATCH(ROWS(A$6:A121),'CHOICE calc'!$E$2:$E$541,0)),"")</f>
        <v/>
      </c>
      <c r="E121" s="297">
        <f>IFERROR(INDEX('CHOICE calc'!$J$2:$J$541,MATCH(ROWS(A$6:A121),'CHOICE calc'!$E$2:$E$541,0)),"")</f>
        <v/>
      </c>
      <c r="F121" s="268">
        <f>IFERROR(INDEX('CHOICE calc'!$K$2:$K$541,MATCH(ROWS(A$6:A121),'CHOICE calc'!$E$2:$E$541,0)),"")</f>
        <v/>
      </c>
      <c r="G121" s="297">
        <f>IFERROR(INDEX('CHOICE calc'!$L$2:$L$541,MATCH(ROWS(A$6:A121),'CHOICE calc'!$E$2:$E$541,0)),"")</f>
        <v/>
      </c>
      <c r="H121" s="297">
        <f>IFERROR(INDEX('CHOICE calc'!$A$2:$A$541,MATCH(ROWS(A$6:A121),'CHOICE calc'!$E$2:$E$541,0)),"")</f>
        <v/>
      </c>
      <c r="I121" s="236" t="n"/>
      <c r="J121" s="236" t="n"/>
      <c r="K121" s="236" t="n"/>
      <c r="L121" s="236" t="n"/>
    </row>
    <row r="122" ht="15.75" customHeight="1" s="372">
      <c r="A122" s="408">
        <f>IFERROR(INDEX('CHOICE calc'!$F$2:$F$541,MATCH(ROWS(A$6:A122),'CHOICE calc'!$E$2:$E$541,0)),"")</f>
        <v/>
      </c>
      <c r="B122" s="409">
        <f>IFERROR(INDEX('CHOICE calc'!$G$2:$G$541,MATCH(ROWS(A$6:A122),'CHOICE calc'!$E$2:$E$541,0)),"")</f>
        <v/>
      </c>
      <c r="C122" s="297">
        <f>IFERROR(INDEX('CHOICE calc'!$H$2:$H$541,MATCH(ROWS(A$6:A122),'CHOICE calc'!$E$2:$E$541,0)),"")</f>
        <v/>
      </c>
      <c r="D122" s="268">
        <f>IFERROR(INDEX('CHOICE calc'!$I$2:$I$541,MATCH(ROWS(A$6:A122),'CHOICE calc'!$E$2:$E$541,0)),"")</f>
        <v/>
      </c>
      <c r="E122" s="297">
        <f>IFERROR(INDEX('CHOICE calc'!$J$2:$J$541,MATCH(ROWS(A$6:A122),'CHOICE calc'!$E$2:$E$541,0)),"")</f>
        <v/>
      </c>
      <c r="F122" s="268">
        <f>IFERROR(INDEX('CHOICE calc'!$K$2:$K$541,MATCH(ROWS(A$6:A122),'CHOICE calc'!$E$2:$E$541,0)),"")</f>
        <v/>
      </c>
      <c r="G122" s="297">
        <f>IFERROR(INDEX('CHOICE calc'!$L$2:$L$541,MATCH(ROWS(A$6:A122),'CHOICE calc'!$E$2:$E$541,0)),"")</f>
        <v/>
      </c>
      <c r="H122" s="297">
        <f>IFERROR(INDEX('CHOICE calc'!$A$2:$A$541,MATCH(ROWS(A$6:A122),'CHOICE calc'!$E$2:$E$541,0)),"")</f>
        <v/>
      </c>
      <c r="I122" s="236" t="n"/>
      <c r="J122" s="236" t="n"/>
      <c r="K122" s="236" t="n"/>
      <c r="L122" s="236" t="n"/>
    </row>
    <row r="123" ht="15.75" customHeight="1" s="372">
      <c r="A123" s="408">
        <f>IFERROR(INDEX('CHOICE calc'!$F$2:$F$541,MATCH(ROWS(A$6:A123),'CHOICE calc'!$E$2:$E$541,0)),"")</f>
        <v/>
      </c>
      <c r="B123" s="409">
        <f>IFERROR(INDEX('CHOICE calc'!$G$2:$G$541,MATCH(ROWS(A$6:A123),'CHOICE calc'!$E$2:$E$541,0)),"")</f>
        <v/>
      </c>
      <c r="C123" s="297">
        <f>IFERROR(INDEX('CHOICE calc'!$H$2:$H$541,MATCH(ROWS(A$6:A123),'CHOICE calc'!$E$2:$E$541,0)),"")</f>
        <v/>
      </c>
      <c r="D123" s="268">
        <f>IFERROR(INDEX('CHOICE calc'!$I$2:$I$541,MATCH(ROWS(A$6:A123),'CHOICE calc'!$E$2:$E$541,0)),"")</f>
        <v/>
      </c>
      <c r="E123" s="297">
        <f>IFERROR(INDEX('CHOICE calc'!$J$2:$J$541,MATCH(ROWS(A$6:A123),'CHOICE calc'!$E$2:$E$541,0)),"")</f>
        <v/>
      </c>
      <c r="F123" s="268">
        <f>IFERROR(INDEX('CHOICE calc'!$K$2:$K$541,MATCH(ROWS(A$6:A123),'CHOICE calc'!$E$2:$E$541,0)),"")</f>
        <v/>
      </c>
      <c r="G123" s="297">
        <f>IFERROR(INDEX('CHOICE calc'!$L$2:$L$541,MATCH(ROWS(A$6:A123),'CHOICE calc'!$E$2:$E$541,0)),"")</f>
        <v/>
      </c>
      <c r="H123" s="297">
        <f>IFERROR(INDEX('CHOICE calc'!$A$2:$A$541,MATCH(ROWS(A$6:A123),'CHOICE calc'!$E$2:$E$541,0)),"")</f>
        <v/>
      </c>
      <c r="I123" s="236" t="n"/>
      <c r="J123" s="236" t="n"/>
      <c r="K123" s="236" t="n"/>
      <c r="L123" s="236" t="n"/>
    </row>
    <row r="124" ht="15.75" customHeight="1" s="372">
      <c r="A124" s="408">
        <f>IFERROR(INDEX('CHOICE calc'!$F$2:$F$541,MATCH(ROWS(A$6:A124),'CHOICE calc'!$E$2:$E$541,0)),"")</f>
        <v/>
      </c>
      <c r="B124" s="409">
        <f>IFERROR(INDEX('CHOICE calc'!$G$2:$G$541,MATCH(ROWS(A$6:A124),'CHOICE calc'!$E$2:$E$541,0)),"")</f>
        <v/>
      </c>
      <c r="C124" s="297">
        <f>IFERROR(INDEX('CHOICE calc'!$H$2:$H$541,MATCH(ROWS(A$6:A124),'CHOICE calc'!$E$2:$E$541,0)),"")</f>
        <v/>
      </c>
      <c r="D124" s="268">
        <f>IFERROR(INDEX('CHOICE calc'!$I$2:$I$541,MATCH(ROWS(A$6:A124),'CHOICE calc'!$E$2:$E$541,0)),"")</f>
        <v/>
      </c>
      <c r="E124" s="297">
        <f>IFERROR(INDEX('CHOICE calc'!$J$2:$J$541,MATCH(ROWS(A$6:A124),'CHOICE calc'!$E$2:$E$541,0)),"")</f>
        <v/>
      </c>
      <c r="F124" s="268">
        <f>IFERROR(INDEX('CHOICE calc'!$K$2:$K$541,MATCH(ROWS(A$6:A124),'CHOICE calc'!$E$2:$E$541,0)),"")</f>
        <v/>
      </c>
      <c r="G124" s="297">
        <f>IFERROR(INDEX('CHOICE calc'!$L$2:$L$541,MATCH(ROWS(A$6:A124),'CHOICE calc'!$E$2:$E$541,0)),"")</f>
        <v/>
      </c>
      <c r="H124" s="297">
        <f>IFERROR(INDEX('CHOICE calc'!$A$2:$A$541,MATCH(ROWS(A$6:A124),'CHOICE calc'!$E$2:$E$541,0)),"")</f>
        <v/>
      </c>
      <c r="I124" s="236" t="n"/>
      <c r="J124" s="236" t="n"/>
      <c r="K124" s="236" t="n"/>
      <c r="L124" s="236" t="n"/>
    </row>
    <row r="125" ht="15.75" customHeight="1" s="372">
      <c r="A125" s="408">
        <f>IFERROR(INDEX('CHOICE calc'!$F$2:$F$541,MATCH(ROWS(A$6:A125),'CHOICE calc'!$E$2:$E$541,0)),"")</f>
        <v/>
      </c>
      <c r="B125" s="409">
        <f>IFERROR(INDEX('CHOICE calc'!$G$2:$G$541,MATCH(ROWS(A$6:A125),'CHOICE calc'!$E$2:$E$541,0)),"")</f>
        <v/>
      </c>
      <c r="C125" s="297">
        <f>IFERROR(INDEX('CHOICE calc'!$H$2:$H$541,MATCH(ROWS(A$6:A125),'CHOICE calc'!$E$2:$E$541,0)),"")</f>
        <v/>
      </c>
      <c r="D125" s="268">
        <f>IFERROR(INDEX('CHOICE calc'!$I$2:$I$541,MATCH(ROWS(A$6:A125),'CHOICE calc'!$E$2:$E$541,0)),"")</f>
        <v/>
      </c>
      <c r="E125" s="297">
        <f>IFERROR(INDEX('CHOICE calc'!$J$2:$J$541,MATCH(ROWS(A$6:A125),'CHOICE calc'!$E$2:$E$541,0)),"")</f>
        <v/>
      </c>
      <c r="F125" s="268">
        <f>IFERROR(INDEX('CHOICE calc'!$K$2:$K$541,MATCH(ROWS(A$6:A125),'CHOICE calc'!$E$2:$E$541,0)),"")</f>
        <v/>
      </c>
      <c r="G125" s="297">
        <f>IFERROR(INDEX('CHOICE calc'!$L$2:$L$541,MATCH(ROWS(A$6:A125),'CHOICE calc'!$E$2:$E$541,0)),"")</f>
        <v/>
      </c>
      <c r="H125" s="297">
        <f>IFERROR(INDEX('CHOICE calc'!$A$2:$A$541,MATCH(ROWS(A$6:A125),'CHOICE calc'!$E$2:$E$541,0)),"")</f>
        <v/>
      </c>
      <c r="I125" s="236" t="n"/>
      <c r="J125" s="236" t="n"/>
      <c r="K125" s="236" t="n"/>
      <c r="L125" s="236" t="n"/>
    </row>
    <row r="126" ht="15.75" customHeight="1" s="372">
      <c r="A126" s="408">
        <f>IFERROR(INDEX('CHOICE calc'!$F$2:$F$541,MATCH(ROWS(A$6:A126),'CHOICE calc'!$E$2:$E$541,0)),"")</f>
        <v/>
      </c>
      <c r="B126" s="409">
        <f>IFERROR(INDEX('CHOICE calc'!$G$2:$G$541,MATCH(ROWS(A$6:A126),'CHOICE calc'!$E$2:$E$541,0)),"")</f>
        <v/>
      </c>
      <c r="C126" s="297">
        <f>IFERROR(INDEX('CHOICE calc'!$H$2:$H$541,MATCH(ROWS(A$6:A126),'CHOICE calc'!$E$2:$E$541,0)),"")</f>
        <v/>
      </c>
      <c r="D126" s="268">
        <f>IFERROR(INDEX('CHOICE calc'!$I$2:$I$541,MATCH(ROWS(A$6:A126),'CHOICE calc'!$E$2:$E$541,0)),"")</f>
        <v/>
      </c>
      <c r="E126" s="297">
        <f>IFERROR(INDEX('CHOICE calc'!$J$2:$J$541,MATCH(ROWS(A$6:A126),'CHOICE calc'!$E$2:$E$541,0)),"")</f>
        <v/>
      </c>
      <c r="F126" s="268">
        <f>IFERROR(INDEX('CHOICE calc'!$K$2:$K$541,MATCH(ROWS(A$6:A126),'CHOICE calc'!$E$2:$E$541,0)),"")</f>
        <v/>
      </c>
      <c r="G126" s="297">
        <f>IFERROR(INDEX('CHOICE calc'!$L$2:$L$541,MATCH(ROWS(A$6:A126),'CHOICE calc'!$E$2:$E$541,0)),"")</f>
        <v/>
      </c>
      <c r="H126" s="297">
        <f>IFERROR(INDEX('CHOICE calc'!$A$2:$A$541,MATCH(ROWS(A$6:A126),'CHOICE calc'!$E$2:$E$541,0)),"")</f>
        <v/>
      </c>
      <c r="I126" s="236" t="n"/>
      <c r="J126" s="236" t="n"/>
      <c r="K126" s="236" t="n"/>
      <c r="L126" s="236" t="n"/>
    </row>
    <row r="127" ht="15.75" customHeight="1" s="372">
      <c r="A127" s="408">
        <f>IFERROR(INDEX('CHOICE calc'!$F$2:$F$541,MATCH(ROWS(A$6:A127),'CHOICE calc'!$E$2:$E$541,0)),"")</f>
        <v/>
      </c>
      <c r="B127" s="409">
        <f>IFERROR(INDEX('CHOICE calc'!$G$2:$G$541,MATCH(ROWS(A$6:A127),'CHOICE calc'!$E$2:$E$541,0)),"")</f>
        <v/>
      </c>
      <c r="C127" s="297">
        <f>IFERROR(INDEX('CHOICE calc'!$H$2:$H$541,MATCH(ROWS(A$6:A127),'CHOICE calc'!$E$2:$E$541,0)),"")</f>
        <v/>
      </c>
      <c r="D127" s="268">
        <f>IFERROR(INDEX('CHOICE calc'!$I$2:$I$541,MATCH(ROWS(A$6:A127),'CHOICE calc'!$E$2:$E$541,0)),"")</f>
        <v/>
      </c>
      <c r="E127" s="297">
        <f>IFERROR(INDEX('CHOICE calc'!$J$2:$J$541,MATCH(ROWS(A$6:A127),'CHOICE calc'!$E$2:$E$541,0)),"")</f>
        <v/>
      </c>
      <c r="F127" s="268">
        <f>IFERROR(INDEX('CHOICE calc'!$K$2:$K$541,MATCH(ROWS(A$6:A127),'CHOICE calc'!$E$2:$E$541,0)),"")</f>
        <v/>
      </c>
      <c r="G127" s="297">
        <f>IFERROR(INDEX('CHOICE calc'!$L$2:$L$541,MATCH(ROWS(A$6:A127),'CHOICE calc'!$E$2:$E$541,0)),"")</f>
        <v/>
      </c>
      <c r="H127" s="297">
        <f>IFERROR(INDEX('CHOICE calc'!$A$2:$A$541,MATCH(ROWS(A$6:A127),'CHOICE calc'!$E$2:$E$541,0)),"")</f>
        <v/>
      </c>
      <c r="I127" s="236" t="n"/>
      <c r="J127" s="236" t="n"/>
      <c r="K127" s="236" t="n"/>
      <c r="L127" s="236" t="n"/>
    </row>
    <row r="128" ht="15.75" customHeight="1" s="372">
      <c r="A128" s="408">
        <f>IFERROR(INDEX('CHOICE calc'!$F$2:$F$541,MATCH(ROWS(A$6:A128),'CHOICE calc'!$E$2:$E$541,0)),"")</f>
        <v/>
      </c>
      <c r="B128" s="409">
        <f>IFERROR(INDEX('CHOICE calc'!$G$2:$G$541,MATCH(ROWS(A$6:A128),'CHOICE calc'!$E$2:$E$541,0)),"")</f>
        <v/>
      </c>
      <c r="C128" s="297">
        <f>IFERROR(INDEX('CHOICE calc'!$H$2:$H$541,MATCH(ROWS(A$6:A128),'CHOICE calc'!$E$2:$E$541,0)),"")</f>
        <v/>
      </c>
      <c r="D128" s="268">
        <f>IFERROR(INDEX('CHOICE calc'!$I$2:$I$541,MATCH(ROWS(A$6:A128),'CHOICE calc'!$E$2:$E$541,0)),"")</f>
        <v/>
      </c>
      <c r="E128" s="297">
        <f>IFERROR(INDEX('CHOICE calc'!$J$2:$J$541,MATCH(ROWS(A$6:A128),'CHOICE calc'!$E$2:$E$541,0)),"")</f>
        <v/>
      </c>
      <c r="F128" s="268">
        <f>IFERROR(INDEX('CHOICE calc'!$K$2:$K$541,MATCH(ROWS(A$6:A128),'CHOICE calc'!$E$2:$E$541,0)),"")</f>
        <v/>
      </c>
      <c r="G128" s="297">
        <f>IFERROR(INDEX('CHOICE calc'!$L$2:$L$541,MATCH(ROWS(A$6:A128),'CHOICE calc'!$E$2:$E$541,0)),"")</f>
        <v/>
      </c>
      <c r="H128" s="297">
        <f>IFERROR(INDEX('CHOICE calc'!$A$2:$A$541,MATCH(ROWS(A$6:A128),'CHOICE calc'!$E$2:$E$541,0)),"")</f>
        <v/>
      </c>
      <c r="I128" s="236" t="n"/>
      <c r="J128" s="236" t="n"/>
      <c r="K128" s="236" t="n"/>
      <c r="L128" s="236" t="n"/>
    </row>
    <row r="129" ht="15.75" customHeight="1" s="372">
      <c r="A129" s="408">
        <f>IFERROR(INDEX('CHOICE calc'!$F$2:$F$541,MATCH(ROWS(A$6:A129),'CHOICE calc'!$E$2:$E$541,0)),"")</f>
        <v/>
      </c>
      <c r="B129" s="409">
        <f>IFERROR(INDEX('CHOICE calc'!$G$2:$G$541,MATCH(ROWS(A$6:A129),'CHOICE calc'!$E$2:$E$541,0)),"")</f>
        <v/>
      </c>
      <c r="C129" s="297">
        <f>IFERROR(INDEX('CHOICE calc'!$H$2:$H$541,MATCH(ROWS(A$6:A129),'CHOICE calc'!$E$2:$E$541,0)),"")</f>
        <v/>
      </c>
      <c r="D129" s="268">
        <f>IFERROR(INDEX('CHOICE calc'!$I$2:$I$541,MATCH(ROWS(A$6:A129),'CHOICE calc'!$E$2:$E$541,0)),"")</f>
        <v/>
      </c>
      <c r="E129" s="297">
        <f>IFERROR(INDEX('CHOICE calc'!$J$2:$J$541,MATCH(ROWS(A$6:A129),'CHOICE calc'!$E$2:$E$541,0)),"")</f>
        <v/>
      </c>
      <c r="F129" s="268">
        <f>IFERROR(INDEX('CHOICE calc'!$K$2:$K$541,MATCH(ROWS(A$6:A129),'CHOICE calc'!$E$2:$E$541,0)),"")</f>
        <v/>
      </c>
      <c r="G129" s="297">
        <f>IFERROR(INDEX('CHOICE calc'!$L$2:$L$541,MATCH(ROWS(A$6:A129),'CHOICE calc'!$E$2:$E$541,0)),"")</f>
        <v/>
      </c>
      <c r="H129" s="297">
        <f>IFERROR(INDEX('CHOICE calc'!$A$2:$A$541,MATCH(ROWS(A$6:A129),'CHOICE calc'!$E$2:$E$541,0)),"")</f>
        <v/>
      </c>
      <c r="I129" s="236" t="n"/>
      <c r="J129" s="236" t="n"/>
      <c r="K129" s="236" t="n"/>
      <c r="L129" s="236" t="n"/>
    </row>
    <row r="130" ht="15.75" customHeight="1" s="372">
      <c r="A130" s="408">
        <f>IFERROR(INDEX('CHOICE calc'!$F$2:$F$541,MATCH(ROWS(A$6:A130),'CHOICE calc'!$E$2:$E$541,0)),"")</f>
        <v/>
      </c>
      <c r="B130" s="409">
        <f>IFERROR(INDEX('CHOICE calc'!$G$2:$G$541,MATCH(ROWS(A$6:A130),'CHOICE calc'!$E$2:$E$541,0)),"")</f>
        <v/>
      </c>
      <c r="C130" s="297">
        <f>IFERROR(INDEX('CHOICE calc'!$H$2:$H$541,MATCH(ROWS(A$6:A130),'CHOICE calc'!$E$2:$E$541,0)),"")</f>
        <v/>
      </c>
      <c r="D130" s="268">
        <f>IFERROR(INDEX('CHOICE calc'!$I$2:$I$541,MATCH(ROWS(A$6:A130),'CHOICE calc'!$E$2:$E$541,0)),"")</f>
        <v/>
      </c>
      <c r="E130" s="297">
        <f>IFERROR(INDEX('CHOICE calc'!$J$2:$J$541,MATCH(ROWS(A$6:A130),'CHOICE calc'!$E$2:$E$541,0)),"")</f>
        <v/>
      </c>
      <c r="F130" s="268">
        <f>IFERROR(INDEX('CHOICE calc'!$K$2:$K$541,MATCH(ROWS(A$6:A130),'CHOICE calc'!$E$2:$E$541,0)),"")</f>
        <v/>
      </c>
      <c r="G130" s="297">
        <f>IFERROR(INDEX('CHOICE calc'!$L$2:$L$541,MATCH(ROWS(A$6:A130),'CHOICE calc'!$E$2:$E$541,0)),"")</f>
        <v/>
      </c>
      <c r="H130" s="297">
        <f>IFERROR(INDEX('CHOICE calc'!$A$2:$A$541,MATCH(ROWS(A$6:A130),'CHOICE calc'!$E$2:$E$541,0)),"")</f>
        <v/>
      </c>
      <c r="I130" s="236" t="n"/>
      <c r="J130" s="236" t="n"/>
      <c r="K130" s="236" t="n"/>
      <c r="L130" s="236" t="n"/>
    </row>
    <row r="131" ht="15.75" customHeight="1" s="372">
      <c r="A131" s="408">
        <f>IFERROR(INDEX('CHOICE calc'!$F$2:$F$541,MATCH(ROWS(A$6:A131),'CHOICE calc'!$E$2:$E$541,0)),"")</f>
        <v/>
      </c>
      <c r="B131" s="409">
        <f>IFERROR(INDEX('CHOICE calc'!$G$2:$G$541,MATCH(ROWS(A$6:A131),'CHOICE calc'!$E$2:$E$541,0)),"")</f>
        <v/>
      </c>
      <c r="C131" s="297">
        <f>IFERROR(INDEX('CHOICE calc'!$H$2:$H$541,MATCH(ROWS(A$6:A131),'CHOICE calc'!$E$2:$E$541,0)),"")</f>
        <v/>
      </c>
      <c r="D131" s="268">
        <f>IFERROR(INDEX('CHOICE calc'!$I$2:$I$541,MATCH(ROWS(A$6:A131),'CHOICE calc'!$E$2:$E$541,0)),"")</f>
        <v/>
      </c>
      <c r="E131" s="297">
        <f>IFERROR(INDEX('CHOICE calc'!$J$2:$J$541,MATCH(ROWS(A$6:A131),'CHOICE calc'!$E$2:$E$541,0)),"")</f>
        <v/>
      </c>
      <c r="F131" s="268">
        <f>IFERROR(INDEX('CHOICE calc'!$K$2:$K$541,MATCH(ROWS(A$6:A131),'CHOICE calc'!$E$2:$E$541,0)),"")</f>
        <v/>
      </c>
      <c r="G131" s="297">
        <f>IFERROR(INDEX('CHOICE calc'!$L$2:$L$541,MATCH(ROWS(A$6:A131),'CHOICE calc'!$E$2:$E$541,0)),"")</f>
        <v/>
      </c>
      <c r="H131" s="297">
        <f>IFERROR(INDEX('CHOICE calc'!$A$2:$A$541,MATCH(ROWS(A$6:A131),'CHOICE calc'!$E$2:$E$541,0)),"")</f>
        <v/>
      </c>
      <c r="I131" s="236" t="n"/>
      <c r="J131" s="236" t="n"/>
      <c r="K131" s="236" t="n"/>
      <c r="L131" s="236" t="n"/>
    </row>
    <row r="132" ht="15.75" customHeight="1" s="372">
      <c r="A132" s="408">
        <f>IFERROR(INDEX('CHOICE calc'!$F$2:$F$541,MATCH(ROWS(A$6:A132),'CHOICE calc'!$E$2:$E$541,0)),"")</f>
        <v/>
      </c>
      <c r="B132" s="409">
        <f>IFERROR(INDEX('CHOICE calc'!$G$2:$G$541,MATCH(ROWS(A$6:A132),'CHOICE calc'!$E$2:$E$541,0)),"")</f>
        <v/>
      </c>
      <c r="C132" s="297">
        <f>IFERROR(INDEX('CHOICE calc'!$H$2:$H$541,MATCH(ROWS(A$6:A132),'CHOICE calc'!$E$2:$E$541,0)),"")</f>
        <v/>
      </c>
      <c r="D132" s="268">
        <f>IFERROR(INDEX('CHOICE calc'!$I$2:$I$541,MATCH(ROWS(A$6:A132),'CHOICE calc'!$E$2:$E$541,0)),"")</f>
        <v/>
      </c>
      <c r="E132" s="297">
        <f>IFERROR(INDEX('CHOICE calc'!$J$2:$J$541,MATCH(ROWS(A$6:A132),'CHOICE calc'!$E$2:$E$541,0)),"")</f>
        <v/>
      </c>
      <c r="F132" s="268">
        <f>IFERROR(INDEX('CHOICE calc'!$K$2:$K$541,MATCH(ROWS(A$6:A132),'CHOICE calc'!$E$2:$E$541,0)),"")</f>
        <v/>
      </c>
      <c r="G132" s="297">
        <f>IFERROR(INDEX('CHOICE calc'!$L$2:$L$541,MATCH(ROWS(A$6:A132),'CHOICE calc'!$E$2:$E$541,0)),"")</f>
        <v/>
      </c>
      <c r="H132" s="297">
        <f>IFERROR(INDEX('CHOICE calc'!$A$2:$A$541,MATCH(ROWS(A$6:A132),'CHOICE calc'!$E$2:$E$541,0)),"")</f>
        <v/>
      </c>
      <c r="I132" s="236" t="n"/>
      <c r="J132" s="236" t="n"/>
      <c r="K132" s="236" t="n"/>
      <c r="L132" s="236" t="n"/>
    </row>
    <row r="133" ht="15.75" customHeight="1" s="372">
      <c r="A133" s="408">
        <f>IFERROR(INDEX('CHOICE calc'!$F$2:$F$541,MATCH(ROWS(A$6:A133),'CHOICE calc'!$E$2:$E$541,0)),"")</f>
        <v/>
      </c>
      <c r="B133" s="409">
        <f>IFERROR(INDEX('CHOICE calc'!$G$2:$G$541,MATCH(ROWS(A$6:A133),'CHOICE calc'!$E$2:$E$541,0)),"")</f>
        <v/>
      </c>
      <c r="C133" s="297">
        <f>IFERROR(INDEX('CHOICE calc'!$H$2:$H$541,MATCH(ROWS(A$6:A133),'CHOICE calc'!$E$2:$E$541,0)),"")</f>
        <v/>
      </c>
      <c r="D133" s="268">
        <f>IFERROR(INDEX('CHOICE calc'!$I$2:$I$541,MATCH(ROWS(A$6:A133),'CHOICE calc'!$E$2:$E$541,0)),"")</f>
        <v/>
      </c>
      <c r="E133" s="297">
        <f>IFERROR(INDEX('CHOICE calc'!$J$2:$J$541,MATCH(ROWS(A$6:A133),'CHOICE calc'!$E$2:$E$541,0)),"")</f>
        <v/>
      </c>
      <c r="F133" s="268">
        <f>IFERROR(INDEX('CHOICE calc'!$K$2:$K$541,MATCH(ROWS(A$6:A133),'CHOICE calc'!$E$2:$E$541,0)),"")</f>
        <v/>
      </c>
      <c r="G133" s="297">
        <f>IFERROR(INDEX('CHOICE calc'!$L$2:$L$541,MATCH(ROWS(A$6:A133),'CHOICE calc'!$E$2:$E$541,0)),"")</f>
        <v/>
      </c>
      <c r="H133" s="297">
        <f>IFERROR(INDEX('CHOICE calc'!$A$2:$A$541,MATCH(ROWS(A$6:A133),'CHOICE calc'!$E$2:$E$541,0)),"")</f>
        <v/>
      </c>
      <c r="I133" s="236" t="n"/>
      <c r="J133" s="236" t="n"/>
      <c r="K133" s="236" t="n"/>
      <c r="L133" s="236" t="n"/>
    </row>
    <row r="134" ht="15.75" customHeight="1" s="372">
      <c r="A134" s="408">
        <f>IFERROR(INDEX('CHOICE calc'!$F$2:$F$541,MATCH(ROWS(A$6:A134),'CHOICE calc'!$E$2:$E$541,0)),"")</f>
        <v/>
      </c>
      <c r="B134" s="409">
        <f>IFERROR(INDEX('CHOICE calc'!$G$2:$G$541,MATCH(ROWS(A$6:A134),'CHOICE calc'!$E$2:$E$541,0)),"")</f>
        <v/>
      </c>
      <c r="C134" s="297">
        <f>IFERROR(INDEX('CHOICE calc'!$H$2:$H$541,MATCH(ROWS(A$6:A134),'CHOICE calc'!$E$2:$E$541,0)),"")</f>
        <v/>
      </c>
      <c r="D134" s="268">
        <f>IFERROR(INDEX('CHOICE calc'!$I$2:$I$541,MATCH(ROWS(A$6:A134),'CHOICE calc'!$E$2:$E$541,0)),"")</f>
        <v/>
      </c>
      <c r="E134" s="297">
        <f>IFERROR(INDEX('CHOICE calc'!$J$2:$J$541,MATCH(ROWS(A$6:A134),'CHOICE calc'!$E$2:$E$541,0)),"")</f>
        <v/>
      </c>
      <c r="F134" s="268">
        <f>IFERROR(INDEX('CHOICE calc'!$K$2:$K$541,MATCH(ROWS(A$6:A134),'CHOICE calc'!$E$2:$E$541,0)),"")</f>
        <v/>
      </c>
      <c r="G134" s="297">
        <f>IFERROR(INDEX('CHOICE calc'!$L$2:$L$541,MATCH(ROWS(A$6:A134),'CHOICE calc'!$E$2:$E$541,0)),"")</f>
        <v/>
      </c>
      <c r="H134" s="297">
        <f>IFERROR(INDEX('CHOICE calc'!$A$2:$A$541,MATCH(ROWS(A$6:A134),'CHOICE calc'!$E$2:$E$541,0)),"")</f>
        <v/>
      </c>
      <c r="I134" s="236" t="n"/>
      <c r="J134" s="236" t="n"/>
      <c r="K134" s="236" t="n"/>
      <c r="L134" s="236" t="n"/>
    </row>
    <row r="135" ht="15.75" customHeight="1" s="372">
      <c r="A135" s="408">
        <f>IFERROR(INDEX('CHOICE calc'!$F$2:$F$541,MATCH(ROWS(A$6:A135),'CHOICE calc'!$E$2:$E$541,0)),"")</f>
        <v/>
      </c>
      <c r="B135" s="409">
        <f>IFERROR(INDEX('CHOICE calc'!$G$2:$G$541,MATCH(ROWS(A$6:A135),'CHOICE calc'!$E$2:$E$541,0)),"")</f>
        <v/>
      </c>
      <c r="C135" s="297">
        <f>IFERROR(INDEX('CHOICE calc'!$H$2:$H$541,MATCH(ROWS(A$6:A135),'CHOICE calc'!$E$2:$E$541,0)),"")</f>
        <v/>
      </c>
      <c r="D135" s="268">
        <f>IFERROR(INDEX('CHOICE calc'!$I$2:$I$541,MATCH(ROWS(A$6:A135),'CHOICE calc'!$E$2:$E$541,0)),"")</f>
        <v/>
      </c>
      <c r="E135" s="297">
        <f>IFERROR(INDEX('CHOICE calc'!$J$2:$J$541,MATCH(ROWS(A$6:A135),'CHOICE calc'!$E$2:$E$541,0)),"")</f>
        <v/>
      </c>
      <c r="F135" s="268">
        <f>IFERROR(INDEX('CHOICE calc'!$K$2:$K$541,MATCH(ROWS(A$6:A135),'CHOICE calc'!$E$2:$E$541,0)),"")</f>
        <v/>
      </c>
      <c r="G135" s="297">
        <f>IFERROR(INDEX('CHOICE calc'!$L$2:$L$541,MATCH(ROWS(A$6:A135),'CHOICE calc'!$E$2:$E$541,0)),"")</f>
        <v/>
      </c>
      <c r="H135" s="297">
        <f>IFERROR(INDEX('CHOICE calc'!$A$2:$A$541,MATCH(ROWS(A$6:A135),'CHOICE calc'!$E$2:$E$541,0)),"")</f>
        <v/>
      </c>
      <c r="I135" s="236" t="n"/>
      <c r="J135" s="236" t="n"/>
      <c r="K135" s="236" t="n"/>
      <c r="L135" s="236" t="n"/>
    </row>
    <row r="136" ht="15.75" customHeight="1" s="372">
      <c r="A136" s="408">
        <f>IFERROR(INDEX('CHOICE calc'!$F$2:$F$541,MATCH(ROWS(A$6:A136),'CHOICE calc'!$E$2:$E$541,0)),"")</f>
        <v/>
      </c>
      <c r="B136" s="409">
        <f>IFERROR(INDEX('CHOICE calc'!$G$2:$G$541,MATCH(ROWS(A$6:A136),'CHOICE calc'!$E$2:$E$541,0)),"")</f>
        <v/>
      </c>
      <c r="C136" s="297">
        <f>IFERROR(INDEX('CHOICE calc'!$H$2:$H$541,MATCH(ROWS(A$6:A136),'CHOICE calc'!$E$2:$E$541,0)),"")</f>
        <v/>
      </c>
      <c r="D136" s="268">
        <f>IFERROR(INDEX('CHOICE calc'!$I$2:$I$541,MATCH(ROWS(A$6:A136),'CHOICE calc'!$E$2:$E$541,0)),"")</f>
        <v/>
      </c>
      <c r="E136" s="297">
        <f>IFERROR(INDEX('CHOICE calc'!$J$2:$J$541,MATCH(ROWS(A$6:A136),'CHOICE calc'!$E$2:$E$541,0)),"")</f>
        <v/>
      </c>
      <c r="F136" s="268">
        <f>IFERROR(INDEX('CHOICE calc'!$K$2:$K$541,MATCH(ROWS(A$6:A136),'CHOICE calc'!$E$2:$E$541,0)),"")</f>
        <v/>
      </c>
      <c r="G136" s="297">
        <f>IFERROR(INDEX('CHOICE calc'!$L$2:$L$541,MATCH(ROWS(A$6:A136),'CHOICE calc'!$E$2:$E$541,0)),"")</f>
        <v/>
      </c>
      <c r="H136" s="297">
        <f>IFERROR(INDEX('CHOICE calc'!$A$2:$A$541,MATCH(ROWS(A$6:A136),'CHOICE calc'!$E$2:$E$541,0)),"")</f>
        <v/>
      </c>
      <c r="I136" s="236" t="n"/>
      <c r="J136" s="236" t="n"/>
      <c r="K136" s="236" t="n"/>
      <c r="L136" s="236" t="n"/>
    </row>
    <row r="137" ht="15.75" customHeight="1" s="372">
      <c r="A137" s="408">
        <f>IFERROR(INDEX('CHOICE calc'!$F$2:$F$541,MATCH(ROWS(A$6:A137),'CHOICE calc'!$E$2:$E$541,0)),"")</f>
        <v/>
      </c>
      <c r="B137" s="409">
        <f>IFERROR(INDEX('CHOICE calc'!$G$2:$G$541,MATCH(ROWS(A$6:A137),'CHOICE calc'!$E$2:$E$541,0)),"")</f>
        <v/>
      </c>
      <c r="C137" s="297">
        <f>IFERROR(INDEX('CHOICE calc'!$H$2:$H$541,MATCH(ROWS(A$6:A137),'CHOICE calc'!$E$2:$E$541,0)),"")</f>
        <v/>
      </c>
      <c r="D137" s="268">
        <f>IFERROR(INDEX('CHOICE calc'!$I$2:$I$541,MATCH(ROWS(A$6:A137),'CHOICE calc'!$E$2:$E$541,0)),"")</f>
        <v/>
      </c>
      <c r="E137" s="297">
        <f>IFERROR(INDEX('CHOICE calc'!$J$2:$J$541,MATCH(ROWS(A$6:A137),'CHOICE calc'!$E$2:$E$541,0)),"")</f>
        <v/>
      </c>
      <c r="F137" s="268">
        <f>IFERROR(INDEX('CHOICE calc'!$K$2:$K$541,MATCH(ROWS(A$6:A137),'CHOICE calc'!$E$2:$E$541,0)),"")</f>
        <v/>
      </c>
      <c r="G137" s="297">
        <f>IFERROR(INDEX('CHOICE calc'!$L$2:$L$541,MATCH(ROWS(A$6:A137),'CHOICE calc'!$E$2:$E$541,0)),"")</f>
        <v/>
      </c>
      <c r="H137" s="297">
        <f>IFERROR(INDEX('CHOICE calc'!$A$2:$A$541,MATCH(ROWS(A$6:A137),'CHOICE calc'!$E$2:$E$541,0)),"")</f>
        <v/>
      </c>
      <c r="I137" s="236" t="n"/>
      <c r="J137" s="236" t="n"/>
      <c r="K137" s="236" t="n"/>
      <c r="L137" s="236" t="n"/>
    </row>
    <row r="138" ht="15.75" customHeight="1" s="372">
      <c r="A138" s="408">
        <f>IFERROR(INDEX('CHOICE calc'!$F$2:$F$541,MATCH(ROWS(A$6:A138),'CHOICE calc'!$E$2:$E$541,0)),"")</f>
        <v/>
      </c>
      <c r="B138" s="409">
        <f>IFERROR(INDEX('CHOICE calc'!$G$2:$G$541,MATCH(ROWS(A$6:A138),'CHOICE calc'!$E$2:$E$541,0)),"")</f>
        <v/>
      </c>
      <c r="C138" s="297">
        <f>IFERROR(INDEX('CHOICE calc'!$H$2:$H$541,MATCH(ROWS(A$6:A138),'CHOICE calc'!$E$2:$E$541,0)),"")</f>
        <v/>
      </c>
      <c r="D138" s="268">
        <f>IFERROR(INDEX('CHOICE calc'!$I$2:$I$541,MATCH(ROWS(A$6:A138),'CHOICE calc'!$E$2:$E$541,0)),"")</f>
        <v/>
      </c>
      <c r="E138" s="297">
        <f>IFERROR(INDEX('CHOICE calc'!$J$2:$J$541,MATCH(ROWS(A$6:A138),'CHOICE calc'!$E$2:$E$541,0)),"")</f>
        <v/>
      </c>
      <c r="F138" s="268">
        <f>IFERROR(INDEX('CHOICE calc'!$K$2:$K$541,MATCH(ROWS(A$6:A138),'CHOICE calc'!$E$2:$E$541,0)),"")</f>
        <v/>
      </c>
      <c r="G138" s="297">
        <f>IFERROR(INDEX('CHOICE calc'!$L$2:$L$541,MATCH(ROWS(A$6:A138),'CHOICE calc'!$E$2:$E$541,0)),"")</f>
        <v/>
      </c>
      <c r="H138" s="297">
        <f>IFERROR(INDEX('CHOICE calc'!$A$2:$A$541,MATCH(ROWS(A$6:A138),'CHOICE calc'!$E$2:$E$541,0)),"")</f>
        <v/>
      </c>
      <c r="I138" s="236" t="n"/>
      <c r="J138" s="236" t="n"/>
      <c r="K138" s="236" t="n"/>
      <c r="L138" s="236" t="n"/>
    </row>
    <row r="139" ht="15.75" customHeight="1" s="372">
      <c r="A139" s="408">
        <f>IFERROR(INDEX('CHOICE calc'!$F$2:$F$541,MATCH(ROWS(A$6:A139),'CHOICE calc'!$E$2:$E$541,0)),"")</f>
        <v/>
      </c>
      <c r="B139" s="409">
        <f>IFERROR(INDEX('CHOICE calc'!$G$2:$G$541,MATCH(ROWS(A$6:A139),'CHOICE calc'!$E$2:$E$541,0)),"")</f>
        <v/>
      </c>
      <c r="C139" s="297">
        <f>IFERROR(INDEX('CHOICE calc'!$H$2:$H$541,MATCH(ROWS(A$6:A139),'CHOICE calc'!$E$2:$E$541,0)),"")</f>
        <v/>
      </c>
      <c r="D139" s="268">
        <f>IFERROR(INDEX('CHOICE calc'!$I$2:$I$541,MATCH(ROWS(A$6:A139),'CHOICE calc'!$E$2:$E$541,0)),"")</f>
        <v/>
      </c>
      <c r="E139" s="297">
        <f>IFERROR(INDEX('CHOICE calc'!$J$2:$J$541,MATCH(ROWS(A$6:A139),'CHOICE calc'!$E$2:$E$541,0)),"")</f>
        <v/>
      </c>
      <c r="F139" s="268">
        <f>IFERROR(INDEX('CHOICE calc'!$K$2:$K$541,MATCH(ROWS(A$6:A139),'CHOICE calc'!$E$2:$E$541,0)),"")</f>
        <v/>
      </c>
      <c r="G139" s="297">
        <f>IFERROR(INDEX('CHOICE calc'!$L$2:$L$541,MATCH(ROWS(A$6:A139),'CHOICE calc'!$E$2:$E$541,0)),"")</f>
        <v/>
      </c>
      <c r="H139" s="297">
        <f>IFERROR(INDEX('CHOICE calc'!$A$2:$A$541,MATCH(ROWS(A$6:A139),'CHOICE calc'!$E$2:$E$541,0)),"")</f>
        <v/>
      </c>
      <c r="I139" s="236" t="n"/>
      <c r="J139" s="236" t="n"/>
      <c r="K139" s="236" t="n"/>
      <c r="L139" s="236" t="n"/>
    </row>
    <row r="140" ht="15.75" customHeight="1" s="372">
      <c r="A140" s="297" t="n"/>
      <c r="B140" s="297" t="n"/>
      <c r="C140" s="297" t="n"/>
      <c r="D140" s="268" t="n"/>
      <c r="E140" s="297" t="n"/>
      <c r="F140" s="268" t="n"/>
      <c r="G140" s="297" t="n"/>
      <c r="H140" s="297" t="n"/>
      <c r="I140" s="236" t="n"/>
      <c r="J140" s="236" t="n"/>
      <c r="K140" s="236" t="n"/>
      <c r="L140" s="236" t="n"/>
    </row>
    <row r="141" ht="15.75" customHeight="1" s="372">
      <c r="A141" s="297" t="n"/>
      <c r="B141" s="297" t="n"/>
      <c r="C141" s="297" t="n"/>
      <c r="D141" s="268" t="n"/>
      <c r="E141" s="297" t="n"/>
      <c r="F141" s="268" t="n"/>
      <c r="G141" s="297" t="n"/>
      <c r="H141" s="297" t="n"/>
      <c r="I141" s="236" t="n"/>
      <c r="J141" s="236" t="n"/>
      <c r="K141" s="236" t="n"/>
      <c r="L141" s="236" t="n"/>
    </row>
    <row r="142" ht="15.75" customHeight="1" s="372">
      <c r="A142" s="297" t="n"/>
      <c r="B142" s="297" t="n"/>
      <c r="C142" s="297" t="n"/>
      <c r="D142" s="268" t="n"/>
      <c r="E142" s="297" t="n"/>
      <c r="F142" s="268" t="n"/>
      <c r="G142" s="297" t="n"/>
      <c r="H142" s="297" t="n"/>
      <c r="I142" s="236" t="n"/>
      <c r="J142" s="236" t="n"/>
      <c r="K142" s="236" t="n"/>
      <c r="L142" s="236" t="n"/>
    </row>
    <row r="143" ht="15.75" customHeight="1" s="372">
      <c r="A143" s="297" t="n"/>
      <c r="B143" s="297" t="n"/>
      <c r="C143" s="297" t="n"/>
      <c r="D143" s="268" t="n"/>
      <c r="E143" s="297" t="n"/>
      <c r="F143" s="268" t="n"/>
      <c r="G143" s="297" t="n"/>
      <c r="H143" s="297" t="n"/>
      <c r="I143" s="236" t="n"/>
      <c r="J143" s="236" t="n"/>
      <c r="K143" s="236" t="n"/>
      <c r="L143" s="236" t="n"/>
    </row>
    <row r="144" ht="15.75" customHeight="1" s="372">
      <c r="A144" s="297" t="n"/>
      <c r="B144" s="297" t="n"/>
      <c r="C144" s="297" t="n"/>
      <c r="D144" s="268" t="n"/>
      <c r="E144" s="297" t="n"/>
      <c r="F144" s="268" t="n"/>
      <c r="G144" s="297" t="n"/>
      <c r="H144" s="297" t="n"/>
      <c r="I144" s="236" t="n"/>
      <c r="J144" s="236" t="n"/>
      <c r="K144" s="236" t="n"/>
      <c r="L144" s="236" t="n"/>
    </row>
    <row r="145" ht="15.75" customHeight="1" s="372">
      <c r="A145" s="297" t="n"/>
      <c r="B145" s="297" t="n"/>
      <c r="C145" s="297" t="n"/>
      <c r="D145" s="268" t="n"/>
      <c r="E145" s="297" t="n"/>
      <c r="F145" s="268" t="n"/>
      <c r="G145" s="297" t="n"/>
      <c r="H145" s="297" t="n"/>
      <c r="I145" s="236" t="n"/>
      <c r="J145" s="236" t="n"/>
      <c r="K145" s="236" t="n"/>
      <c r="L145" s="236" t="n"/>
    </row>
    <row r="146" ht="15.75" customHeight="1" s="372">
      <c r="A146" s="297" t="n"/>
      <c r="B146" s="297" t="n"/>
      <c r="C146" s="297" t="n"/>
      <c r="D146" s="268" t="n"/>
      <c r="E146" s="297" t="n"/>
      <c r="F146" s="268" t="n"/>
      <c r="G146" s="297" t="n"/>
      <c r="H146" s="297" t="n"/>
      <c r="I146" s="236" t="n"/>
      <c r="J146" s="236" t="n"/>
      <c r="K146" s="236" t="n"/>
      <c r="L146" s="236" t="n"/>
    </row>
    <row r="147" ht="15.75" customHeight="1" s="372">
      <c r="A147" s="297" t="n"/>
      <c r="B147" s="297" t="n"/>
      <c r="C147" s="297" t="n"/>
      <c r="D147" s="268" t="n"/>
      <c r="E147" s="297" t="n"/>
      <c r="F147" s="268" t="n"/>
      <c r="G147" s="297" t="n"/>
      <c r="H147" s="297" t="n"/>
      <c r="I147" s="236" t="n"/>
      <c r="J147" s="236" t="n"/>
      <c r="K147" s="236" t="n"/>
      <c r="L147" s="236" t="n"/>
    </row>
    <row r="148" ht="15.75" customHeight="1" s="372">
      <c r="A148" s="297" t="n"/>
      <c r="B148" s="297" t="n"/>
      <c r="C148" s="297" t="n"/>
      <c r="D148" s="268" t="n"/>
      <c r="E148" s="297" t="n"/>
      <c r="F148" s="268" t="n"/>
      <c r="G148" s="297" t="n"/>
      <c r="H148" s="297" t="n"/>
      <c r="I148" s="236" t="n"/>
      <c r="J148" s="236" t="n"/>
      <c r="K148" s="236" t="n"/>
      <c r="L148" s="236" t="n"/>
    </row>
    <row r="149" ht="15.75" customHeight="1" s="372">
      <c r="A149" s="297" t="n"/>
      <c r="B149" s="297" t="n"/>
      <c r="C149" s="297" t="n"/>
      <c r="D149" s="268" t="n"/>
      <c r="E149" s="297" t="n"/>
      <c r="F149" s="268" t="n"/>
      <c r="G149" s="297" t="n"/>
      <c r="H149" s="297" t="n"/>
      <c r="I149" s="236" t="n"/>
      <c r="J149" s="236" t="n"/>
      <c r="K149" s="236" t="n"/>
      <c r="L149" s="236" t="n"/>
    </row>
    <row r="150" ht="15.75" customHeight="1" s="372">
      <c r="A150" s="297" t="n"/>
      <c r="B150" s="297" t="n"/>
      <c r="C150" s="297" t="n"/>
      <c r="D150" s="268" t="n"/>
      <c r="E150" s="297" t="n"/>
      <c r="F150" s="268" t="n"/>
      <c r="G150" s="297" t="n"/>
      <c r="H150" s="297" t="n"/>
      <c r="I150" s="236" t="n"/>
      <c r="J150" s="236" t="n"/>
      <c r="K150" s="236" t="n"/>
      <c r="L150" s="236" t="n"/>
    </row>
    <row r="151" ht="15.75" customHeight="1" s="372">
      <c r="A151" s="297" t="n"/>
      <c r="B151" s="297" t="n"/>
      <c r="C151" s="297" t="n"/>
      <c r="D151" s="268" t="n"/>
      <c r="E151" s="297" t="n"/>
      <c r="F151" s="268" t="n"/>
      <c r="G151" s="297" t="n"/>
      <c r="H151" s="297" t="n"/>
      <c r="I151" s="236" t="n"/>
      <c r="J151" s="236" t="n"/>
      <c r="K151" s="236" t="n"/>
      <c r="L151" s="236" t="n"/>
    </row>
    <row r="152" ht="15.75" customHeight="1" s="372">
      <c r="A152" s="297" t="n"/>
      <c r="B152" s="297" t="n"/>
      <c r="C152" s="297" t="n"/>
      <c r="D152" s="268" t="n"/>
      <c r="E152" s="297" t="n"/>
      <c r="F152" s="268" t="n"/>
      <c r="G152" s="297" t="n"/>
      <c r="H152" s="297" t="n"/>
      <c r="I152" s="236" t="n"/>
      <c r="J152" s="236" t="n"/>
      <c r="K152" s="236" t="n"/>
      <c r="L152" s="236" t="n"/>
    </row>
    <row r="153" ht="15.75" customHeight="1" s="372">
      <c r="A153" s="297" t="n"/>
      <c r="B153" s="297" t="n"/>
      <c r="C153" s="297" t="n"/>
      <c r="D153" s="268" t="n"/>
      <c r="E153" s="297" t="n"/>
      <c r="F153" s="268" t="n"/>
      <c r="G153" s="297" t="n"/>
      <c r="H153" s="297" t="n"/>
      <c r="I153" s="236" t="n"/>
      <c r="J153" s="236" t="n"/>
      <c r="K153" s="236" t="n"/>
      <c r="L153" s="236" t="n"/>
    </row>
    <row r="154" ht="15.75" customHeight="1" s="372">
      <c r="A154" s="297" t="n"/>
      <c r="B154" s="297" t="n"/>
      <c r="C154" s="297" t="n"/>
      <c r="D154" s="268" t="n"/>
      <c r="E154" s="297" t="n"/>
      <c r="F154" s="268" t="n"/>
      <c r="G154" s="297" t="n"/>
      <c r="H154" s="297" t="n"/>
      <c r="I154" s="236" t="n"/>
      <c r="J154" s="236" t="n"/>
      <c r="K154" s="236" t="n"/>
      <c r="L154" s="236" t="n"/>
    </row>
    <row r="155" ht="15.75" customHeight="1" s="372">
      <c r="A155" s="297" t="n"/>
      <c r="B155" s="297" t="n"/>
      <c r="C155" s="297" t="n"/>
      <c r="D155" s="268" t="n"/>
      <c r="E155" s="297" t="n"/>
      <c r="F155" s="268" t="n"/>
      <c r="G155" s="297" t="n"/>
      <c r="H155" s="297" t="n"/>
      <c r="I155" s="236" t="n"/>
      <c r="J155" s="236" t="n"/>
      <c r="K155" s="236" t="n"/>
      <c r="L155" s="236" t="n"/>
    </row>
    <row r="156" ht="15.75" customHeight="1" s="372">
      <c r="A156" s="297" t="n"/>
      <c r="B156" s="297" t="n"/>
      <c r="C156" s="297" t="n"/>
      <c r="D156" s="268" t="n"/>
      <c r="E156" s="297" t="n"/>
      <c r="F156" s="268" t="n"/>
      <c r="G156" s="297" t="n"/>
      <c r="H156" s="297" t="n"/>
      <c r="I156" s="236" t="n"/>
      <c r="J156" s="236" t="n"/>
      <c r="K156" s="236" t="n"/>
      <c r="L156" s="236" t="n"/>
    </row>
    <row r="157" ht="15.75" customHeight="1" s="372">
      <c r="A157" s="297" t="n"/>
      <c r="B157" s="297" t="n"/>
      <c r="C157" s="297" t="n"/>
      <c r="D157" s="268" t="n"/>
      <c r="E157" s="297" t="n"/>
      <c r="F157" s="268" t="n"/>
      <c r="G157" s="297" t="n"/>
      <c r="H157" s="297" t="n"/>
      <c r="I157" s="236" t="n"/>
      <c r="J157" s="236" t="n"/>
      <c r="K157" s="236" t="n"/>
      <c r="L157" s="236" t="n"/>
    </row>
    <row r="158" ht="15.75" customHeight="1" s="372">
      <c r="A158" s="297" t="n"/>
      <c r="B158" s="297" t="n"/>
      <c r="C158" s="297" t="n"/>
      <c r="D158" s="268" t="n"/>
      <c r="E158" s="297" t="n"/>
      <c r="F158" s="268" t="n"/>
      <c r="G158" s="297" t="n"/>
      <c r="H158" s="297" t="n"/>
      <c r="I158" s="236" t="n"/>
      <c r="J158" s="236" t="n"/>
      <c r="K158" s="236" t="n"/>
      <c r="L158" s="236" t="n"/>
    </row>
    <row r="159" ht="15.75" customHeight="1" s="372">
      <c r="A159" s="297" t="n"/>
      <c r="B159" s="297" t="n"/>
      <c r="C159" s="297" t="n"/>
      <c r="D159" s="268" t="n"/>
      <c r="E159" s="297" t="n"/>
      <c r="F159" s="268" t="n"/>
      <c r="G159" s="297" t="n"/>
      <c r="H159" s="297" t="n"/>
      <c r="I159" s="236" t="n"/>
      <c r="J159" s="236" t="n"/>
      <c r="K159" s="236" t="n"/>
      <c r="L159" s="236" t="n"/>
    </row>
    <row r="160" ht="15.75" customHeight="1" s="372">
      <c r="A160" s="297" t="n"/>
      <c r="B160" s="297" t="n"/>
      <c r="C160" s="297" t="n"/>
      <c r="D160" s="268" t="n"/>
      <c r="E160" s="297" t="n"/>
      <c r="F160" s="268" t="n"/>
      <c r="G160" s="297" t="n"/>
      <c r="H160" s="297" t="n"/>
      <c r="I160" s="236" t="n"/>
      <c r="J160" s="236" t="n"/>
      <c r="K160" s="236" t="n"/>
      <c r="L160" s="236" t="n"/>
    </row>
    <row r="161" ht="15.75" customHeight="1" s="372">
      <c r="A161" s="297" t="n"/>
      <c r="B161" s="297" t="n"/>
      <c r="C161" s="297" t="n"/>
      <c r="D161" s="268" t="n"/>
      <c r="E161" s="297" t="n"/>
      <c r="F161" s="268" t="n"/>
      <c r="G161" s="297" t="n"/>
      <c r="H161" s="297" t="n"/>
      <c r="I161" s="236" t="n"/>
      <c r="J161" s="236" t="n"/>
      <c r="K161" s="236" t="n"/>
      <c r="L161" s="236" t="n"/>
    </row>
    <row r="162" ht="15.75" customHeight="1" s="372">
      <c r="A162" s="297" t="n"/>
      <c r="B162" s="297" t="n"/>
      <c r="C162" s="297" t="n"/>
      <c r="D162" s="268" t="n"/>
      <c r="E162" s="297" t="n"/>
      <c r="F162" s="268" t="n"/>
      <c r="G162" s="297" t="n"/>
      <c r="H162" s="297" t="n"/>
      <c r="I162" s="236" t="n"/>
      <c r="J162" s="236" t="n"/>
      <c r="K162" s="236" t="n"/>
      <c r="L162" s="236" t="n"/>
    </row>
    <row r="163" ht="15.75" customHeight="1" s="372">
      <c r="A163" s="297" t="n"/>
      <c r="B163" s="297" t="n"/>
      <c r="C163" s="297" t="n"/>
      <c r="D163" s="268" t="n"/>
      <c r="E163" s="297" t="n"/>
      <c r="F163" s="268" t="n"/>
      <c r="G163" s="297" t="n"/>
      <c r="H163" s="297" t="n"/>
      <c r="I163" s="236" t="n"/>
      <c r="J163" s="236" t="n"/>
      <c r="K163" s="236" t="n"/>
      <c r="L163" s="236" t="n"/>
    </row>
    <row r="164" ht="15.75" customHeight="1" s="372">
      <c r="A164" s="297" t="n"/>
      <c r="B164" s="297" t="n"/>
      <c r="C164" s="297" t="n"/>
      <c r="D164" s="268" t="n"/>
      <c r="E164" s="297" t="n"/>
      <c r="F164" s="268" t="n"/>
      <c r="G164" s="297" t="n"/>
      <c r="H164" s="297" t="n"/>
      <c r="I164" s="236" t="n"/>
      <c r="J164" s="236" t="n"/>
      <c r="K164" s="236" t="n"/>
      <c r="L164" s="236" t="n"/>
    </row>
    <row r="165" ht="15.75" customHeight="1" s="372">
      <c r="A165" s="297" t="n"/>
      <c r="B165" s="297" t="n"/>
      <c r="C165" s="297" t="n"/>
      <c r="D165" s="268" t="n"/>
      <c r="E165" s="297" t="n"/>
      <c r="F165" s="268" t="n"/>
      <c r="G165" s="297" t="n"/>
      <c r="H165" s="297" t="n"/>
      <c r="I165" s="236" t="n"/>
      <c r="J165" s="236" t="n"/>
      <c r="K165" s="236" t="n"/>
      <c r="L165" s="236" t="n"/>
    </row>
    <row r="166" ht="15.75" customHeight="1" s="372">
      <c r="A166" s="297" t="n"/>
      <c r="B166" s="297" t="n"/>
      <c r="C166" s="297" t="n"/>
      <c r="D166" s="268" t="n"/>
      <c r="E166" s="297" t="n"/>
      <c r="F166" s="268" t="n"/>
      <c r="G166" s="297" t="n"/>
      <c r="H166" s="297" t="n"/>
      <c r="I166" s="236" t="n"/>
      <c r="J166" s="236" t="n"/>
      <c r="K166" s="236" t="n"/>
      <c r="L166" s="236" t="n"/>
    </row>
    <row r="167" ht="15.75" customHeight="1" s="372">
      <c r="A167" s="297" t="n"/>
      <c r="B167" s="297" t="n"/>
      <c r="C167" s="297" t="n"/>
      <c r="D167" s="268" t="n"/>
      <c r="E167" s="297" t="n"/>
      <c r="F167" s="268" t="n"/>
      <c r="G167" s="297" t="n"/>
      <c r="H167" s="297" t="n"/>
      <c r="I167" s="236" t="n"/>
      <c r="J167" s="236" t="n"/>
      <c r="K167" s="236" t="n"/>
      <c r="L167" s="236" t="n"/>
    </row>
    <row r="168" ht="15.75" customHeight="1" s="372">
      <c r="A168" s="297" t="n"/>
      <c r="B168" s="297" t="n"/>
      <c r="C168" s="297" t="n"/>
      <c r="D168" s="268" t="n"/>
      <c r="E168" s="297" t="n"/>
      <c r="F168" s="268" t="n"/>
      <c r="G168" s="297" t="n"/>
      <c r="H168" s="297" t="n"/>
      <c r="I168" s="236" t="n"/>
      <c r="J168" s="236" t="n"/>
      <c r="K168" s="236" t="n"/>
      <c r="L168" s="236" t="n"/>
    </row>
    <row r="169" ht="15.75" customHeight="1" s="372">
      <c r="A169" s="297" t="n"/>
      <c r="B169" s="297" t="n"/>
      <c r="C169" s="297" t="n"/>
      <c r="D169" s="268" t="n"/>
      <c r="E169" s="297" t="n"/>
      <c r="F169" s="268" t="n"/>
      <c r="G169" s="297" t="n"/>
      <c r="H169" s="297" t="n"/>
      <c r="I169" s="236" t="n"/>
      <c r="J169" s="236" t="n"/>
      <c r="K169" s="236" t="n"/>
      <c r="L169" s="236" t="n"/>
    </row>
    <row r="170" ht="15.75" customHeight="1" s="372">
      <c r="A170" s="297" t="n"/>
      <c r="B170" s="297" t="n"/>
      <c r="C170" s="297" t="n"/>
      <c r="D170" s="268" t="n"/>
      <c r="E170" s="297" t="n"/>
      <c r="F170" s="268" t="n"/>
      <c r="G170" s="297" t="n"/>
      <c r="H170" s="297" t="n"/>
      <c r="I170" s="236" t="n"/>
      <c r="J170" s="236" t="n"/>
      <c r="K170" s="236" t="n"/>
      <c r="L170" s="236" t="n"/>
    </row>
    <row r="171" ht="15.75" customHeight="1" s="372">
      <c r="A171" s="297" t="n"/>
      <c r="B171" s="297" t="n"/>
      <c r="C171" s="297" t="n"/>
      <c r="D171" s="268" t="n"/>
      <c r="E171" s="297" t="n"/>
      <c r="F171" s="268" t="n"/>
      <c r="G171" s="297" t="n"/>
      <c r="H171" s="297" t="n"/>
      <c r="I171" s="236" t="n"/>
      <c r="J171" s="236" t="n"/>
      <c r="K171" s="236" t="n"/>
      <c r="L171" s="236" t="n"/>
    </row>
    <row r="172" ht="15.75" customHeight="1" s="372">
      <c r="A172" s="297" t="n"/>
      <c r="B172" s="297" t="n"/>
      <c r="C172" s="297" t="n"/>
      <c r="D172" s="268" t="n"/>
      <c r="E172" s="297" t="n"/>
      <c r="F172" s="268" t="n"/>
      <c r="G172" s="297" t="n"/>
      <c r="H172" s="297" t="n"/>
      <c r="I172" s="236" t="n"/>
      <c r="J172" s="236" t="n"/>
      <c r="K172" s="236" t="n"/>
      <c r="L172" s="236" t="n"/>
    </row>
    <row r="173" ht="15.75" customHeight="1" s="372">
      <c r="A173" s="297" t="n"/>
      <c r="B173" s="297" t="n"/>
      <c r="C173" s="297" t="n"/>
      <c r="D173" s="268" t="n"/>
      <c r="E173" s="297" t="n"/>
      <c r="F173" s="268" t="n"/>
      <c r="G173" s="297" t="n"/>
      <c r="H173" s="297" t="n"/>
      <c r="I173" s="236" t="n"/>
      <c r="J173" s="236" t="n"/>
      <c r="K173" s="236" t="n"/>
      <c r="L173" s="236" t="n"/>
    </row>
    <row r="174" ht="15.75" customHeight="1" s="372">
      <c r="A174" s="297" t="n"/>
      <c r="B174" s="297" t="n"/>
      <c r="C174" s="297" t="n"/>
      <c r="D174" s="268" t="n"/>
      <c r="E174" s="297" t="n"/>
      <c r="F174" s="268" t="n"/>
      <c r="G174" s="297" t="n"/>
      <c r="H174" s="297" t="n"/>
      <c r="I174" s="236" t="n"/>
      <c r="J174" s="236" t="n"/>
      <c r="K174" s="236" t="n"/>
      <c r="L174" s="236" t="n"/>
    </row>
    <row r="175" ht="15.75" customHeight="1" s="372">
      <c r="A175" s="297" t="n"/>
      <c r="B175" s="297" t="n"/>
      <c r="C175" s="297" t="n"/>
      <c r="D175" s="268" t="n"/>
      <c r="E175" s="297" t="n"/>
      <c r="F175" s="268" t="n"/>
      <c r="G175" s="297" t="n"/>
      <c r="H175" s="297" t="n"/>
      <c r="I175" s="236" t="n"/>
      <c r="J175" s="236" t="n"/>
      <c r="K175" s="236" t="n"/>
      <c r="L175" s="236" t="n"/>
    </row>
    <row r="176" ht="15.75" customHeight="1" s="372">
      <c r="A176" s="297" t="n"/>
      <c r="B176" s="297" t="n"/>
      <c r="C176" s="297" t="n"/>
      <c r="D176" s="268" t="n"/>
      <c r="E176" s="297" t="n"/>
      <c r="F176" s="268" t="n"/>
      <c r="G176" s="297" t="n"/>
      <c r="H176" s="297" t="n"/>
      <c r="I176" s="236" t="n"/>
      <c r="J176" s="236" t="n"/>
      <c r="K176" s="236" t="n"/>
      <c r="L176" s="236" t="n"/>
    </row>
    <row r="177" ht="15.75" customHeight="1" s="372">
      <c r="A177" s="297" t="n"/>
      <c r="B177" s="297" t="n"/>
      <c r="C177" s="297" t="n"/>
      <c r="D177" s="268" t="n"/>
      <c r="E177" s="297" t="n"/>
      <c r="F177" s="268" t="n"/>
      <c r="G177" s="297" t="n"/>
      <c r="H177" s="297" t="n"/>
      <c r="I177" s="236" t="n"/>
      <c r="J177" s="236" t="n"/>
      <c r="K177" s="236" t="n"/>
      <c r="L177" s="236" t="n"/>
    </row>
    <row r="178" ht="15.75" customHeight="1" s="372">
      <c r="A178" s="297" t="n"/>
      <c r="B178" s="297" t="n"/>
      <c r="C178" s="297" t="n"/>
      <c r="D178" s="268" t="n"/>
      <c r="E178" s="297" t="n"/>
      <c r="F178" s="268" t="n"/>
      <c r="G178" s="297" t="n"/>
      <c r="H178" s="297" t="n"/>
      <c r="I178" s="236" t="n"/>
      <c r="J178" s="236" t="n"/>
      <c r="K178" s="236" t="n"/>
      <c r="L178" s="236" t="n"/>
    </row>
    <row r="179" ht="15.75" customHeight="1" s="372">
      <c r="A179" s="297" t="n"/>
      <c r="B179" s="297" t="n"/>
      <c r="C179" s="297" t="n"/>
      <c r="D179" s="268" t="n"/>
      <c r="E179" s="297" t="n"/>
      <c r="F179" s="268" t="n"/>
      <c r="G179" s="297" t="n"/>
      <c r="H179" s="297" t="n"/>
      <c r="I179" s="236" t="n"/>
      <c r="J179" s="236" t="n"/>
      <c r="K179" s="236" t="n"/>
      <c r="L179" s="236" t="n"/>
    </row>
    <row r="180" ht="15.75" customHeight="1" s="372">
      <c r="A180" s="297" t="n"/>
      <c r="B180" s="297" t="n"/>
      <c r="C180" s="297" t="n"/>
      <c r="D180" s="268" t="n"/>
      <c r="E180" s="297" t="n"/>
      <c r="F180" s="268" t="n"/>
      <c r="G180" s="297" t="n"/>
      <c r="H180" s="297" t="n"/>
      <c r="I180" s="236" t="n"/>
      <c r="J180" s="236" t="n"/>
      <c r="K180" s="236" t="n"/>
      <c r="L180" s="236" t="n"/>
    </row>
    <row r="181" ht="15.75" customHeight="1" s="372">
      <c r="A181" s="297" t="n"/>
      <c r="B181" s="297" t="n"/>
      <c r="C181" s="297" t="n"/>
      <c r="D181" s="268" t="n"/>
      <c r="E181" s="297" t="n"/>
      <c r="F181" s="268" t="n"/>
      <c r="G181" s="297" t="n"/>
      <c r="H181" s="297" t="n"/>
      <c r="I181" s="236" t="n"/>
      <c r="J181" s="236" t="n"/>
      <c r="K181" s="236" t="n"/>
      <c r="L181" s="236" t="n"/>
    </row>
    <row r="182" ht="15.75" customHeight="1" s="372">
      <c r="A182" s="297" t="n"/>
      <c r="B182" s="297" t="n"/>
      <c r="C182" s="297" t="n"/>
      <c r="D182" s="268" t="n"/>
      <c r="E182" s="297" t="n"/>
      <c r="F182" s="268" t="n"/>
      <c r="G182" s="297" t="n"/>
      <c r="H182" s="297" t="n"/>
      <c r="I182" s="236" t="n"/>
      <c r="J182" s="236" t="n"/>
      <c r="K182" s="236" t="n"/>
      <c r="L182" s="236" t="n"/>
    </row>
    <row r="183" ht="15.75" customHeight="1" s="372">
      <c r="A183" s="297" t="n"/>
      <c r="B183" s="297" t="n"/>
      <c r="C183" s="297" t="n"/>
      <c r="D183" s="268" t="n"/>
      <c r="E183" s="297" t="n"/>
      <c r="F183" s="268" t="n"/>
      <c r="G183" s="297" t="n"/>
      <c r="H183" s="297" t="n"/>
      <c r="I183" s="236" t="n"/>
      <c r="J183" s="236" t="n"/>
      <c r="K183" s="236" t="n"/>
      <c r="L183" s="236" t="n"/>
    </row>
    <row r="184" ht="15.75" customHeight="1" s="372">
      <c r="A184" s="297" t="n"/>
      <c r="B184" s="297" t="n"/>
      <c r="C184" s="297" t="n"/>
      <c r="D184" s="268" t="n"/>
      <c r="E184" s="297" t="n"/>
      <c r="F184" s="268" t="n"/>
      <c r="G184" s="297" t="n"/>
      <c r="H184" s="297" t="n"/>
      <c r="I184" s="236" t="n"/>
      <c r="J184" s="236" t="n"/>
      <c r="K184" s="236" t="n"/>
      <c r="L184" s="236" t="n"/>
    </row>
    <row r="185" ht="15.75" customHeight="1" s="372">
      <c r="A185" s="297" t="n"/>
      <c r="B185" s="297" t="n"/>
      <c r="C185" s="297" t="n"/>
      <c r="D185" s="268" t="n"/>
      <c r="E185" s="297" t="n"/>
      <c r="F185" s="268" t="n"/>
      <c r="G185" s="297" t="n"/>
      <c r="H185" s="297" t="n"/>
      <c r="I185" s="236" t="n"/>
      <c r="J185" s="236" t="n"/>
      <c r="K185" s="236" t="n"/>
      <c r="L185" s="236" t="n"/>
    </row>
    <row r="186" ht="15.75" customHeight="1" s="372">
      <c r="A186" s="297" t="n"/>
      <c r="B186" s="297" t="n"/>
      <c r="C186" s="297" t="n"/>
      <c r="D186" s="268" t="n"/>
      <c r="E186" s="297" t="n"/>
      <c r="F186" s="268" t="n"/>
      <c r="G186" s="297" t="n"/>
      <c r="H186" s="297" t="n"/>
      <c r="I186" s="236" t="n"/>
      <c r="J186" s="236" t="n"/>
      <c r="K186" s="236" t="n"/>
      <c r="L186" s="236" t="n"/>
    </row>
    <row r="187" ht="15.75" customHeight="1" s="372">
      <c r="A187" s="297" t="n"/>
      <c r="B187" s="297" t="n"/>
      <c r="C187" s="297" t="n"/>
      <c r="D187" s="268" t="n"/>
      <c r="E187" s="297" t="n"/>
      <c r="F187" s="268" t="n"/>
      <c r="G187" s="297" t="n"/>
      <c r="H187" s="297" t="n"/>
      <c r="I187" s="236" t="n"/>
      <c r="J187" s="236" t="n"/>
      <c r="K187" s="236" t="n"/>
      <c r="L187" s="236" t="n"/>
    </row>
    <row r="188" ht="15.75" customHeight="1" s="372">
      <c r="A188" s="297" t="n"/>
      <c r="B188" s="297" t="n"/>
      <c r="C188" s="297" t="n"/>
      <c r="D188" s="268" t="n"/>
      <c r="E188" s="297" t="n"/>
      <c r="F188" s="268" t="n"/>
      <c r="G188" s="297" t="n"/>
      <c r="H188" s="297" t="n"/>
      <c r="I188" s="236" t="n"/>
      <c r="J188" s="236" t="n"/>
      <c r="K188" s="236" t="n"/>
      <c r="L188" s="236" t="n"/>
    </row>
    <row r="189" ht="15.75" customHeight="1" s="372">
      <c r="A189" s="297" t="n"/>
      <c r="B189" s="297" t="n"/>
      <c r="C189" s="297" t="n"/>
      <c r="D189" s="268" t="n"/>
      <c r="E189" s="297" t="n"/>
      <c r="F189" s="268" t="n"/>
      <c r="G189" s="297" t="n"/>
      <c r="H189" s="297" t="n"/>
      <c r="I189" s="236" t="n"/>
      <c r="J189" s="236" t="n"/>
      <c r="K189" s="236" t="n"/>
      <c r="L189" s="236" t="n"/>
    </row>
    <row r="190" ht="15.75" customHeight="1" s="372">
      <c r="A190" s="297" t="n"/>
      <c r="B190" s="297" t="n"/>
      <c r="C190" s="297" t="n"/>
      <c r="D190" s="268" t="n"/>
      <c r="E190" s="297" t="n"/>
      <c r="F190" s="268" t="n"/>
      <c r="G190" s="297" t="n"/>
      <c r="H190" s="297" t="n"/>
      <c r="I190" s="236" t="n"/>
      <c r="J190" s="236" t="n"/>
      <c r="K190" s="236" t="n"/>
      <c r="L190" s="236" t="n"/>
    </row>
    <row r="191" ht="15.75" customHeight="1" s="372">
      <c r="A191" s="297" t="n"/>
      <c r="B191" s="297" t="n"/>
      <c r="C191" s="297" t="n"/>
      <c r="D191" s="268" t="n"/>
      <c r="E191" s="297" t="n"/>
      <c r="F191" s="268" t="n"/>
      <c r="G191" s="297" t="n"/>
      <c r="H191" s="297" t="n"/>
      <c r="I191" s="236" t="n"/>
      <c r="J191" s="236" t="n"/>
      <c r="K191" s="236" t="n"/>
      <c r="L191" s="236" t="n"/>
    </row>
    <row r="192" ht="15.75" customHeight="1" s="372">
      <c r="A192" s="297" t="n"/>
      <c r="B192" s="297" t="n"/>
      <c r="C192" s="297" t="n"/>
      <c r="D192" s="268" t="n"/>
      <c r="E192" s="297" t="n"/>
      <c r="F192" s="268" t="n"/>
      <c r="G192" s="297" t="n"/>
      <c r="H192" s="297" t="n"/>
      <c r="I192" s="236" t="n"/>
      <c r="J192" s="236" t="n"/>
      <c r="K192" s="236" t="n"/>
      <c r="L192" s="236" t="n"/>
    </row>
    <row r="193" ht="15.75" customHeight="1" s="372">
      <c r="A193" s="297" t="n"/>
      <c r="B193" s="297" t="n"/>
      <c r="C193" s="297" t="n"/>
      <c r="D193" s="268" t="n"/>
      <c r="E193" s="297" t="n"/>
      <c r="F193" s="268" t="n"/>
      <c r="G193" s="297" t="n"/>
      <c r="H193" s="297" t="n"/>
      <c r="I193" s="236" t="n"/>
      <c r="J193" s="236" t="n"/>
      <c r="K193" s="236" t="n"/>
      <c r="L193" s="236" t="n"/>
    </row>
    <row r="194" ht="15.75" customHeight="1" s="372">
      <c r="A194" s="297" t="n"/>
      <c r="B194" s="297" t="n"/>
      <c r="C194" s="297" t="n"/>
      <c r="D194" s="268" t="n"/>
      <c r="E194" s="297" t="n"/>
      <c r="F194" s="268" t="n"/>
      <c r="G194" s="297" t="n"/>
      <c r="H194" s="297" t="n"/>
      <c r="I194" s="236" t="n"/>
      <c r="J194" s="236" t="n"/>
      <c r="K194" s="236" t="n"/>
      <c r="L194" s="236" t="n"/>
    </row>
    <row r="195" ht="15.75" customHeight="1" s="372">
      <c r="A195" s="297" t="n"/>
      <c r="B195" s="297" t="n"/>
      <c r="C195" s="297" t="n"/>
      <c r="D195" s="268" t="n"/>
      <c r="E195" s="297" t="n"/>
      <c r="F195" s="268" t="n"/>
      <c r="G195" s="297" t="n"/>
      <c r="H195" s="297" t="n"/>
      <c r="I195" s="236" t="n"/>
      <c r="J195" s="236" t="n"/>
      <c r="K195" s="236" t="n"/>
      <c r="L195" s="236" t="n"/>
    </row>
    <row r="196" ht="15.75" customHeight="1" s="372">
      <c r="A196" s="297" t="n"/>
      <c r="B196" s="297" t="n"/>
      <c r="C196" s="297" t="n"/>
      <c r="D196" s="268" t="n"/>
      <c r="E196" s="297" t="n"/>
      <c r="F196" s="268" t="n"/>
      <c r="G196" s="297" t="n"/>
      <c r="H196" s="297" t="n"/>
      <c r="I196" s="236" t="n"/>
      <c r="J196" s="236" t="n"/>
      <c r="K196" s="236" t="n"/>
      <c r="L196" s="236" t="n"/>
    </row>
    <row r="197" ht="15.75" customHeight="1" s="372">
      <c r="A197" s="297" t="n"/>
      <c r="B197" s="297" t="n"/>
      <c r="C197" s="297" t="n"/>
      <c r="D197" s="268" t="n"/>
      <c r="E197" s="297" t="n"/>
      <c r="F197" s="268" t="n"/>
      <c r="G197" s="297" t="n"/>
      <c r="H197" s="297" t="n"/>
      <c r="I197" s="236" t="n"/>
      <c r="J197" s="236" t="n"/>
      <c r="K197" s="236" t="n"/>
      <c r="L197" s="236" t="n"/>
    </row>
    <row r="198" ht="15.75" customHeight="1" s="372">
      <c r="A198" s="297" t="n"/>
      <c r="B198" s="297" t="n"/>
      <c r="C198" s="297" t="n"/>
      <c r="D198" s="268" t="n"/>
      <c r="E198" s="297" t="n"/>
      <c r="F198" s="268" t="n"/>
      <c r="G198" s="297" t="n"/>
      <c r="H198" s="297" t="n"/>
      <c r="I198" s="236" t="n"/>
      <c r="J198" s="236" t="n"/>
      <c r="K198" s="236" t="n"/>
      <c r="L198" s="236" t="n"/>
    </row>
    <row r="199" ht="15.75" customHeight="1" s="372">
      <c r="A199" s="297" t="n"/>
      <c r="B199" s="297" t="n"/>
      <c r="C199" s="297" t="n"/>
      <c r="D199" s="268" t="n"/>
      <c r="E199" s="297" t="n"/>
      <c r="F199" s="268" t="n"/>
      <c r="G199" s="297" t="n"/>
      <c r="H199" s="297" t="n"/>
      <c r="I199" s="236" t="n"/>
      <c r="J199" s="236" t="n"/>
      <c r="K199" s="236" t="n"/>
      <c r="L199" s="236" t="n"/>
    </row>
    <row r="200" ht="15.75" customHeight="1" s="372">
      <c r="A200" s="297" t="n"/>
      <c r="B200" s="297" t="n"/>
      <c r="C200" s="297" t="n"/>
      <c r="D200" s="268" t="n"/>
      <c r="E200" s="297" t="n"/>
      <c r="F200" s="268" t="n"/>
      <c r="G200" s="297" t="n"/>
      <c r="H200" s="297" t="n"/>
      <c r="I200" s="236" t="n"/>
      <c r="J200" s="236" t="n"/>
      <c r="K200" s="236" t="n"/>
      <c r="L200" s="236" t="n"/>
    </row>
    <row r="201" ht="15.75" customHeight="1" s="372">
      <c r="A201" s="297" t="n"/>
      <c r="B201" s="297" t="n"/>
      <c r="C201" s="297" t="n"/>
      <c r="D201" s="268" t="n"/>
      <c r="E201" s="297" t="n"/>
      <c r="F201" s="268" t="n"/>
      <c r="G201" s="297" t="n"/>
      <c r="H201" s="297" t="n"/>
      <c r="I201" s="236" t="n"/>
      <c r="J201" s="236" t="n"/>
      <c r="K201" s="236" t="n"/>
      <c r="L201" s="236" t="n"/>
    </row>
    <row r="202" ht="15.75" customHeight="1" s="372">
      <c r="A202" s="297" t="n"/>
      <c r="B202" s="297" t="n"/>
      <c r="C202" s="297" t="n"/>
      <c r="D202" s="268" t="n"/>
      <c r="E202" s="297" t="n"/>
      <c r="F202" s="268" t="n"/>
      <c r="G202" s="297" t="n"/>
      <c r="H202" s="297" t="n"/>
      <c r="I202" s="236" t="n"/>
      <c r="J202" s="236" t="n"/>
      <c r="K202" s="236" t="n"/>
      <c r="L202" s="236" t="n"/>
    </row>
    <row r="203" ht="15.75" customHeight="1" s="372">
      <c r="A203" s="297" t="n"/>
      <c r="B203" s="297" t="n"/>
      <c r="C203" s="297" t="n"/>
      <c r="D203" s="268" t="n"/>
      <c r="E203" s="297" t="n"/>
      <c r="F203" s="268" t="n"/>
      <c r="G203" s="297" t="n"/>
      <c r="H203" s="297" t="n"/>
      <c r="I203" s="236" t="n"/>
      <c r="J203" s="236" t="n"/>
      <c r="K203" s="236" t="n"/>
      <c r="L203" s="236" t="n"/>
    </row>
    <row r="204" ht="15.75" customHeight="1" s="372">
      <c r="A204" s="297" t="n"/>
      <c r="B204" s="297" t="n"/>
      <c r="C204" s="297" t="n"/>
      <c r="D204" s="268" t="n"/>
      <c r="E204" s="297" t="n"/>
      <c r="F204" s="268" t="n"/>
      <c r="G204" s="297" t="n"/>
      <c r="H204" s="297" t="n"/>
      <c r="I204" s="236" t="n"/>
      <c r="J204" s="236" t="n"/>
      <c r="K204" s="236" t="n"/>
      <c r="L204" s="236" t="n"/>
    </row>
    <row r="205" ht="15.75" customHeight="1" s="372">
      <c r="A205" s="297" t="n"/>
      <c r="B205" s="297" t="n"/>
      <c r="C205" s="297" t="n"/>
      <c r="D205" s="268" t="n"/>
      <c r="E205" s="297" t="n"/>
      <c r="F205" s="268" t="n"/>
      <c r="G205" s="297" t="n"/>
      <c r="H205" s="297" t="n"/>
      <c r="I205" s="236" t="n"/>
      <c r="J205" s="236" t="n"/>
      <c r="K205" s="236" t="n"/>
      <c r="L205" s="236" t="n"/>
    </row>
    <row r="206" ht="15.75" customHeight="1" s="372">
      <c r="A206" s="297" t="n"/>
      <c r="B206" s="297" t="n"/>
      <c r="C206" s="297" t="n"/>
      <c r="D206" s="268" t="n"/>
      <c r="E206" s="297" t="n"/>
      <c r="F206" s="268" t="n"/>
      <c r="G206" s="297" t="n"/>
      <c r="H206" s="297" t="n"/>
      <c r="I206" s="236" t="n"/>
      <c r="J206" s="236" t="n"/>
      <c r="K206" s="236" t="n"/>
      <c r="L206" s="236" t="n"/>
    </row>
    <row r="207" ht="15.75" customHeight="1" s="372">
      <c r="A207" s="297" t="n"/>
      <c r="B207" s="297" t="n"/>
      <c r="C207" s="297" t="n"/>
      <c r="D207" s="268" t="n"/>
      <c r="E207" s="297" t="n"/>
      <c r="F207" s="268" t="n"/>
      <c r="G207" s="297" t="n"/>
      <c r="H207" s="297" t="n"/>
      <c r="I207" s="236" t="n"/>
      <c r="J207" s="236" t="n"/>
      <c r="K207" s="236" t="n"/>
      <c r="L207" s="236" t="n"/>
    </row>
    <row r="208" ht="15.75" customHeight="1" s="372">
      <c r="A208" s="297" t="n"/>
      <c r="B208" s="297" t="n"/>
      <c r="C208" s="297" t="n"/>
      <c r="D208" s="268" t="n"/>
      <c r="E208" s="297" t="n"/>
      <c r="F208" s="268" t="n"/>
      <c r="G208" s="297" t="n"/>
      <c r="H208" s="297" t="n"/>
      <c r="I208" s="236" t="n"/>
      <c r="J208" s="236" t="n"/>
      <c r="K208" s="236" t="n"/>
      <c r="L208" s="236" t="n"/>
    </row>
    <row r="209" ht="15.75" customHeight="1" s="372">
      <c r="A209" s="297" t="n"/>
      <c r="B209" s="297" t="n"/>
      <c r="C209" s="297" t="n"/>
      <c r="D209" s="268" t="n"/>
      <c r="E209" s="297" t="n"/>
      <c r="F209" s="268" t="n"/>
      <c r="G209" s="297" t="n"/>
      <c r="H209" s="297" t="n"/>
      <c r="I209" s="236" t="n"/>
      <c r="J209" s="236" t="n"/>
      <c r="K209" s="236" t="n"/>
      <c r="L209" s="236" t="n"/>
    </row>
    <row r="210" ht="15.75" customHeight="1" s="372">
      <c r="A210" s="297" t="n"/>
      <c r="B210" s="297" t="n"/>
      <c r="C210" s="297" t="n"/>
      <c r="D210" s="268" t="n"/>
      <c r="E210" s="297" t="n"/>
      <c r="F210" s="268" t="n"/>
      <c r="G210" s="297" t="n"/>
      <c r="H210" s="297" t="n"/>
      <c r="I210" s="236" t="n"/>
      <c r="J210" s="236" t="n"/>
      <c r="K210" s="236" t="n"/>
      <c r="L210" s="236" t="n"/>
    </row>
    <row r="211" ht="15.75" customHeight="1" s="372">
      <c r="A211" s="297" t="n"/>
      <c r="B211" s="297" t="n"/>
      <c r="C211" s="297" t="n"/>
      <c r="D211" s="268" t="n"/>
      <c r="E211" s="297" t="n"/>
      <c r="F211" s="268" t="n"/>
      <c r="G211" s="297" t="n"/>
      <c r="H211" s="297" t="n"/>
      <c r="I211" s="236" t="n"/>
      <c r="J211" s="236" t="n"/>
      <c r="K211" s="236" t="n"/>
      <c r="L211" s="236" t="n"/>
    </row>
    <row r="212" ht="15.75" customHeight="1" s="372">
      <c r="A212" s="297" t="n"/>
      <c r="B212" s="297" t="n"/>
      <c r="C212" s="297" t="n"/>
      <c r="D212" s="268" t="n"/>
      <c r="E212" s="297" t="n"/>
      <c r="F212" s="268" t="n"/>
      <c r="G212" s="297" t="n"/>
      <c r="H212" s="297" t="n"/>
      <c r="I212" s="236" t="n"/>
      <c r="J212" s="236" t="n"/>
      <c r="K212" s="236" t="n"/>
      <c r="L212" s="236" t="n"/>
    </row>
    <row r="213" ht="15.75" customHeight="1" s="372">
      <c r="A213" s="297" t="n"/>
      <c r="B213" s="297" t="n"/>
      <c r="C213" s="297" t="n"/>
      <c r="D213" s="268" t="n"/>
      <c r="E213" s="297" t="n"/>
      <c r="F213" s="268" t="n"/>
      <c r="G213" s="297" t="n"/>
      <c r="H213" s="297" t="n"/>
      <c r="I213" s="236" t="n"/>
      <c r="J213" s="236" t="n"/>
      <c r="K213" s="236" t="n"/>
      <c r="L213" s="236" t="n"/>
    </row>
    <row r="214" ht="15.75" customHeight="1" s="372">
      <c r="A214" s="297" t="n"/>
      <c r="B214" s="297" t="n"/>
      <c r="C214" s="297" t="n"/>
      <c r="D214" s="268" t="n"/>
      <c r="E214" s="297" t="n"/>
      <c r="F214" s="268" t="n"/>
      <c r="G214" s="297" t="n"/>
      <c r="H214" s="297" t="n"/>
      <c r="I214" s="236" t="n"/>
      <c r="J214" s="236" t="n"/>
      <c r="K214" s="236" t="n"/>
      <c r="L214" s="236" t="n"/>
    </row>
    <row r="215" ht="15.75" customHeight="1" s="372">
      <c r="A215" s="297" t="n"/>
      <c r="B215" s="297" t="n"/>
      <c r="C215" s="297" t="n"/>
      <c r="D215" s="268" t="n"/>
      <c r="E215" s="297" t="n"/>
      <c r="F215" s="268" t="n"/>
      <c r="G215" s="297" t="n"/>
      <c r="H215" s="297" t="n"/>
      <c r="I215" s="236" t="n"/>
      <c r="J215" s="236" t="n"/>
      <c r="K215" s="236" t="n"/>
      <c r="L215" s="236" t="n"/>
    </row>
    <row r="216" ht="15.75" customHeight="1" s="372">
      <c r="A216" s="297" t="n"/>
      <c r="B216" s="297" t="n"/>
      <c r="C216" s="297" t="n"/>
      <c r="D216" s="268" t="n"/>
      <c r="E216" s="297" t="n"/>
      <c r="F216" s="268" t="n"/>
      <c r="G216" s="297" t="n"/>
      <c r="H216" s="297" t="n"/>
      <c r="I216" s="236" t="n"/>
      <c r="J216" s="236" t="n"/>
      <c r="K216" s="236" t="n"/>
      <c r="L216" s="236" t="n"/>
    </row>
    <row r="217" ht="15.75" customHeight="1" s="372">
      <c r="A217" s="297" t="n"/>
      <c r="B217" s="297" t="n"/>
      <c r="C217" s="297" t="n"/>
      <c r="D217" s="268" t="n"/>
      <c r="E217" s="297" t="n"/>
      <c r="F217" s="268" t="n"/>
      <c r="G217" s="297" t="n"/>
      <c r="H217" s="297" t="n"/>
      <c r="I217" s="236" t="n"/>
      <c r="J217" s="236" t="n"/>
      <c r="K217" s="236" t="n"/>
      <c r="L217" s="236" t="n"/>
    </row>
    <row r="218" ht="15.75" customHeight="1" s="372">
      <c r="A218" s="297" t="n"/>
      <c r="B218" s="297" t="n"/>
      <c r="C218" s="297" t="n"/>
      <c r="D218" s="297" t="n"/>
      <c r="E218" s="297" t="n"/>
      <c r="F218" s="297" t="n"/>
      <c r="G218" s="297" t="n"/>
      <c r="H218" s="297" t="n"/>
      <c r="I218" s="236" t="n"/>
      <c r="J218" s="236" t="n"/>
      <c r="K218" s="236" t="n"/>
      <c r="L218" s="236" t="n"/>
    </row>
    <row r="219" ht="15.75" customHeight="1" s="372">
      <c r="A219" s="297" t="n"/>
      <c r="B219" s="297" t="n"/>
      <c r="C219" s="297" t="n"/>
      <c r="D219" s="297" t="n"/>
      <c r="E219" s="297" t="n"/>
      <c r="F219" s="297" t="n"/>
      <c r="G219" s="297" t="n"/>
      <c r="H219" s="297" t="n"/>
      <c r="I219" s="236" t="n"/>
      <c r="J219" s="236" t="n"/>
      <c r="K219" s="236" t="n"/>
      <c r="L219" s="236" t="n"/>
    </row>
    <row r="220" ht="15.75" customHeight="1" s="372">
      <c r="A220" s="297" t="n"/>
      <c r="B220" s="297" t="n"/>
      <c r="C220" s="297" t="n"/>
      <c r="D220" s="297" t="n"/>
      <c r="E220" s="297" t="n"/>
      <c r="F220" s="297" t="n"/>
      <c r="G220" s="297" t="n"/>
      <c r="H220" s="297" t="n"/>
      <c r="I220" s="236" t="n"/>
      <c r="J220" s="236" t="n"/>
      <c r="K220" s="236" t="n"/>
      <c r="L220" s="236" t="n"/>
    </row>
    <row r="221" ht="15.75" customHeight="1" s="372">
      <c r="A221" s="297" t="n"/>
      <c r="B221" s="297" t="n"/>
      <c r="C221" s="297" t="n"/>
      <c r="D221" s="297" t="n"/>
      <c r="E221" s="297" t="n"/>
      <c r="F221" s="297" t="n"/>
      <c r="G221" s="297" t="n"/>
      <c r="H221" s="297" t="n"/>
      <c r="I221" s="236" t="n"/>
      <c r="J221" s="236" t="n"/>
      <c r="K221" s="236" t="n"/>
      <c r="L221" s="236" t="n"/>
    </row>
    <row r="222" ht="15.75" customHeight="1" s="372">
      <c r="A222" s="297" t="n"/>
      <c r="B222" s="297" t="n"/>
      <c r="C222" s="297" t="n"/>
      <c r="D222" s="297" t="n"/>
      <c r="E222" s="297" t="n"/>
      <c r="F222" s="297" t="n"/>
      <c r="G222" s="297" t="n"/>
      <c r="H222" s="297" t="n"/>
      <c r="I222" s="236" t="n"/>
      <c r="J222" s="236" t="n"/>
      <c r="K222" s="236" t="n"/>
      <c r="L222" s="236" t="n"/>
    </row>
    <row r="223" ht="15.75" customHeight="1" s="372">
      <c r="A223" s="297" t="n"/>
      <c r="B223" s="297" t="n"/>
      <c r="C223" s="297" t="n"/>
      <c r="D223" s="297" t="n"/>
      <c r="E223" s="297" t="n"/>
      <c r="F223" s="297" t="n"/>
      <c r="G223" s="297" t="n"/>
      <c r="H223" s="297" t="n"/>
      <c r="I223" s="236" t="n"/>
      <c r="J223" s="236" t="n"/>
      <c r="K223" s="236" t="n"/>
      <c r="L223" s="236" t="n"/>
    </row>
    <row r="224" ht="15.75" customHeight="1" s="372">
      <c r="A224" s="297" t="n"/>
      <c r="B224" s="297" t="n"/>
      <c r="C224" s="297" t="n"/>
      <c r="D224" s="297" t="n"/>
      <c r="E224" s="297" t="n"/>
      <c r="F224" s="297" t="n"/>
      <c r="G224" s="297" t="n"/>
      <c r="H224" s="297" t="n"/>
      <c r="I224" s="236" t="n"/>
      <c r="J224" s="236" t="n"/>
      <c r="K224" s="236" t="n"/>
      <c r="L224" s="236" t="n"/>
    </row>
    <row r="225" ht="15.75" customHeight="1" s="372">
      <c r="A225" s="297" t="n"/>
      <c r="B225" s="297" t="n"/>
      <c r="C225" s="297" t="n"/>
      <c r="D225" s="297" t="n"/>
      <c r="E225" s="297" t="n"/>
      <c r="F225" s="297" t="n"/>
      <c r="G225" s="297" t="n"/>
      <c r="H225" s="297" t="n"/>
      <c r="I225" s="236" t="n"/>
      <c r="J225" s="236" t="n"/>
      <c r="K225" s="236" t="n"/>
      <c r="L225" s="236" t="n"/>
    </row>
    <row r="226" ht="15.75" customHeight="1" s="372">
      <c r="A226" s="297" t="n"/>
      <c r="B226" s="297" t="n"/>
      <c r="C226" s="297" t="n"/>
      <c r="D226" s="297" t="n"/>
      <c r="E226" s="297" t="n"/>
      <c r="F226" s="297" t="n"/>
      <c r="G226" s="297" t="n"/>
      <c r="H226" s="297" t="n"/>
      <c r="I226" s="236" t="n"/>
      <c r="J226" s="236" t="n"/>
      <c r="K226" s="236" t="n"/>
      <c r="L226" s="236" t="n"/>
    </row>
    <row r="227" ht="15.75" customHeight="1" s="372">
      <c r="A227" s="297" t="n"/>
      <c r="B227" s="297" t="n"/>
      <c r="C227" s="297" t="n"/>
      <c r="D227" s="297" t="n"/>
      <c r="E227" s="297" t="n"/>
      <c r="F227" s="297" t="n"/>
      <c r="G227" s="297" t="n"/>
      <c r="H227" s="297" t="n"/>
      <c r="I227" s="236" t="n"/>
      <c r="J227" s="236" t="n"/>
      <c r="K227" s="236" t="n"/>
      <c r="L227" s="236" t="n"/>
    </row>
    <row r="228" ht="15.75" customHeight="1" s="372">
      <c r="A228" s="297" t="n"/>
      <c r="B228" s="297" t="n"/>
      <c r="C228" s="297" t="n"/>
      <c r="D228" s="297" t="n"/>
      <c r="E228" s="297" t="n"/>
      <c r="F228" s="297" t="n"/>
      <c r="G228" s="297" t="n"/>
      <c r="H228" s="297" t="n"/>
      <c r="I228" s="236" t="n"/>
      <c r="J228" s="236" t="n"/>
      <c r="K228" s="236" t="n"/>
      <c r="L228" s="236" t="n"/>
    </row>
    <row r="229" ht="15.75" customHeight="1" s="372">
      <c r="A229" s="297" t="n"/>
      <c r="B229" s="297" t="n"/>
      <c r="C229" s="297" t="n"/>
      <c r="D229" s="297" t="n"/>
      <c r="E229" s="297" t="n"/>
      <c r="F229" s="297" t="n"/>
      <c r="G229" s="297" t="n"/>
      <c r="H229" s="297" t="n"/>
      <c r="I229" s="236" t="n"/>
      <c r="J229" s="236" t="n"/>
      <c r="K229" s="236" t="n"/>
      <c r="L229" s="236" t="n"/>
    </row>
    <row r="230" ht="15.75" customHeight="1" s="372">
      <c r="A230" s="297" t="n"/>
      <c r="B230" s="297" t="n"/>
      <c r="C230" s="297" t="n"/>
      <c r="D230" s="297" t="n"/>
      <c r="E230" s="297" t="n"/>
      <c r="F230" s="297" t="n"/>
      <c r="G230" s="297" t="n"/>
      <c r="H230" s="297" t="n"/>
      <c r="I230" s="236" t="n"/>
      <c r="J230" s="236" t="n"/>
      <c r="K230" s="236" t="n"/>
      <c r="L230" s="236" t="n"/>
    </row>
    <row r="231" ht="15.75" customHeight="1" s="372">
      <c r="A231" s="297" t="n"/>
      <c r="B231" s="297" t="n"/>
      <c r="C231" s="297" t="n"/>
      <c r="D231" s="297" t="n"/>
      <c r="E231" s="297" t="n"/>
      <c r="F231" s="297" t="n"/>
      <c r="G231" s="297" t="n"/>
      <c r="H231" s="297" t="n"/>
      <c r="I231" s="236" t="n"/>
      <c r="J231" s="236" t="n"/>
      <c r="K231" s="236" t="n"/>
      <c r="L231" s="236" t="n"/>
    </row>
    <row r="232" ht="15.75" customHeight="1" s="372">
      <c r="A232" s="297" t="n"/>
      <c r="B232" s="297" t="n"/>
      <c r="C232" s="297" t="n"/>
      <c r="D232" s="297" t="n"/>
      <c r="E232" s="297" t="n"/>
      <c r="F232" s="297" t="n"/>
      <c r="G232" s="297" t="n"/>
      <c r="H232" s="297" t="n"/>
      <c r="I232" s="236" t="n"/>
      <c r="J232" s="236" t="n"/>
      <c r="K232" s="236" t="n"/>
      <c r="L232" s="236" t="n"/>
    </row>
    <row r="233" ht="15.75" customHeight="1" s="372">
      <c r="A233" s="297" t="n"/>
      <c r="B233" s="297" t="n"/>
      <c r="C233" s="297" t="n"/>
      <c r="D233" s="297" t="n"/>
      <c r="E233" s="297" t="n"/>
      <c r="F233" s="297" t="n"/>
      <c r="G233" s="297" t="n"/>
      <c r="H233" s="297" t="n"/>
      <c r="I233" s="236" t="n"/>
      <c r="J233" s="236" t="n"/>
      <c r="K233" s="236" t="n"/>
      <c r="L233" s="236" t="n"/>
    </row>
    <row r="234" ht="15.75" customHeight="1" s="372">
      <c r="A234" s="297" t="n"/>
      <c r="B234" s="297" t="n"/>
      <c r="C234" s="297" t="n"/>
      <c r="D234" s="297" t="n"/>
      <c r="E234" s="297" t="n"/>
      <c r="F234" s="297" t="n"/>
      <c r="G234" s="297" t="n"/>
      <c r="H234" s="297" t="n"/>
      <c r="I234" s="236" t="n"/>
      <c r="J234" s="236" t="n"/>
      <c r="K234" s="236" t="n"/>
      <c r="L234" s="236" t="n"/>
    </row>
    <row r="235" ht="15.75" customHeight="1" s="372">
      <c r="A235" s="297" t="n"/>
      <c r="B235" s="297" t="n"/>
      <c r="C235" s="297" t="n"/>
      <c r="D235" s="297" t="n"/>
      <c r="E235" s="297" t="n"/>
      <c r="F235" s="297" t="n"/>
      <c r="G235" s="297" t="n"/>
      <c r="H235" s="297" t="n"/>
      <c r="I235" s="236" t="n"/>
      <c r="J235" s="236" t="n"/>
      <c r="K235" s="236" t="n"/>
      <c r="L235" s="236" t="n"/>
    </row>
    <row r="236" ht="15.75" customHeight="1" s="372">
      <c r="A236" s="297" t="n"/>
      <c r="B236" s="297" t="n"/>
      <c r="C236" s="297" t="n"/>
      <c r="D236" s="297" t="n"/>
      <c r="E236" s="297" t="n"/>
      <c r="F236" s="297" t="n"/>
      <c r="G236" s="297" t="n"/>
      <c r="H236" s="297" t="n"/>
      <c r="I236" s="236" t="n"/>
      <c r="J236" s="236" t="n"/>
      <c r="K236" s="236" t="n"/>
      <c r="L236" s="236" t="n"/>
    </row>
    <row r="237" ht="15.75" customHeight="1" s="372">
      <c r="A237" s="297" t="n"/>
      <c r="B237" s="297" t="n"/>
      <c r="C237" s="297" t="n"/>
      <c r="D237" s="297" t="n"/>
      <c r="E237" s="297" t="n"/>
      <c r="F237" s="297" t="n"/>
      <c r="G237" s="297" t="n"/>
      <c r="H237" s="297" t="n"/>
      <c r="I237" s="236" t="n"/>
      <c r="J237" s="236" t="n"/>
      <c r="K237" s="236" t="n"/>
      <c r="L237" s="236" t="n"/>
    </row>
    <row r="238" ht="15.75" customHeight="1" s="372">
      <c r="A238" s="297" t="n"/>
      <c r="B238" s="297" t="n"/>
      <c r="C238" s="297" t="n"/>
      <c r="D238" s="297" t="n"/>
      <c r="E238" s="297" t="n"/>
      <c r="F238" s="297" t="n"/>
      <c r="G238" s="297" t="n"/>
      <c r="H238" s="297" t="n"/>
      <c r="I238" s="236" t="n"/>
      <c r="J238" s="236" t="n"/>
      <c r="K238" s="236" t="n"/>
      <c r="L238" s="236" t="n"/>
    </row>
    <row r="239" ht="15.75" customHeight="1" s="372">
      <c r="A239" s="297" t="n"/>
      <c r="B239" s="297" t="n"/>
      <c r="C239" s="297" t="n"/>
      <c r="D239" s="297" t="n"/>
      <c r="E239" s="297" t="n"/>
      <c r="F239" s="297" t="n"/>
      <c r="G239" s="297" t="n"/>
      <c r="H239" s="297" t="n"/>
      <c r="I239" s="236" t="n"/>
      <c r="J239" s="236" t="n"/>
      <c r="K239" s="236" t="n"/>
      <c r="L239" s="236" t="n"/>
    </row>
    <row r="240" ht="15.75" customHeight="1" s="372">
      <c r="A240" s="297" t="n"/>
      <c r="B240" s="297" t="n"/>
      <c r="C240" s="297" t="n"/>
      <c r="D240" s="297" t="n"/>
      <c r="E240" s="297" t="n"/>
      <c r="F240" s="297" t="n"/>
      <c r="G240" s="297" t="n"/>
      <c r="H240" s="297" t="n"/>
      <c r="I240" s="236" t="n"/>
      <c r="J240" s="236" t="n"/>
      <c r="K240" s="236" t="n"/>
      <c r="L240" s="236" t="n"/>
    </row>
    <row r="241" ht="15.75" customHeight="1" s="372">
      <c r="A241" s="297" t="n"/>
      <c r="B241" s="297" t="n"/>
      <c r="C241" s="297" t="n"/>
      <c r="D241" s="297" t="n"/>
      <c r="E241" s="297" t="n"/>
      <c r="F241" s="297" t="n"/>
      <c r="G241" s="297" t="n"/>
      <c r="H241" s="297" t="n"/>
      <c r="I241" s="236" t="n"/>
      <c r="J241" s="236" t="n"/>
      <c r="K241" s="236" t="n"/>
      <c r="L241" s="236" t="n"/>
    </row>
    <row r="242" ht="15.75" customHeight="1" s="372">
      <c r="A242" s="297" t="n"/>
      <c r="B242" s="297" t="n"/>
      <c r="C242" s="297" t="n"/>
      <c r="D242" s="297" t="n"/>
      <c r="E242" s="297" t="n"/>
      <c r="F242" s="297" t="n"/>
      <c r="G242" s="297" t="n"/>
      <c r="H242" s="297" t="n"/>
      <c r="I242" s="236" t="n"/>
      <c r="J242" s="236" t="n"/>
      <c r="K242" s="236" t="n"/>
      <c r="L242" s="236" t="n"/>
    </row>
    <row r="243" ht="15.75" customHeight="1" s="372">
      <c r="A243" s="297" t="n"/>
      <c r="B243" s="297" t="n"/>
      <c r="C243" s="297" t="n"/>
      <c r="D243" s="297" t="n"/>
      <c r="E243" s="297" t="n"/>
      <c r="F243" s="297" t="n"/>
      <c r="G243" s="297" t="n"/>
      <c r="H243" s="297" t="n"/>
      <c r="I243" s="236" t="n"/>
      <c r="J243" s="236" t="n"/>
      <c r="K243" s="236" t="n"/>
      <c r="L243" s="236" t="n"/>
    </row>
    <row r="244" ht="15.75" customHeight="1" s="372">
      <c r="A244" s="297" t="n"/>
      <c r="B244" s="297" t="n"/>
      <c r="C244" s="297" t="n"/>
      <c r="D244" s="297" t="n"/>
      <c r="E244" s="297" t="n"/>
      <c r="F244" s="297" t="n"/>
      <c r="G244" s="297" t="n"/>
      <c r="H244" s="297" t="n"/>
      <c r="I244" s="236" t="n"/>
      <c r="J244" s="236" t="n"/>
      <c r="K244" s="236" t="n"/>
      <c r="L244" s="236" t="n"/>
    </row>
    <row r="245" ht="15.75" customHeight="1" s="372">
      <c r="A245" s="297" t="n"/>
      <c r="B245" s="297" t="n"/>
      <c r="C245" s="297" t="n"/>
      <c r="D245" s="297" t="n"/>
      <c r="E245" s="297" t="n"/>
      <c r="F245" s="297" t="n"/>
      <c r="G245" s="297" t="n"/>
      <c r="H245" s="297" t="n"/>
      <c r="I245" s="236" t="n"/>
      <c r="J245" s="236" t="n"/>
      <c r="K245" s="236" t="n"/>
      <c r="L245" s="236" t="n"/>
    </row>
    <row r="246" ht="15.75" customHeight="1" s="372">
      <c r="A246" s="297" t="n"/>
      <c r="B246" s="297" t="n"/>
      <c r="C246" s="297" t="n"/>
      <c r="D246" s="297" t="n"/>
      <c r="E246" s="297" t="n"/>
      <c r="F246" s="297" t="n"/>
      <c r="G246" s="297" t="n"/>
      <c r="H246" s="297" t="n"/>
      <c r="I246" s="236" t="n"/>
      <c r="J246" s="236" t="n"/>
      <c r="K246" s="236" t="n"/>
      <c r="L246" s="236" t="n"/>
    </row>
    <row r="247" ht="15.75" customHeight="1" s="372">
      <c r="A247" s="297" t="n"/>
      <c r="B247" s="297" t="n"/>
      <c r="C247" s="297" t="n"/>
      <c r="D247" s="297" t="n"/>
      <c r="E247" s="297" t="n"/>
      <c r="F247" s="297" t="n"/>
      <c r="G247" s="297" t="n"/>
      <c r="H247" s="297" t="n"/>
      <c r="I247" s="236" t="n"/>
      <c r="J247" s="236" t="n"/>
      <c r="K247" s="236" t="n"/>
      <c r="L247" s="236" t="n"/>
    </row>
    <row r="248" ht="15.75" customHeight="1" s="372">
      <c r="A248" s="297" t="n"/>
      <c r="B248" s="297" t="n"/>
      <c r="C248" s="297" t="n"/>
      <c r="D248" s="297" t="n"/>
      <c r="E248" s="297" t="n"/>
      <c r="F248" s="297" t="n"/>
      <c r="G248" s="297" t="n"/>
      <c r="H248" s="297" t="n"/>
      <c r="I248" s="236" t="n"/>
      <c r="J248" s="236" t="n"/>
      <c r="K248" s="236" t="n"/>
      <c r="L248" s="236" t="n"/>
    </row>
    <row r="249" ht="15.75" customHeight="1" s="372">
      <c r="A249" s="297" t="n"/>
      <c r="B249" s="297" t="n"/>
      <c r="C249" s="297" t="n"/>
      <c r="D249" s="297" t="n"/>
      <c r="E249" s="297" t="n"/>
      <c r="F249" s="297" t="n"/>
      <c r="G249" s="297" t="n"/>
      <c r="H249" s="297" t="n"/>
      <c r="I249" s="236" t="n"/>
      <c r="J249" s="236" t="n"/>
      <c r="K249" s="236" t="n"/>
      <c r="L249" s="236" t="n"/>
    </row>
    <row r="250" ht="15.75" customHeight="1" s="372">
      <c r="A250" s="297" t="n"/>
      <c r="B250" s="297" t="n"/>
      <c r="C250" s="297" t="n"/>
      <c r="D250" s="297" t="n"/>
      <c r="E250" s="297" t="n"/>
      <c r="F250" s="297" t="n"/>
      <c r="G250" s="297" t="n"/>
      <c r="H250" s="297" t="n"/>
      <c r="I250" s="236" t="n"/>
      <c r="J250" s="236" t="n"/>
      <c r="K250" s="236" t="n"/>
      <c r="L250" s="236" t="n"/>
    </row>
    <row r="251" ht="15.75" customHeight="1" s="372">
      <c r="A251" s="297" t="n"/>
      <c r="B251" s="297" t="n"/>
      <c r="C251" s="297" t="n"/>
      <c r="D251" s="297" t="n"/>
      <c r="E251" s="297" t="n"/>
      <c r="F251" s="297" t="n"/>
      <c r="G251" s="297" t="n"/>
      <c r="H251" s="297" t="n"/>
      <c r="I251" s="236" t="n"/>
      <c r="J251" s="236" t="n"/>
      <c r="K251" s="236" t="n"/>
      <c r="L251" s="236" t="n"/>
    </row>
    <row r="252" ht="15.75" customHeight="1" s="372">
      <c r="A252" s="297" t="n"/>
      <c r="B252" s="297" t="n"/>
      <c r="C252" s="297" t="n"/>
      <c r="D252" s="297" t="n"/>
      <c r="E252" s="297" t="n"/>
      <c r="F252" s="297" t="n"/>
      <c r="G252" s="297" t="n"/>
      <c r="H252" s="297" t="n"/>
      <c r="I252" s="236" t="n"/>
      <c r="J252" s="236" t="n"/>
      <c r="K252" s="236" t="n"/>
      <c r="L252" s="236" t="n"/>
    </row>
    <row r="253" ht="15.75" customHeight="1" s="372">
      <c r="A253" s="297" t="n"/>
      <c r="B253" s="297" t="n"/>
      <c r="C253" s="297" t="n"/>
      <c r="D253" s="297" t="n"/>
      <c r="E253" s="297" t="n"/>
      <c r="F253" s="297" t="n"/>
      <c r="G253" s="297" t="n"/>
      <c r="H253" s="297" t="n"/>
      <c r="I253" s="236" t="n"/>
      <c r="J253" s="236" t="n"/>
      <c r="K253" s="236" t="n"/>
      <c r="L253" s="236" t="n"/>
    </row>
    <row r="254" ht="15.75" customHeight="1" s="372">
      <c r="A254" s="297" t="n"/>
      <c r="B254" s="297" t="n"/>
      <c r="C254" s="297" t="n"/>
      <c r="D254" s="297" t="n"/>
      <c r="E254" s="297" t="n"/>
      <c r="F254" s="297" t="n"/>
      <c r="G254" s="297" t="n"/>
      <c r="H254" s="297" t="n"/>
      <c r="I254" s="236" t="n"/>
      <c r="J254" s="236" t="n"/>
      <c r="K254" s="236" t="n"/>
      <c r="L254" s="236" t="n"/>
    </row>
    <row r="255" ht="15.75" customHeight="1" s="372">
      <c r="A255" s="297" t="n"/>
      <c r="B255" s="297" t="n"/>
      <c r="C255" s="297" t="n"/>
      <c r="D255" s="297" t="n"/>
      <c r="E255" s="297" t="n"/>
      <c r="F255" s="297" t="n"/>
      <c r="G255" s="297" t="n"/>
      <c r="H255" s="297" t="n"/>
      <c r="I255" s="236" t="n"/>
      <c r="J255" s="236" t="n"/>
      <c r="K255" s="236" t="n"/>
      <c r="L255" s="236" t="n"/>
    </row>
    <row r="256" ht="15.75" customHeight="1" s="372">
      <c r="A256" s="297" t="n"/>
      <c r="B256" s="297" t="n"/>
      <c r="C256" s="297" t="n"/>
      <c r="D256" s="297" t="n"/>
      <c r="E256" s="297" t="n"/>
      <c r="F256" s="297" t="n"/>
      <c r="G256" s="297" t="n"/>
      <c r="H256" s="297" t="n"/>
      <c r="I256" s="236" t="n"/>
      <c r="J256" s="236" t="n"/>
      <c r="K256" s="236" t="n"/>
      <c r="L256" s="236" t="n"/>
    </row>
    <row r="257" ht="15.75" customHeight="1" s="372">
      <c r="A257" s="297" t="n"/>
      <c r="B257" s="297" t="n"/>
      <c r="C257" s="297" t="n"/>
      <c r="D257" s="297" t="n"/>
      <c r="E257" s="297" t="n"/>
      <c r="F257" s="297" t="n"/>
      <c r="G257" s="297" t="n"/>
      <c r="H257" s="297" t="n"/>
      <c r="I257" s="236" t="n"/>
      <c r="J257" s="236" t="n"/>
      <c r="K257" s="236" t="n"/>
      <c r="L257" s="236" t="n"/>
    </row>
    <row r="258" ht="15.75" customHeight="1" s="372">
      <c r="A258" s="297" t="n"/>
      <c r="B258" s="297" t="n"/>
      <c r="C258" s="297" t="n"/>
      <c r="D258" s="297" t="n"/>
      <c r="E258" s="297" t="n"/>
      <c r="F258" s="297" t="n"/>
      <c r="G258" s="297" t="n"/>
      <c r="H258" s="297" t="n"/>
      <c r="I258" s="236" t="n"/>
      <c r="J258" s="236" t="n"/>
      <c r="K258" s="236" t="n"/>
      <c r="L258" s="236" t="n"/>
    </row>
    <row r="259" ht="15.75" customHeight="1" s="372">
      <c r="A259" s="297" t="n"/>
      <c r="B259" s="297" t="n"/>
      <c r="C259" s="297" t="n"/>
      <c r="D259" s="297" t="n"/>
      <c r="E259" s="297" t="n"/>
      <c r="F259" s="297" t="n"/>
      <c r="G259" s="297" t="n"/>
      <c r="H259" s="297" t="n"/>
      <c r="I259" s="236" t="n"/>
      <c r="J259" s="236" t="n"/>
      <c r="K259" s="236" t="n"/>
      <c r="L259" s="236" t="n"/>
    </row>
    <row r="260" ht="15.75" customHeight="1" s="372">
      <c r="A260" s="297" t="n"/>
      <c r="B260" s="297" t="n"/>
      <c r="C260" s="297" t="n"/>
      <c r="D260" s="297" t="n"/>
      <c r="E260" s="297" t="n"/>
      <c r="F260" s="297" t="n"/>
      <c r="G260" s="297" t="n"/>
      <c r="H260" s="297" t="n"/>
      <c r="I260" s="236" t="n"/>
      <c r="J260" s="236" t="n"/>
      <c r="K260" s="236" t="n"/>
      <c r="L260" s="236" t="n"/>
    </row>
    <row r="261" ht="15.75" customHeight="1" s="372">
      <c r="A261" s="297" t="n"/>
      <c r="B261" s="297" t="n"/>
      <c r="C261" s="297" t="n"/>
      <c r="D261" s="297" t="n"/>
      <c r="E261" s="297" t="n"/>
      <c r="F261" s="297" t="n"/>
      <c r="G261" s="297" t="n"/>
      <c r="H261" s="297" t="n"/>
      <c r="I261" s="236" t="n"/>
      <c r="J261" s="236" t="n"/>
      <c r="K261" s="236" t="n"/>
      <c r="L261" s="236" t="n"/>
    </row>
    <row r="262" ht="15.75" customHeight="1" s="372">
      <c r="A262" s="297" t="n"/>
      <c r="B262" s="297" t="n"/>
      <c r="C262" s="297" t="n"/>
      <c r="D262" s="297" t="n"/>
      <c r="E262" s="297" t="n"/>
      <c r="F262" s="297" t="n"/>
      <c r="G262" s="297" t="n"/>
      <c r="H262" s="297" t="n"/>
      <c r="I262" s="236" t="n"/>
      <c r="J262" s="236" t="n"/>
      <c r="K262" s="236" t="n"/>
      <c r="L262" s="236" t="n"/>
    </row>
    <row r="263" ht="15.75" customHeight="1" s="372">
      <c r="A263" s="297" t="n"/>
      <c r="B263" s="297" t="n"/>
      <c r="C263" s="297" t="n"/>
      <c r="D263" s="297" t="n"/>
      <c r="E263" s="297" t="n"/>
      <c r="F263" s="297" t="n"/>
      <c r="G263" s="297" t="n"/>
      <c r="H263" s="297" t="n"/>
      <c r="I263" s="236" t="n"/>
      <c r="J263" s="236" t="n"/>
      <c r="K263" s="236" t="n"/>
      <c r="L263" s="236" t="n"/>
    </row>
    <row r="264" ht="15.75" customHeight="1" s="372">
      <c r="A264" s="297" t="n"/>
      <c r="B264" s="297" t="n"/>
      <c r="C264" s="297" t="n"/>
      <c r="D264" s="297" t="n"/>
      <c r="E264" s="297" t="n"/>
      <c r="F264" s="297" t="n"/>
      <c r="G264" s="297" t="n"/>
      <c r="H264" s="297" t="n"/>
      <c r="I264" s="236" t="n"/>
      <c r="J264" s="236" t="n"/>
      <c r="K264" s="236" t="n"/>
      <c r="L264" s="236" t="n"/>
    </row>
    <row r="265" ht="15.75" customHeight="1" s="372">
      <c r="A265" s="297" t="n"/>
      <c r="B265" s="297" t="n"/>
      <c r="C265" s="297" t="n"/>
      <c r="D265" s="297" t="n"/>
      <c r="E265" s="297" t="n"/>
      <c r="F265" s="297" t="n"/>
      <c r="G265" s="297" t="n"/>
      <c r="H265" s="297" t="n"/>
      <c r="I265" s="236" t="n"/>
      <c r="J265" s="236" t="n"/>
      <c r="K265" s="236" t="n"/>
      <c r="L265" s="236" t="n"/>
    </row>
    <row r="266" ht="15.75" customHeight="1" s="372">
      <c r="A266" s="297" t="n"/>
      <c r="B266" s="297" t="n"/>
      <c r="C266" s="297" t="n"/>
      <c r="D266" s="297" t="n"/>
      <c r="E266" s="297" t="n"/>
      <c r="F266" s="297" t="n"/>
      <c r="G266" s="297" t="n"/>
      <c r="H266" s="297" t="n"/>
      <c r="I266" s="236" t="n"/>
      <c r="J266" s="236" t="n"/>
      <c r="K266" s="236" t="n"/>
      <c r="L266" s="236" t="n"/>
    </row>
    <row r="267" ht="15.75" customHeight="1" s="372">
      <c r="A267" s="297" t="n"/>
      <c r="B267" s="297" t="n"/>
      <c r="C267" s="297" t="n"/>
      <c r="D267" s="297" t="n"/>
      <c r="E267" s="297" t="n"/>
      <c r="F267" s="297" t="n"/>
      <c r="G267" s="297" t="n"/>
      <c r="H267" s="297" t="n"/>
      <c r="I267" s="236" t="n"/>
      <c r="J267" s="236" t="n"/>
      <c r="K267" s="236" t="n"/>
      <c r="L267" s="236" t="n"/>
    </row>
    <row r="268" ht="15.75" customHeight="1" s="372">
      <c r="A268" s="297" t="n"/>
      <c r="B268" s="297" t="n"/>
      <c r="C268" s="297" t="n"/>
      <c r="D268" s="297" t="n"/>
      <c r="E268" s="297" t="n"/>
      <c r="F268" s="297" t="n"/>
      <c r="G268" s="297" t="n"/>
      <c r="H268" s="297" t="n"/>
      <c r="I268" s="236" t="n"/>
      <c r="J268" s="236" t="n"/>
      <c r="K268" s="236" t="n"/>
      <c r="L268" s="236" t="n"/>
    </row>
    <row r="269" ht="15.75" customHeight="1" s="372">
      <c r="A269" s="297" t="n"/>
      <c r="B269" s="297" t="n"/>
      <c r="C269" s="297" t="n"/>
      <c r="D269" s="297" t="n"/>
      <c r="E269" s="297" t="n"/>
      <c r="F269" s="297" t="n"/>
      <c r="G269" s="297" t="n"/>
      <c r="H269" s="297" t="n"/>
      <c r="I269" s="236" t="n"/>
      <c r="J269" s="236" t="n"/>
      <c r="K269" s="236" t="n"/>
      <c r="L269" s="236" t="n"/>
    </row>
    <row r="270" ht="15.75" customHeight="1" s="372">
      <c r="A270" s="297" t="n"/>
      <c r="B270" s="297" t="n"/>
      <c r="C270" s="297" t="n"/>
      <c r="D270" s="297" t="n"/>
      <c r="E270" s="297" t="n"/>
      <c r="F270" s="297" t="n"/>
      <c r="G270" s="297" t="n"/>
      <c r="H270" s="297" t="n"/>
      <c r="I270" s="236" t="n"/>
      <c r="J270" s="236" t="n"/>
      <c r="K270" s="236" t="n"/>
      <c r="L270" s="236" t="n"/>
    </row>
    <row r="271" ht="15.75" customHeight="1" s="372">
      <c r="A271" s="297" t="n"/>
      <c r="B271" s="297" t="n"/>
      <c r="C271" s="297" t="n"/>
      <c r="D271" s="297" t="n"/>
      <c r="E271" s="297" t="n"/>
      <c r="F271" s="297" t="n"/>
      <c r="G271" s="297" t="n"/>
      <c r="H271" s="297" t="n"/>
      <c r="I271" s="236" t="n"/>
      <c r="J271" s="236" t="n"/>
      <c r="K271" s="236" t="n"/>
      <c r="L271" s="236" t="n"/>
    </row>
    <row r="272" ht="15.75" customHeight="1" s="372">
      <c r="A272" s="297" t="n"/>
      <c r="B272" s="297" t="n"/>
      <c r="C272" s="297" t="n"/>
      <c r="D272" s="297" t="n"/>
      <c r="E272" s="297" t="n"/>
      <c r="F272" s="297" t="n"/>
      <c r="G272" s="297" t="n"/>
      <c r="H272" s="297" t="n"/>
      <c r="I272" s="236" t="n"/>
      <c r="J272" s="236" t="n"/>
      <c r="K272" s="236" t="n"/>
      <c r="L272" s="236" t="n"/>
    </row>
    <row r="273" ht="15.75" customHeight="1" s="372">
      <c r="A273" s="297" t="n"/>
      <c r="B273" s="297" t="n"/>
      <c r="C273" s="297" t="n"/>
      <c r="D273" s="297" t="n"/>
      <c r="E273" s="297" t="n"/>
      <c r="F273" s="297" t="n"/>
      <c r="G273" s="297" t="n"/>
      <c r="H273" s="297" t="n"/>
      <c r="I273" s="236" t="n"/>
      <c r="J273" s="236" t="n"/>
      <c r="K273" s="236" t="n"/>
      <c r="L273" s="236" t="n"/>
    </row>
    <row r="274" ht="15.75" customHeight="1" s="372">
      <c r="A274" s="297" t="n"/>
      <c r="B274" s="297" t="n"/>
      <c r="C274" s="297" t="n"/>
      <c r="D274" s="297" t="n"/>
      <c r="E274" s="297" t="n"/>
      <c r="F274" s="297" t="n"/>
      <c r="G274" s="297" t="n"/>
      <c r="H274" s="297" t="n"/>
      <c r="I274" s="236" t="n"/>
      <c r="J274" s="236" t="n"/>
      <c r="K274" s="236" t="n"/>
      <c r="L274" s="236" t="n"/>
    </row>
    <row r="275" ht="15.75" customHeight="1" s="372">
      <c r="A275" s="297" t="n"/>
      <c r="B275" s="297" t="n"/>
      <c r="C275" s="297" t="n"/>
      <c r="D275" s="297" t="n"/>
      <c r="E275" s="297" t="n"/>
      <c r="F275" s="297" t="n"/>
      <c r="G275" s="297" t="n"/>
      <c r="H275" s="297" t="n"/>
      <c r="I275" s="236" t="n"/>
      <c r="J275" s="236" t="n"/>
      <c r="K275" s="236" t="n"/>
      <c r="L275" s="236" t="n"/>
    </row>
    <row r="276" ht="15.75" customHeight="1" s="372">
      <c r="A276" s="297" t="n"/>
      <c r="B276" s="297" t="n"/>
      <c r="C276" s="297" t="n"/>
      <c r="D276" s="297" t="n"/>
      <c r="E276" s="297" t="n"/>
      <c r="F276" s="297" t="n"/>
      <c r="G276" s="297" t="n"/>
      <c r="H276" s="297" t="n"/>
      <c r="I276" s="236" t="n"/>
      <c r="J276" s="236" t="n"/>
      <c r="K276" s="236" t="n"/>
      <c r="L276" s="236" t="n"/>
    </row>
    <row r="277" ht="15.75" customHeight="1" s="372">
      <c r="A277" s="297" t="n"/>
      <c r="B277" s="297" t="n"/>
      <c r="C277" s="297" t="n"/>
      <c r="D277" s="297" t="n"/>
      <c r="E277" s="297" t="n"/>
      <c r="F277" s="297" t="n"/>
      <c r="G277" s="297" t="n"/>
      <c r="H277" s="297" t="n"/>
      <c r="I277" s="236" t="n"/>
      <c r="J277" s="236" t="n"/>
      <c r="K277" s="236" t="n"/>
      <c r="L277" s="236" t="n"/>
    </row>
    <row r="278" ht="15.75" customHeight="1" s="372">
      <c r="A278" s="297" t="n"/>
      <c r="B278" s="297" t="n"/>
      <c r="C278" s="297" t="n"/>
      <c r="D278" s="297" t="n"/>
      <c r="E278" s="297" t="n"/>
      <c r="F278" s="297" t="n"/>
      <c r="G278" s="297" t="n"/>
      <c r="H278" s="297" t="n"/>
      <c r="I278" s="236" t="n"/>
      <c r="J278" s="236" t="n"/>
      <c r="K278" s="236" t="n"/>
      <c r="L278" s="236" t="n"/>
    </row>
    <row r="279" ht="15.75" customHeight="1" s="372">
      <c r="A279" s="297" t="n"/>
      <c r="B279" s="297" t="n"/>
      <c r="C279" s="297" t="n"/>
      <c r="D279" s="297" t="n"/>
      <c r="E279" s="297" t="n"/>
      <c r="F279" s="297" t="n"/>
      <c r="G279" s="297" t="n"/>
      <c r="H279" s="297" t="n"/>
      <c r="I279" s="236" t="n"/>
      <c r="J279" s="236" t="n"/>
      <c r="K279" s="236" t="n"/>
      <c r="L279" s="236" t="n"/>
    </row>
    <row r="280" ht="15.75" customHeight="1" s="372">
      <c r="A280" s="297" t="n"/>
      <c r="B280" s="297" t="n"/>
      <c r="C280" s="297" t="n"/>
      <c r="D280" s="297" t="n"/>
      <c r="E280" s="297" t="n"/>
      <c r="F280" s="297" t="n"/>
      <c r="G280" s="297" t="n"/>
      <c r="H280" s="297" t="n"/>
      <c r="I280" s="236" t="n"/>
      <c r="J280" s="236" t="n"/>
      <c r="K280" s="236" t="n"/>
      <c r="L280" s="236" t="n"/>
    </row>
    <row r="281" ht="15.75" customHeight="1" s="372">
      <c r="A281" s="297" t="n"/>
      <c r="B281" s="297" t="n"/>
      <c r="C281" s="297" t="n"/>
      <c r="D281" s="297" t="n"/>
      <c r="E281" s="297" t="n"/>
      <c r="F281" s="297" t="n"/>
      <c r="G281" s="297" t="n"/>
      <c r="H281" s="297" t="n"/>
      <c r="I281" s="236" t="n"/>
      <c r="J281" s="236" t="n"/>
      <c r="K281" s="236" t="n"/>
      <c r="L281" s="236" t="n"/>
    </row>
    <row r="282" ht="15.75" customHeight="1" s="372">
      <c r="A282" s="297" t="n"/>
      <c r="B282" s="297" t="n"/>
      <c r="C282" s="297" t="n"/>
      <c r="D282" s="297" t="n"/>
      <c r="E282" s="297" t="n"/>
      <c r="F282" s="297" t="n"/>
      <c r="G282" s="297" t="n"/>
      <c r="H282" s="297" t="n"/>
      <c r="I282" s="236" t="n"/>
      <c r="J282" s="236" t="n"/>
      <c r="K282" s="236" t="n"/>
      <c r="L282" s="236" t="n"/>
    </row>
    <row r="283" ht="15.75" customHeight="1" s="372">
      <c r="A283" s="297" t="n"/>
      <c r="B283" s="297" t="n"/>
      <c r="C283" s="297" t="n"/>
      <c r="D283" s="297" t="n"/>
      <c r="E283" s="297" t="n"/>
      <c r="F283" s="297" t="n"/>
      <c r="G283" s="297" t="n"/>
      <c r="H283" s="297" t="n"/>
      <c r="I283" s="236" t="n"/>
      <c r="J283" s="236" t="n"/>
      <c r="K283" s="236" t="n"/>
      <c r="L283" s="236" t="n"/>
    </row>
    <row r="284" ht="15.75" customHeight="1" s="372">
      <c r="A284" s="297" t="n"/>
      <c r="B284" s="297" t="n"/>
      <c r="C284" s="297" t="n"/>
      <c r="D284" s="297" t="n"/>
      <c r="E284" s="297" t="n"/>
      <c r="F284" s="297" t="n"/>
      <c r="G284" s="297" t="n"/>
      <c r="H284" s="297" t="n"/>
      <c r="I284" s="236" t="n"/>
      <c r="J284" s="236" t="n"/>
      <c r="K284" s="236" t="n"/>
      <c r="L284" s="236" t="n"/>
    </row>
    <row r="285" ht="15.75" customHeight="1" s="372">
      <c r="A285" s="297" t="n"/>
      <c r="B285" s="297" t="n"/>
      <c r="C285" s="297" t="n"/>
      <c r="D285" s="297" t="n"/>
      <c r="E285" s="297" t="n"/>
      <c r="F285" s="297" t="n"/>
      <c r="G285" s="297" t="n"/>
      <c r="H285" s="297" t="n"/>
      <c r="I285" s="236" t="n"/>
      <c r="J285" s="236" t="n"/>
      <c r="K285" s="236" t="n"/>
      <c r="L285" s="236" t="n"/>
    </row>
    <row r="286" ht="15.75" customHeight="1" s="372">
      <c r="A286" s="297" t="n"/>
      <c r="B286" s="297" t="n"/>
      <c r="C286" s="297" t="n"/>
      <c r="D286" s="297" t="n"/>
      <c r="E286" s="297" t="n"/>
      <c r="F286" s="297" t="n"/>
      <c r="G286" s="297" t="n"/>
      <c r="H286" s="297" t="n"/>
      <c r="I286" s="236" t="n"/>
      <c r="J286" s="236" t="n"/>
      <c r="K286" s="236" t="n"/>
      <c r="L286" s="236" t="n"/>
    </row>
    <row r="287" ht="15.75" customHeight="1" s="372">
      <c r="A287" s="297" t="n"/>
      <c r="B287" s="297" t="n"/>
      <c r="C287" s="297" t="n"/>
      <c r="D287" s="297" t="n"/>
      <c r="E287" s="297" t="n"/>
      <c r="F287" s="297" t="n"/>
      <c r="G287" s="297" t="n"/>
      <c r="H287" s="297" t="n"/>
      <c r="I287" s="236" t="n"/>
      <c r="J287" s="236" t="n"/>
      <c r="K287" s="236" t="n"/>
      <c r="L287" s="236" t="n"/>
    </row>
    <row r="288" ht="15.75" customHeight="1" s="372">
      <c r="A288" s="297" t="n"/>
      <c r="B288" s="297" t="n"/>
      <c r="C288" s="297" t="n"/>
      <c r="D288" s="297" t="n"/>
      <c r="E288" s="297" t="n"/>
      <c r="F288" s="297" t="n"/>
      <c r="G288" s="297" t="n"/>
      <c r="H288" s="297" t="n"/>
      <c r="I288" s="236" t="n"/>
      <c r="J288" s="236" t="n"/>
      <c r="K288" s="236" t="n"/>
      <c r="L288" s="236" t="n"/>
    </row>
    <row r="289" ht="15.75" customHeight="1" s="372">
      <c r="A289" s="297" t="n"/>
      <c r="B289" s="297" t="n"/>
      <c r="C289" s="297" t="n"/>
      <c r="D289" s="297" t="n"/>
      <c r="E289" s="297" t="n"/>
      <c r="F289" s="297" t="n"/>
      <c r="G289" s="297" t="n"/>
      <c r="H289" s="297" t="n"/>
      <c r="I289" s="236" t="n"/>
      <c r="J289" s="236" t="n"/>
      <c r="K289" s="236" t="n"/>
      <c r="L289" s="236" t="n"/>
    </row>
    <row r="290" ht="15.75" customHeight="1" s="372">
      <c r="A290" s="297" t="n"/>
      <c r="B290" s="297" t="n"/>
      <c r="C290" s="297" t="n"/>
      <c r="D290" s="297" t="n"/>
      <c r="E290" s="297" t="n"/>
      <c r="F290" s="297" t="n"/>
      <c r="G290" s="297" t="n"/>
      <c r="H290" s="297" t="n"/>
      <c r="I290" s="236" t="n"/>
      <c r="J290" s="236" t="n"/>
      <c r="K290" s="236" t="n"/>
      <c r="L290" s="236" t="n"/>
    </row>
    <row r="291" ht="15.75" customHeight="1" s="372">
      <c r="A291" s="297" t="n"/>
      <c r="B291" s="297" t="n"/>
      <c r="C291" s="297" t="n"/>
      <c r="D291" s="297" t="n"/>
      <c r="E291" s="297" t="n"/>
      <c r="F291" s="297" t="n"/>
      <c r="G291" s="297" t="n"/>
      <c r="H291" s="297" t="n"/>
      <c r="I291" s="236" t="n"/>
      <c r="J291" s="236" t="n"/>
      <c r="K291" s="236" t="n"/>
      <c r="L291" s="236" t="n"/>
    </row>
    <row r="292" ht="15.75" customHeight="1" s="372">
      <c r="A292" s="297" t="n"/>
      <c r="B292" s="297" t="n"/>
      <c r="C292" s="297" t="n"/>
      <c r="D292" s="297" t="n"/>
      <c r="E292" s="297" t="n"/>
      <c r="F292" s="297" t="n"/>
      <c r="G292" s="297" t="n"/>
      <c r="H292" s="297" t="n"/>
      <c r="I292" s="236" t="n"/>
      <c r="J292" s="236" t="n"/>
      <c r="K292" s="236" t="n"/>
      <c r="L292" s="236" t="n"/>
    </row>
    <row r="293" ht="15.75" customHeight="1" s="372">
      <c r="A293" s="297" t="n"/>
      <c r="B293" s="297" t="n"/>
      <c r="C293" s="297" t="n"/>
      <c r="D293" s="297" t="n"/>
      <c r="E293" s="297" t="n"/>
      <c r="F293" s="297" t="n"/>
      <c r="G293" s="297" t="n"/>
      <c r="H293" s="297" t="n"/>
      <c r="I293" s="236" t="n"/>
      <c r="J293" s="236" t="n"/>
      <c r="K293" s="236" t="n"/>
      <c r="L293" s="236" t="n"/>
    </row>
    <row r="294" ht="15.75" customHeight="1" s="372">
      <c r="A294" s="297" t="n"/>
      <c r="B294" s="297" t="n"/>
      <c r="C294" s="297" t="n"/>
      <c r="D294" s="297" t="n"/>
      <c r="E294" s="297" t="n"/>
      <c r="F294" s="297" t="n"/>
      <c r="G294" s="297" t="n"/>
      <c r="H294" s="297" t="n"/>
      <c r="I294" s="236" t="n"/>
      <c r="J294" s="236" t="n"/>
      <c r="K294" s="236" t="n"/>
      <c r="L294" s="236" t="n"/>
    </row>
    <row r="295" ht="15.75" customHeight="1" s="372">
      <c r="A295" s="297" t="n"/>
      <c r="B295" s="297" t="n"/>
      <c r="C295" s="297" t="n"/>
      <c r="D295" s="297" t="n"/>
      <c r="E295" s="297" t="n"/>
      <c r="F295" s="297" t="n"/>
      <c r="G295" s="297" t="n"/>
      <c r="H295" s="297" t="n"/>
      <c r="I295" s="236" t="n"/>
      <c r="J295" s="236" t="n"/>
      <c r="K295" s="236" t="n"/>
      <c r="L295" s="236" t="n"/>
    </row>
    <row r="296" ht="15.75" customHeight="1" s="372">
      <c r="A296" s="297" t="n"/>
      <c r="B296" s="297" t="n"/>
      <c r="C296" s="297" t="n"/>
      <c r="D296" s="297" t="n"/>
      <c r="E296" s="297" t="n"/>
      <c r="F296" s="297" t="n"/>
      <c r="G296" s="297" t="n"/>
      <c r="H296" s="297" t="n"/>
      <c r="I296" s="236" t="n"/>
      <c r="J296" s="236" t="n"/>
      <c r="K296" s="236" t="n"/>
      <c r="L296" s="236" t="n"/>
    </row>
    <row r="297" ht="15.75" customHeight="1" s="372">
      <c r="A297" s="297" t="n"/>
      <c r="B297" s="297" t="n"/>
      <c r="C297" s="297" t="n"/>
      <c r="D297" s="297" t="n"/>
      <c r="E297" s="297" t="n"/>
      <c r="F297" s="297" t="n"/>
      <c r="G297" s="297" t="n"/>
      <c r="H297" s="297" t="n"/>
      <c r="I297" s="236" t="n"/>
      <c r="J297" s="236" t="n"/>
      <c r="K297" s="236" t="n"/>
      <c r="L297" s="236" t="n"/>
    </row>
    <row r="298" ht="15.75" customHeight="1" s="372">
      <c r="A298" s="297" t="n"/>
      <c r="B298" s="297" t="n"/>
      <c r="C298" s="297" t="n"/>
      <c r="D298" s="297" t="n"/>
      <c r="E298" s="297" t="n"/>
      <c r="F298" s="297" t="n"/>
      <c r="G298" s="297" t="n"/>
      <c r="H298" s="297" t="n"/>
      <c r="I298" s="236" t="n"/>
      <c r="J298" s="236" t="n"/>
      <c r="K298" s="236" t="n"/>
      <c r="L298" s="236" t="n"/>
    </row>
    <row r="299" ht="15.75" customHeight="1" s="372">
      <c r="A299" s="297" t="n"/>
      <c r="B299" s="297" t="n"/>
      <c r="C299" s="297" t="n"/>
      <c r="D299" s="297" t="n"/>
      <c r="E299" s="297" t="n"/>
      <c r="F299" s="297" t="n"/>
      <c r="G299" s="297" t="n"/>
      <c r="H299" s="297" t="n"/>
      <c r="I299" s="236" t="n"/>
      <c r="J299" s="236" t="n"/>
      <c r="K299" s="236" t="n"/>
      <c r="L299" s="236" t="n"/>
    </row>
    <row r="300" ht="15.75" customHeight="1" s="372">
      <c r="A300" s="297" t="n"/>
      <c r="B300" s="297" t="n"/>
      <c r="C300" s="297" t="n"/>
      <c r="D300" s="297" t="n"/>
      <c r="E300" s="297" t="n"/>
      <c r="F300" s="297" t="n"/>
      <c r="G300" s="297" t="n"/>
      <c r="H300" s="297" t="n"/>
      <c r="I300" s="236" t="n"/>
      <c r="J300" s="236" t="n"/>
      <c r="K300" s="236" t="n"/>
      <c r="L300" s="236" t="n"/>
    </row>
    <row r="301" ht="15.75" customHeight="1" s="372">
      <c r="A301" s="297" t="n"/>
      <c r="B301" s="297" t="n"/>
      <c r="C301" s="297" t="n"/>
      <c r="D301" s="297" t="n"/>
      <c r="E301" s="297" t="n"/>
      <c r="F301" s="297" t="n"/>
      <c r="G301" s="297" t="n"/>
      <c r="H301" s="297" t="n"/>
      <c r="I301" s="236" t="n"/>
      <c r="J301" s="236" t="n"/>
      <c r="K301" s="236" t="n"/>
      <c r="L301" s="236" t="n"/>
    </row>
    <row r="302" ht="15.75" customHeight="1" s="372">
      <c r="A302" s="297" t="n"/>
      <c r="B302" s="297" t="n"/>
      <c r="C302" s="297" t="n"/>
      <c r="D302" s="297" t="n"/>
      <c r="E302" s="297" t="n"/>
      <c r="F302" s="297" t="n"/>
      <c r="G302" s="297" t="n"/>
      <c r="H302" s="297" t="n"/>
      <c r="I302" s="236" t="n"/>
      <c r="J302" s="236" t="n"/>
      <c r="K302" s="236" t="n"/>
      <c r="L302" s="236" t="n"/>
    </row>
    <row r="303" ht="15.75" customHeight="1" s="372">
      <c r="A303" s="297" t="n"/>
      <c r="B303" s="297" t="n"/>
      <c r="C303" s="297" t="n"/>
      <c r="D303" s="297" t="n"/>
      <c r="E303" s="297" t="n"/>
      <c r="F303" s="297" t="n"/>
      <c r="G303" s="297" t="n"/>
      <c r="H303" s="297" t="n"/>
      <c r="I303" s="236" t="n"/>
      <c r="J303" s="236" t="n"/>
      <c r="K303" s="236" t="n"/>
      <c r="L303" s="236" t="n"/>
    </row>
    <row r="304" ht="15.75" customHeight="1" s="372">
      <c r="A304" s="297" t="n"/>
      <c r="B304" s="297" t="n"/>
      <c r="C304" s="297" t="n"/>
      <c r="D304" s="297" t="n"/>
      <c r="E304" s="297" t="n"/>
      <c r="F304" s="297" t="n"/>
      <c r="G304" s="297" t="n"/>
      <c r="H304" s="297" t="n"/>
      <c r="I304" s="236" t="n"/>
      <c r="J304" s="236" t="n"/>
      <c r="K304" s="236" t="n"/>
      <c r="L304" s="236" t="n"/>
    </row>
    <row r="305" ht="15.75" customHeight="1" s="372">
      <c r="A305" s="297" t="n"/>
      <c r="B305" s="297" t="n"/>
      <c r="C305" s="297" t="n"/>
      <c r="D305" s="297" t="n"/>
      <c r="E305" s="297" t="n"/>
      <c r="F305" s="297" t="n"/>
      <c r="G305" s="297" t="n"/>
      <c r="H305" s="297" t="n"/>
      <c r="I305" s="236" t="n"/>
      <c r="J305" s="236" t="n"/>
      <c r="K305" s="236" t="n"/>
      <c r="L305" s="236" t="n"/>
    </row>
    <row r="306" ht="15.75" customHeight="1" s="372">
      <c r="A306" s="297" t="n"/>
      <c r="B306" s="297" t="n"/>
      <c r="C306" s="297" t="n"/>
      <c r="D306" s="297" t="n"/>
      <c r="E306" s="297" t="n"/>
      <c r="F306" s="297" t="n"/>
      <c r="G306" s="297" t="n"/>
      <c r="H306" s="297" t="n"/>
      <c r="I306" s="236" t="n"/>
      <c r="J306" s="236" t="n"/>
      <c r="K306" s="236" t="n"/>
      <c r="L306" s="236" t="n"/>
    </row>
    <row r="307" ht="15.75" customHeight="1" s="372">
      <c r="A307" s="297" t="n"/>
      <c r="B307" s="297" t="n"/>
      <c r="C307" s="297" t="n"/>
      <c r="D307" s="297" t="n"/>
      <c r="E307" s="297" t="n"/>
      <c r="F307" s="297" t="n"/>
      <c r="G307" s="297" t="n"/>
      <c r="H307" s="297" t="n"/>
      <c r="I307" s="236" t="n"/>
      <c r="J307" s="236" t="n"/>
      <c r="K307" s="236" t="n"/>
      <c r="L307" s="236" t="n"/>
    </row>
    <row r="308" ht="15.75" customHeight="1" s="372">
      <c r="A308" s="297" t="n"/>
      <c r="B308" s="297" t="n"/>
      <c r="C308" s="297" t="n"/>
      <c r="D308" s="297" t="n"/>
      <c r="E308" s="297" t="n"/>
      <c r="F308" s="297" t="n"/>
      <c r="G308" s="297" t="n"/>
      <c r="H308" s="297" t="n"/>
      <c r="I308" s="236" t="n"/>
      <c r="J308" s="236" t="n"/>
      <c r="K308" s="236" t="n"/>
      <c r="L308" s="236" t="n"/>
    </row>
    <row r="309" ht="15.75" customHeight="1" s="372">
      <c r="A309" s="297" t="n"/>
      <c r="B309" s="297" t="n"/>
      <c r="C309" s="297" t="n"/>
      <c r="D309" s="297" t="n"/>
      <c r="E309" s="297" t="n"/>
      <c r="F309" s="297" t="n"/>
      <c r="G309" s="297" t="n"/>
      <c r="H309" s="297" t="n"/>
      <c r="I309" s="236" t="n"/>
      <c r="J309" s="236" t="n"/>
      <c r="K309" s="236" t="n"/>
      <c r="L309" s="236" t="n"/>
    </row>
    <row r="310" ht="15.75" customHeight="1" s="372">
      <c r="A310" s="297" t="n"/>
      <c r="B310" s="297" t="n"/>
      <c r="C310" s="297" t="n"/>
      <c r="D310" s="297" t="n"/>
      <c r="E310" s="297" t="n"/>
      <c r="F310" s="297" t="n"/>
      <c r="G310" s="297" t="n"/>
      <c r="H310" s="297" t="n"/>
      <c r="I310" s="236" t="n"/>
      <c r="J310" s="236" t="n"/>
      <c r="K310" s="236" t="n"/>
      <c r="L310" s="236" t="n"/>
    </row>
    <row r="311" ht="15.75" customHeight="1" s="372">
      <c r="A311" s="297" t="n"/>
      <c r="B311" s="297" t="n"/>
      <c r="C311" s="297" t="n"/>
      <c r="D311" s="297" t="n"/>
      <c r="E311" s="297" t="n"/>
      <c r="F311" s="297" t="n"/>
      <c r="G311" s="297" t="n"/>
      <c r="H311" s="297" t="n"/>
      <c r="I311" s="236" t="n"/>
      <c r="J311" s="236" t="n"/>
      <c r="K311" s="236" t="n"/>
      <c r="L311" s="236" t="n"/>
    </row>
    <row r="312" ht="15.75" customHeight="1" s="372">
      <c r="A312" s="297" t="n"/>
      <c r="B312" s="297" t="n"/>
      <c r="C312" s="297" t="n"/>
      <c r="D312" s="297" t="n"/>
      <c r="E312" s="297" t="n"/>
      <c r="F312" s="297" t="n"/>
      <c r="G312" s="297" t="n"/>
      <c r="H312" s="297" t="n"/>
      <c r="I312" s="236" t="n"/>
      <c r="J312" s="236" t="n"/>
      <c r="K312" s="236" t="n"/>
      <c r="L312" s="236" t="n"/>
    </row>
    <row r="313" ht="15.75" customHeight="1" s="372">
      <c r="A313" s="297" t="n"/>
      <c r="B313" s="297" t="n"/>
      <c r="C313" s="297" t="n"/>
      <c r="D313" s="297" t="n"/>
      <c r="E313" s="297" t="n"/>
      <c r="F313" s="297" t="n"/>
      <c r="G313" s="297" t="n"/>
      <c r="H313" s="297" t="n"/>
      <c r="I313" s="236" t="n"/>
      <c r="J313" s="236" t="n"/>
      <c r="K313" s="236" t="n"/>
      <c r="L313" s="236" t="n"/>
    </row>
    <row r="314" ht="15.75" customHeight="1" s="372">
      <c r="A314" s="297" t="n"/>
      <c r="B314" s="297" t="n"/>
      <c r="C314" s="297" t="n"/>
      <c r="D314" s="297" t="n"/>
      <c r="E314" s="297" t="n"/>
      <c r="F314" s="297" t="n"/>
      <c r="G314" s="297" t="n"/>
      <c r="H314" s="297" t="n"/>
      <c r="I314" s="236" t="n"/>
      <c r="J314" s="236" t="n"/>
      <c r="K314" s="236" t="n"/>
      <c r="L314" s="236" t="n"/>
    </row>
    <row r="315" ht="15.75" customHeight="1" s="372">
      <c r="A315" s="297" t="n"/>
      <c r="B315" s="297" t="n"/>
      <c r="C315" s="297" t="n"/>
      <c r="D315" s="297" t="n"/>
      <c r="E315" s="297" t="n"/>
      <c r="F315" s="297" t="n"/>
      <c r="G315" s="297" t="n"/>
      <c r="H315" s="297" t="n"/>
      <c r="I315" s="236" t="n"/>
      <c r="J315" s="236" t="n"/>
      <c r="K315" s="236" t="n"/>
      <c r="L315" s="236" t="n"/>
    </row>
    <row r="316" ht="15.75" customHeight="1" s="372">
      <c r="A316" s="297" t="n"/>
      <c r="B316" s="297" t="n"/>
      <c r="C316" s="297" t="n"/>
      <c r="D316" s="297" t="n"/>
      <c r="E316" s="297" t="n"/>
      <c r="F316" s="297" t="n"/>
      <c r="G316" s="297" t="n"/>
      <c r="H316" s="297" t="n"/>
      <c r="I316" s="236" t="n"/>
      <c r="J316" s="236" t="n"/>
      <c r="K316" s="236" t="n"/>
      <c r="L316" s="236" t="n"/>
    </row>
    <row r="317" ht="15.75" customHeight="1" s="372">
      <c r="A317" s="297" t="n"/>
      <c r="B317" s="297" t="n"/>
      <c r="C317" s="297" t="n"/>
      <c r="D317" s="297" t="n"/>
      <c r="E317" s="297" t="n"/>
      <c r="F317" s="297" t="n"/>
      <c r="G317" s="297" t="n"/>
      <c r="H317" s="297" t="n"/>
      <c r="I317" s="236" t="n"/>
      <c r="J317" s="236" t="n"/>
      <c r="K317" s="236" t="n"/>
      <c r="L317" s="236" t="n"/>
    </row>
    <row r="318" ht="15.75" customHeight="1" s="372">
      <c r="A318" s="297" t="n"/>
      <c r="B318" s="297" t="n"/>
      <c r="C318" s="297" t="n"/>
      <c r="D318" s="297" t="n"/>
      <c r="E318" s="297" t="n"/>
      <c r="F318" s="297" t="n"/>
      <c r="G318" s="297" t="n"/>
      <c r="H318" s="297" t="n"/>
      <c r="I318" s="236" t="n"/>
      <c r="J318" s="236" t="n"/>
      <c r="K318" s="236" t="n"/>
      <c r="L318" s="236" t="n"/>
    </row>
    <row r="319" ht="15.75" customHeight="1" s="372">
      <c r="A319" s="297" t="n"/>
      <c r="B319" s="297" t="n"/>
      <c r="C319" s="297" t="n"/>
      <c r="D319" s="297" t="n"/>
      <c r="E319" s="297" t="n"/>
      <c r="F319" s="297" t="n"/>
      <c r="G319" s="297" t="n"/>
      <c r="H319" s="297" t="n"/>
      <c r="I319" s="236" t="n"/>
      <c r="J319" s="236" t="n"/>
      <c r="K319" s="236" t="n"/>
      <c r="L319" s="236" t="n"/>
    </row>
    <row r="320" ht="15.75" customHeight="1" s="372">
      <c r="A320" s="297" t="n"/>
      <c r="B320" s="297" t="n"/>
      <c r="C320" s="297" t="n"/>
      <c r="D320" s="297" t="n"/>
      <c r="E320" s="297" t="n"/>
      <c r="F320" s="297" t="n"/>
      <c r="G320" s="297" t="n"/>
      <c r="H320" s="297" t="n"/>
      <c r="I320" s="236" t="n"/>
      <c r="J320" s="236" t="n"/>
      <c r="K320" s="236" t="n"/>
      <c r="L320" s="236" t="n"/>
    </row>
    <row r="321" ht="15.75" customHeight="1" s="372">
      <c r="A321" s="297" t="n"/>
      <c r="B321" s="297" t="n"/>
      <c r="C321" s="297" t="n"/>
      <c r="D321" s="297" t="n"/>
      <c r="E321" s="297" t="n"/>
      <c r="F321" s="297" t="n"/>
      <c r="G321" s="297" t="n"/>
      <c r="H321" s="297" t="n"/>
      <c r="I321" s="236" t="n"/>
      <c r="J321" s="236" t="n"/>
      <c r="K321" s="236" t="n"/>
      <c r="L321" s="236" t="n"/>
    </row>
    <row r="322" ht="15.75" customHeight="1" s="372">
      <c r="A322" s="297" t="n"/>
      <c r="B322" s="297" t="n"/>
      <c r="C322" s="297" t="n"/>
      <c r="D322" s="297" t="n"/>
      <c r="E322" s="297" t="n"/>
      <c r="F322" s="297" t="n"/>
      <c r="G322" s="297" t="n"/>
      <c r="H322" s="297" t="n"/>
      <c r="I322" s="236" t="n"/>
      <c r="J322" s="236" t="n"/>
      <c r="K322" s="236" t="n"/>
      <c r="L322" s="236" t="n"/>
    </row>
    <row r="323" ht="15.75" customHeight="1" s="372">
      <c r="A323" s="297" t="n"/>
      <c r="B323" s="297" t="n"/>
      <c r="C323" s="297" t="n"/>
      <c r="D323" s="297" t="n"/>
      <c r="E323" s="297" t="n"/>
      <c r="F323" s="297" t="n"/>
      <c r="G323" s="297" t="n"/>
      <c r="H323" s="297" t="n"/>
      <c r="I323" s="236" t="n"/>
      <c r="J323" s="236" t="n"/>
      <c r="K323" s="236" t="n"/>
      <c r="L323" s="236" t="n"/>
    </row>
    <row r="324" ht="15.75" customHeight="1" s="372">
      <c r="A324" s="297" t="n"/>
      <c r="B324" s="297" t="n"/>
      <c r="C324" s="297" t="n"/>
      <c r="D324" s="297" t="n"/>
      <c r="E324" s="297" t="n"/>
      <c r="F324" s="297" t="n"/>
      <c r="G324" s="297" t="n"/>
      <c r="H324" s="297" t="n"/>
      <c r="I324" s="236" t="n"/>
      <c r="J324" s="236" t="n"/>
      <c r="K324" s="236" t="n"/>
      <c r="L324" s="236" t="n"/>
    </row>
    <row r="325" ht="15.75" customHeight="1" s="372">
      <c r="A325" s="297" t="n"/>
      <c r="B325" s="297" t="n"/>
      <c r="C325" s="297" t="n"/>
      <c r="D325" s="297" t="n"/>
      <c r="E325" s="297" t="n"/>
      <c r="F325" s="297" t="n"/>
      <c r="G325" s="297" t="n"/>
      <c r="H325" s="297" t="n"/>
      <c r="I325" s="236" t="n"/>
      <c r="J325" s="236" t="n"/>
      <c r="K325" s="236" t="n"/>
      <c r="L325" s="236" t="n"/>
    </row>
    <row r="326" ht="15.75" customHeight="1" s="372">
      <c r="A326" s="297" t="n"/>
      <c r="B326" s="297" t="n"/>
      <c r="C326" s="297" t="n"/>
      <c r="D326" s="297" t="n"/>
      <c r="E326" s="297" t="n"/>
      <c r="F326" s="297" t="n"/>
      <c r="G326" s="297" t="n"/>
      <c r="H326" s="297" t="n"/>
      <c r="I326" s="236" t="n"/>
      <c r="J326" s="236" t="n"/>
      <c r="K326" s="236" t="n"/>
      <c r="L326" s="236" t="n"/>
    </row>
    <row r="327" ht="15.75" customHeight="1" s="372">
      <c r="A327" s="297" t="n"/>
      <c r="B327" s="297" t="n"/>
      <c r="C327" s="297" t="n"/>
      <c r="D327" s="297" t="n"/>
      <c r="E327" s="297" t="n"/>
      <c r="F327" s="297" t="n"/>
      <c r="G327" s="297" t="n"/>
      <c r="H327" s="297" t="n"/>
      <c r="I327" s="236" t="n"/>
      <c r="J327" s="236" t="n"/>
      <c r="K327" s="236" t="n"/>
      <c r="L327" s="236" t="n"/>
    </row>
    <row r="328" ht="15.75" customHeight="1" s="372">
      <c r="A328" s="297" t="n"/>
      <c r="B328" s="297" t="n"/>
      <c r="C328" s="297" t="n"/>
      <c r="D328" s="297" t="n"/>
      <c r="E328" s="297" t="n"/>
      <c r="F328" s="297" t="n"/>
      <c r="G328" s="297" t="n"/>
      <c r="H328" s="297" t="n"/>
      <c r="I328" s="236" t="n"/>
      <c r="J328" s="236" t="n"/>
      <c r="K328" s="236" t="n"/>
      <c r="L328" s="236" t="n"/>
    </row>
    <row r="329" ht="15.75" customHeight="1" s="372">
      <c r="A329" s="297" t="n"/>
      <c r="B329" s="297" t="n"/>
      <c r="C329" s="297" t="n"/>
      <c r="D329" s="297" t="n"/>
      <c r="E329" s="297" t="n"/>
      <c r="F329" s="297" t="n"/>
      <c r="G329" s="297" t="n"/>
      <c r="H329" s="297" t="n"/>
      <c r="I329" s="236" t="n"/>
      <c r="J329" s="236" t="n"/>
      <c r="K329" s="236" t="n"/>
      <c r="L329" s="236" t="n"/>
    </row>
    <row r="330" ht="15.75" customHeight="1" s="372">
      <c r="A330" s="297" t="n"/>
      <c r="B330" s="297" t="n"/>
      <c r="C330" s="297" t="n"/>
      <c r="D330" s="297" t="n"/>
      <c r="E330" s="297" t="n"/>
      <c r="F330" s="297" t="n"/>
      <c r="G330" s="297" t="n"/>
      <c r="H330" s="297" t="n"/>
      <c r="I330" s="236" t="n"/>
      <c r="J330" s="236" t="n"/>
      <c r="K330" s="236" t="n"/>
      <c r="L330" s="236" t="n"/>
    </row>
    <row r="331" ht="15.75" customHeight="1" s="372">
      <c r="A331" s="297" t="n"/>
      <c r="B331" s="297" t="n"/>
      <c r="C331" s="297" t="n"/>
      <c r="D331" s="297" t="n"/>
      <c r="E331" s="297" t="n"/>
      <c r="F331" s="297" t="n"/>
      <c r="G331" s="297" t="n"/>
      <c r="H331" s="297" t="n"/>
      <c r="I331" s="236" t="n"/>
      <c r="J331" s="236" t="n"/>
      <c r="K331" s="236" t="n"/>
      <c r="L331" s="236" t="n"/>
    </row>
    <row r="332" ht="15.75" customHeight="1" s="372">
      <c r="A332" s="297" t="n"/>
      <c r="B332" s="297" t="n"/>
      <c r="C332" s="297" t="n"/>
      <c r="D332" s="297" t="n"/>
      <c r="E332" s="297" t="n"/>
      <c r="F332" s="297" t="n"/>
      <c r="G332" s="297" t="n"/>
      <c r="H332" s="297" t="n"/>
      <c r="I332" s="236" t="n"/>
      <c r="J332" s="236" t="n"/>
      <c r="K332" s="236" t="n"/>
      <c r="L332" s="236" t="n"/>
    </row>
    <row r="333" ht="15.75" customHeight="1" s="372">
      <c r="A333" s="297" t="n"/>
      <c r="B333" s="297" t="n"/>
      <c r="C333" s="297" t="n"/>
      <c r="D333" s="297" t="n"/>
      <c r="E333" s="297" t="n"/>
      <c r="F333" s="297" t="n"/>
      <c r="G333" s="297" t="n"/>
      <c r="H333" s="297" t="n"/>
      <c r="I333" s="236" t="n"/>
      <c r="J333" s="236" t="n"/>
      <c r="K333" s="236" t="n"/>
      <c r="L333" s="236" t="n"/>
    </row>
    <row r="334" ht="15.75" customHeight="1" s="372">
      <c r="A334" s="297" t="n"/>
      <c r="B334" s="297" t="n"/>
      <c r="C334" s="297" t="n"/>
      <c r="D334" s="297" t="n"/>
      <c r="E334" s="297" t="n"/>
      <c r="F334" s="297" t="n"/>
      <c r="G334" s="297" t="n"/>
      <c r="H334" s="297" t="n"/>
      <c r="I334" s="236" t="n"/>
      <c r="J334" s="236" t="n"/>
      <c r="K334" s="236" t="n"/>
      <c r="L334" s="236" t="n"/>
    </row>
    <row r="335" ht="15.75" customHeight="1" s="372">
      <c r="A335" s="297" t="n"/>
      <c r="B335" s="297" t="n"/>
      <c r="C335" s="297" t="n"/>
      <c r="D335" s="297" t="n"/>
      <c r="E335" s="297" t="n"/>
      <c r="F335" s="297" t="n"/>
      <c r="G335" s="297" t="n"/>
      <c r="H335" s="297" t="n"/>
      <c r="I335" s="236" t="n"/>
      <c r="J335" s="236" t="n"/>
      <c r="K335" s="236" t="n"/>
      <c r="L335" s="236" t="n"/>
    </row>
    <row r="336" ht="15.75" customHeight="1" s="372">
      <c r="A336" s="297" t="n"/>
      <c r="B336" s="297" t="n"/>
      <c r="C336" s="297" t="n"/>
      <c r="D336" s="297" t="n"/>
      <c r="E336" s="297" t="n"/>
      <c r="F336" s="297" t="n"/>
      <c r="G336" s="297" t="n"/>
      <c r="H336" s="297" t="n"/>
      <c r="I336" s="236" t="n"/>
      <c r="J336" s="236" t="n"/>
      <c r="K336" s="236" t="n"/>
      <c r="L336" s="236" t="n"/>
    </row>
    <row r="337" ht="15.75" customHeight="1" s="372">
      <c r="A337" s="297" t="n"/>
      <c r="B337" s="297" t="n"/>
      <c r="C337" s="297" t="n"/>
      <c r="D337" s="297" t="n"/>
      <c r="E337" s="297" t="n"/>
      <c r="F337" s="297" t="n"/>
      <c r="G337" s="297" t="n"/>
      <c r="H337" s="297" t="n"/>
      <c r="I337" s="236" t="n"/>
      <c r="J337" s="236" t="n"/>
      <c r="K337" s="236" t="n"/>
      <c r="L337" s="236" t="n"/>
    </row>
    <row r="338" ht="15.75" customHeight="1" s="372">
      <c r="A338" s="297" t="n"/>
      <c r="B338" s="297" t="n"/>
      <c r="C338" s="297" t="n"/>
      <c r="D338" s="297" t="n"/>
      <c r="E338" s="297" t="n"/>
      <c r="F338" s="297" t="n"/>
      <c r="G338" s="297" t="n"/>
      <c r="H338" s="297" t="n"/>
      <c r="I338" s="236" t="n"/>
      <c r="J338" s="236" t="n"/>
      <c r="K338" s="236" t="n"/>
      <c r="L338" s="236" t="n"/>
    </row>
    <row r="339" ht="15.75" customHeight="1" s="372">
      <c r="A339" s="297" t="n"/>
      <c r="B339" s="297" t="n"/>
      <c r="C339" s="297" t="n"/>
      <c r="D339" s="297" t="n"/>
      <c r="E339" s="297" t="n"/>
      <c r="F339" s="297" t="n"/>
      <c r="G339" s="297" t="n"/>
      <c r="H339" s="297" t="n"/>
      <c r="I339" s="236" t="n"/>
      <c r="J339" s="236" t="n"/>
      <c r="K339" s="236" t="n"/>
      <c r="L339" s="236" t="n"/>
    </row>
    <row r="340" ht="15.75" customHeight="1" s="372">
      <c r="A340" s="297" t="n"/>
      <c r="B340" s="297" t="n"/>
      <c r="C340" s="297" t="n"/>
      <c r="D340" s="297" t="n"/>
      <c r="E340" s="297" t="n"/>
      <c r="F340" s="297" t="n"/>
      <c r="G340" s="297" t="n"/>
      <c r="H340" s="297" t="n"/>
      <c r="I340" s="236" t="n"/>
      <c r="J340" s="236" t="n"/>
      <c r="K340" s="236" t="n"/>
      <c r="L340" s="236" t="n"/>
    </row>
    <row r="341" ht="15.75" customHeight="1" s="372">
      <c r="A341" s="297" t="n"/>
      <c r="B341" s="297" t="n"/>
      <c r="C341" s="297" t="n"/>
      <c r="D341" s="297" t="n"/>
      <c r="E341" s="297" t="n"/>
      <c r="F341" s="297" t="n"/>
      <c r="G341" s="297" t="n"/>
      <c r="H341" s="297" t="n"/>
      <c r="I341" s="236" t="n"/>
      <c r="J341" s="236" t="n"/>
      <c r="K341" s="236" t="n"/>
      <c r="L341" s="236" t="n"/>
    </row>
    <row r="342" ht="15.75" customHeight="1" s="372">
      <c r="A342" s="297" t="n"/>
      <c r="B342" s="297" t="n"/>
      <c r="C342" s="297" t="n"/>
      <c r="D342" s="297" t="n"/>
      <c r="E342" s="297" t="n"/>
      <c r="F342" s="297" t="n"/>
      <c r="G342" s="297" t="n"/>
      <c r="H342" s="297" t="n"/>
      <c r="I342" s="236" t="n"/>
      <c r="J342" s="236" t="n"/>
      <c r="K342" s="236" t="n"/>
      <c r="L342" s="236" t="n"/>
    </row>
    <row r="343" ht="15.75" customHeight="1" s="372">
      <c r="A343" s="297" t="n"/>
      <c r="B343" s="297" t="n"/>
      <c r="C343" s="297" t="n"/>
      <c r="D343" s="297" t="n"/>
      <c r="E343" s="297" t="n"/>
      <c r="F343" s="297" t="n"/>
      <c r="G343" s="297" t="n"/>
      <c r="H343" s="297" t="n"/>
      <c r="I343" s="236" t="n"/>
      <c r="J343" s="236" t="n"/>
      <c r="K343" s="236" t="n"/>
      <c r="L343" s="236" t="n"/>
    </row>
    <row r="344" ht="15.75" customHeight="1" s="372">
      <c r="A344" s="297" t="n"/>
      <c r="B344" s="297" t="n"/>
      <c r="C344" s="297" t="n"/>
      <c r="D344" s="297" t="n"/>
      <c r="E344" s="297" t="n"/>
      <c r="F344" s="297" t="n"/>
      <c r="G344" s="297" t="n"/>
      <c r="H344" s="297" t="n"/>
      <c r="I344" s="236" t="n"/>
      <c r="J344" s="236" t="n"/>
      <c r="K344" s="236" t="n"/>
      <c r="L344" s="236" t="n"/>
    </row>
    <row r="345" ht="15.75" customHeight="1" s="372">
      <c r="A345" s="297" t="n"/>
      <c r="B345" s="297" t="n"/>
      <c r="C345" s="297" t="n"/>
      <c r="D345" s="297" t="n"/>
      <c r="E345" s="297" t="n"/>
      <c r="F345" s="297" t="n"/>
      <c r="G345" s="297" t="n"/>
      <c r="H345" s="297" t="n"/>
      <c r="I345" s="236" t="n"/>
      <c r="J345" s="236" t="n"/>
      <c r="K345" s="236" t="n"/>
      <c r="L345" s="236" t="n"/>
    </row>
    <row r="346" ht="15.75" customHeight="1" s="372">
      <c r="A346" s="297" t="n"/>
      <c r="B346" s="297" t="n"/>
      <c r="C346" s="297" t="n"/>
      <c r="D346" s="297" t="n"/>
      <c r="E346" s="297" t="n"/>
      <c r="F346" s="297" t="n"/>
      <c r="G346" s="297" t="n"/>
      <c r="H346" s="297" t="n"/>
      <c r="I346" s="236" t="n"/>
      <c r="J346" s="236" t="n"/>
      <c r="K346" s="236" t="n"/>
      <c r="L346" s="236" t="n"/>
    </row>
    <row r="347" ht="15.75" customHeight="1" s="372">
      <c r="A347" s="297" t="n"/>
      <c r="B347" s="297" t="n"/>
      <c r="C347" s="297" t="n"/>
      <c r="D347" s="297" t="n"/>
      <c r="E347" s="297" t="n"/>
      <c r="F347" s="297" t="n"/>
      <c r="G347" s="297" t="n"/>
      <c r="H347" s="297" t="n"/>
      <c r="I347" s="236" t="n"/>
      <c r="J347" s="236" t="n"/>
      <c r="K347" s="236" t="n"/>
      <c r="L347" s="236" t="n"/>
    </row>
    <row r="348" ht="15.75" customHeight="1" s="372">
      <c r="A348" s="297" t="n"/>
      <c r="B348" s="297" t="n"/>
      <c r="C348" s="297" t="n"/>
      <c r="D348" s="297" t="n"/>
      <c r="E348" s="297" t="n"/>
      <c r="F348" s="297" t="n"/>
      <c r="G348" s="297" t="n"/>
      <c r="H348" s="297" t="n"/>
      <c r="I348" s="236" t="n"/>
      <c r="J348" s="236" t="n"/>
      <c r="K348" s="236" t="n"/>
      <c r="L348" s="236" t="n"/>
    </row>
    <row r="349" ht="15.75" customHeight="1" s="372">
      <c r="A349" s="297" t="n"/>
      <c r="B349" s="297" t="n"/>
      <c r="C349" s="297" t="n"/>
      <c r="D349" s="297" t="n"/>
      <c r="E349" s="297" t="n"/>
      <c r="F349" s="297" t="n"/>
      <c r="G349" s="297" t="n"/>
      <c r="H349" s="297" t="n"/>
      <c r="I349" s="236" t="n"/>
      <c r="J349" s="236" t="n"/>
      <c r="K349" s="236" t="n"/>
      <c r="L349" s="236" t="n"/>
    </row>
    <row r="350" ht="15.75" customHeight="1" s="372">
      <c r="A350" s="297" t="n"/>
      <c r="B350" s="297" t="n"/>
      <c r="C350" s="297" t="n"/>
      <c r="D350" s="297" t="n"/>
      <c r="E350" s="297" t="n"/>
      <c r="F350" s="297" t="n"/>
      <c r="G350" s="297" t="n"/>
      <c r="H350" s="297" t="n"/>
      <c r="I350" s="236" t="n"/>
      <c r="J350" s="236" t="n"/>
      <c r="K350" s="236" t="n"/>
      <c r="L350" s="236" t="n"/>
    </row>
    <row r="351" ht="15.75" customHeight="1" s="372">
      <c r="A351" s="297" t="n"/>
      <c r="B351" s="297" t="n"/>
      <c r="C351" s="297" t="n"/>
      <c r="D351" s="297" t="n"/>
      <c r="E351" s="297" t="n"/>
      <c r="F351" s="297" t="n"/>
      <c r="G351" s="297" t="n"/>
      <c r="H351" s="297" t="n"/>
      <c r="I351" s="236" t="n"/>
      <c r="J351" s="236" t="n"/>
      <c r="K351" s="236" t="n"/>
      <c r="L351" s="236" t="n"/>
    </row>
    <row r="352" ht="15.75" customHeight="1" s="372">
      <c r="A352" s="297" t="n"/>
      <c r="B352" s="297" t="n"/>
      <c r="C352" s="297" t="n"/>
      <c r="D352" s="297" t="n"/>
      <c r="E352" s="297" t="n"/>
      <c r="F352" s="297" t="n"/>
      <c r="G352" s="297" t="n"/>
      <c r="H352" s="297" t="n"/>
      <c r="I352" s="236" t="n"/>
      <c r="J352" s="236" t="n"/>
      <c r="K352" s="236" t="n"/>
      <c r="L352" s="236" t="n"/>
    </row>
    <row r="353" ht="15.75" customHeight="1" s="372">
      <c r="A353" s="297" t="n"/>
      <c r="B353" s="297" t="n"/>
      <c r="C353" s="297" t="n"/>
      <c r="D353" s="297" t="n"/>
      <c r="E353" s="297" t="n"/>
      <c r="F353" s="297" t="n"/>
      <c r="G353" s="297" t="n"/>
      <c r="H353" s="297" t="n"/>
      <c r="I353" s="236" t="n"/>
      <c r="J353" s="236" t="n"/>
      <c r="K353" s="236" t="n"/>
      <c r="L353" s="236" t="n"/>
    </row>
    <row r="354" ht="15.75" customHeight="1" s="372">
      <c r="A354" s="297" t="n"/>
      <c r="B354" s="297" t="n"/>
      <c r="C354" s="297" t="n"/>
      <c r="D354" s="297" t="n"/>
      <c r="E354" s="297" t="n"/>
      <c r="F354" s="297" t="n"/>
      <c r="G354" s="297" t="n"/>
      <c r="H354" s="297" t="n"/>
      <c r="I354" s="236" t="n"/>
      <c r="J354" s="236" t="n"/>
      <c r="K354" s="236" t="n"/>
      <c r="L354" s="236" t="n"/>
    </row>
    <row r="355" ht="15.75" customHeight="1" s="372">
      <c r="A355" s="297" t="n"/>
      <c r="B355" s="297" t="n"/>
      <c r="C355" s="297" t="n"/>
      <c r="D355" s="297" t="n"/>
      <c r="E355" s="297" t="n"/>
      <c r="F355" s="297" t="n"/>
      <c r="G355" s="297" t="n"/>
      <c r="H355" s="297" t="n"/>
      <c r="I355" s="236" t="n"/>
      <c r="J355" s="236" t="n"/>
      <c r="K355" s="236" t="n"/>
      <c r="L355" s="236" t="n"/>
    </row>
    <row r="356" ht="15.75" customHeight="1" s="372">
      <c r="A356" s="297" t="n"/>
      <c r="B356" s="297" t="n"/>
      <c r="C356" s="297" t="n"/>
      <c r="D356" s="297" t="n"/>
      <c r="E356" s="297" t="n"/>
      <c r="F356" s="297" t="n"/>
      <c r="G356" s="297" t="n"/>
      <c r="H356" s="297" t="n"/>
      <c r="I356" s="236" t="n"/>
      <c r="J356" s="236" t="n"/>
      <c r="K356" s="236" t="n"/>
      <c r="L356" s="236" t="n"/>
    </row>
    <row r="357" ht="15.75" customHeight="1" s="372">
      <c r="A357" s="297" t="n"/>
      <c r="B357" s="297" t="n"/>
      <c r="C357" s="297" t="n"/>
      <c r="D357" s="297" t="n"/>
      <c r="E357" s="297" t="n"/>
      <c r="F357" s="297" t="n"/>
      <c r="G357" s="297" t="n"/>
      <c r="H357" s="297" t="n"/>
      <c r="I357" s="236" t="n"/>
      <c r="J357" s="236" t="n"/>
      <c r="K357" s="236" t="n"/>
      <c r="L357" s="236" t="n"/>
    </row>
    <row r="358" ht="15.75" customHeight="1" s="372">
      <c r="A358" s="297" t="n"/>
      <c r="B358" s="297" t="n"/>
      <c r="C358" s="297" t="n"/>
      <c r="D358" s="297" t="n"/>
      <c r="E358" s="297" t="n"/>
      <c r="F358" s="297" t="n"/>
      <c r="G358" s="297" t="n"/>
      <c r="H358" s="297" t="n"/>
      <c r="I358" s="236" t="n"/>
      <c r="J358" s="236" t="n"/>
      <c r="K358" s="236" t="n"/>
      <c r="L358" s="236" t="n"/>
    </row>
    <row r="359" ht="15.75" customHeight="1" s="372">
      <c r="A359" s="297" t="n"/>
      <c r="B359" s="297" t="n"/>
      <c r="C359" s="297" t="n"/>
      <c r="D359" s="297" t="n"/>
      <c r="E359" s="297" t="n"/>
      <c r="F359" s="297" t="n"/>
      <c r="G359" s="297" t="n"/>
      <c r="H359" s="297" t="n"/>
      <c r="I359" s="236" t="n"/>
      <c r="J359" s="236" t="n"/>
      <c r="K359" s="236" t="n"/>
      <c r="L359" s="236" t="n"/>
    </row>
    <row r="360" ht="15.75" customHeight="1" s="372">
      <c r="A360" s="297" t="n"/>
      <c r="B360" s="297" t="n"/>
      <c r="C360" s="297" t="n"/>
      <c r="D360" s="297" t="n"/>
      <c r="E360" s="297" t="n"/>
      <c r="F360" s="297" t="n"/>
      <c r="G360" s="297" t="n"/>
      <c r="H360" s="297" t="n"/>
      <c r="I360" s="236" t="n"/>
      <c r="J360" s="236" t="n"/>
      <c r="K360" s="236" t="n"/>
      <c r="L360" s="236" t="n"/>
    </row>
    <row r="361" ht="15.75" customHeight="1" s="372">
      <c r="A361" s="297" t="n"/>
      <c r="B361" s="297" t="n"/>
      <c r="C361" s="297" t="n"/>
      <c r="D361" s="297" t="n"/>
      <c r="E361" s="297" t="n"/>
      <c r="F361" s="297" t="n"/>
      <c r="G361" s="297" t="n"/>
      <c r="H361" s="297" t="n"/>
      <c r="I361" s="236" t="n"/>
      <c r="J361" s="236" t="n"/>
      <c r="K361" s="236" t="n"/>
      <c r="L361" s="236" t="n"/>
    </row>
    <row r="362" ht="15.75" customHeight="1" s="372">
      <c r="A362" s="297" t="n"/>
      <c r="B362" s="297" t="n"/>
      <c r="C362" s="297" t="n"/>
      <c r="D362" s="297" t="n"/>
      <c r="E362" s="297" t="n"/>
      <c r="F362" s="297" t="n"/>
      <c r="G362" s="297" t="n"/>
      <c r="H362" s="297" t="n"/>
      <c r="I362" s="236" t="n"/>
      <c r="J362" s="236" t="n"/>
      <c r="K362" s="236" t="n"/>
      <c r="L362" s="236" t="n"/>
    </row>
    <row r="363" ht="15.75" customHeight="1" s="372">
      <c r="A363" s="297" t="n"/>
      <c r="B363" s="297" t="n"/>
      <c r="C363" s="297" t="n"/>
      <c r="D363" s="297" t="n"/>
      <c r="E363" s="297" t="n"/>
      <c r="F363" s="297" t="n"/>
      <c r="G363" s="297" t="n"/>
      <c r="H363" s="297" t="n"/>
      <c r="I363" s="236" t="n"/>
      <c r="J363" s="236" t="n"/>
      <c r="K363" s="236" t="n"/>
      <c r="L363" s="236" t="n"/>
    </row>
    <row r="364" ht="15.75" customHeight="1" s="372">
      <c r="A364" s="297" t="n"/>
      <c r="B364" s="297" t="n"/>
      <c r="C364" s="297" t="n"/>
      <c r="D364" s="297" t="n"/>
      <c r="E364" s="297" t="n"/>
      <c r="F364" s="297" t="n"/>
      <c r="G364" s="297" t="n"/>
      <c r="H364" s="297" t="n"/>
      <c r="I364" s="236" t="n"/>
      <c r="J364" s="236" t="n"/>
      <c r="K364" s="236" t="n"/>
      <c r="L364" s="236" t="n"/>
    </row>
    <row r="365" ht="15.75" customHeight="1" s="372">
      <c r="A365" s="297" t="n"/>
      <c r="B365" s="297" t="n"/>
      <c r="C365" s="297" t="n"/>
      <c r="D365" s="297" t="n"/>
      <c r="E365" s="297" t="n"/>
      <c r="F365" s="297" t="n"/>
      <c r="G365" s="297" t="n"/>
      <c r="H365" s="297" t="n"/>
      <c r="I365" s="236" t="n"/>
      <c r="J365" s="236" t="n"/>
      <c r="K365" s="236" t="n"/>
      <c r="L365" s="236" t="n"/>
    </row>
    <row r="366" ht="15.75" customHeight="1" s="372">
      <c r="A366" s="297" t="n"/>
      <c r="B366" s="297" t="n"/>
      <c r="C366" s="297" t="n"/>
      <c r="D366" s="297" t="n"/>
      <c r="E366" s="297" t="n"/>
      <c r="F366" s="297" t="n"/>
      <c r="G366" s="297" t="n"/>
      <c r="H366" s="297" t="n"/>
      <c r="I366" s="236" t="n"/>
      <c r="J366" s="236" t="n"/>
      <c r="K366" s="236" t="n"/>
      <c r="L366" s="236" t="n"/>
    </row>
    <row r="367" ht="15.75" customHeight="1" s="372">
      <c r="A367" s="297" t="n"/>
      <c r="B367" s="297" t="n"/>
      <c r="C367" s="297" t="n"/>
      <c r="D367" s="297" t="n"/>
      <c r="E367" s="297" t="n"/>
      <c r="F367" s="297" t="n"/>
      <c r="G367" s="297" t="n"/>
      <c r="H367" s="297" t="n"/>
      <c r="I367" s="236" t="n"/>
      <c r="J367" s="236" t="n"/>
      <c r="K367" s="236" t="n"/>
      <c r="L367" s="236" t="n"/>
    </row>
    <row r="368" ht="15.75" customHeight="1" s="372">
      <c r="A368" s="297" t="n"/>
      <c r="B368" s="297" t="n"/>
      <c r="C368" s="297" t="n"/>
      <c r="D368" s="297" t="n"/>
      <c r="E368" s="297" t="n"/>
      <c r="F368" s="297" t="n"/>
      <c r="G368" s="297" t="n"/>
      <c r="H368" s="297" t="n"/>
      <c r="I368" s="236" t="n"/>
      <c r="J368" s="236" t="n"/>
      <c r="K368" s="236" t="n"/>
      <c r="L368" s="236" t="n"/>
    </row>
    <row r="369" ht="15.75" customHeight="1" s="372">
      <c r="A369" s="297" t="n"/>
      <c r="B369" s="297" t="n"/>
      <c r="C369" s="297" t="n"/>
      <c r="D369" s="297" t="n"/>
      <c r="E369" s="297" t="n"/>
      <c r="F369" s="297" t="n"/>
      <c r="G369" s="297" t="n"/>
      <c r="H369" s="297" t="n"/>
      <c r="I369" s="236" t="n"/>
      <c r="J369" s="236" t="n"/>
      <c r="K369" s="236" t="n"/>
      <c r="L369" s="236" t="n"/>
    </row>
    <row r="370" ht="15.75" customHeight="1" s="372">
      <c r="A370" s="297" t="n"/>
      <c r="B370" s="297" t="n"/>
      <c r="C370" s="297" t="n"/>
      <c r="D370" s="297" t="n"/>
      <c r="E370" s="297" t="n"/>
      <c r="F370" s="297" t="n"/>
      <c r="G370" s="297" t="n"/>
      <c r="H370" s="297" t="n"/>
      <c r="I370" s="236" t="n"/>
      <c r="J370" s="236" t="n"/>
      <c r="K370" s="236" t="n"/>
      <c r="L370" s="236" t="n"/>
    </row>
    <row r="371" ht="15.75" customHeight="1" s="372">
      <c r="A371" s="297" t="n"/>
      <c r="B371" s="297" t="n"/>
      <c r="C371" s="297" t="n"/>
      <c r="D371" s="297" t="n"/>
      <c r="E371" s="297" t="n"/>
      <c r="F371" s="297" t="n"/>
      <c r="G371" s="297" t="n"/>
      <c r="H371" s="297" t="n"/>
      <c r="I371" s="236" t="n"/>
      <c r="J371" s="236" t="n"/>
      <c r="K371" s="236" t="n"/>
      <c r="L371" s="236" t="n"/>
    </row>
    <row r="372" ht="15.75" customHeight="1" s="372">
      <c r="A372" s="297" t="n"/>
      <c r="B372" s="297" t="n"/>
      <c r="C372" s="297" t="n"/>
      <c r="D372" s="297" t="n"/>
      <c r="E372" s="297" t="n"/>
      <c r="F372" s="297" t="n"/>
      <c r="G372" s="297" t="n"/>
      <c r="H372" s="297" t="n"/>
      <c r="I372" s="236" t="n"/>
      <c r="J372" s="236" t="n"/>
      <c r="K372" s="236" t="n"/>
      <c r="L372" s="236" t="n"/>
    </row>
    <row r="373" ht="15.75" customHeight="1" s="372">
      <c r="A373" s="297" t="n"/>
      <c r="B373" s="297" t="n"/>
      <c r="C373" s="297" t="n"/>
      <c r="D373" s="297" t="n"/>
      <c r="E373" s="297" t="n"/>
      <c r="F373" s="297" t="n"/>
      <c r="G373" s="297" t="n"/>
      <c r="H373" s="297" t="n"/>
      <c r="I373" s="236" t="n"/>
      <c r="J373" s="236" t="n"/>
      <c r="K373" s="236" t="n"/>
      <c r="L373" s="236" t="n"/>
    </row>
    <row r="374" ht="15.75" customHeight="1" s="372">
      <c r="A374" s="297" t="n"/>
      <c r="B374" s="297" t="n"/>
      <c r="C374" s="297" t="n"/>
      <c r="D374" s="297" t="n"/>
      <c r="E374" s="297" t="n"/>
      <c r="F374" s="297" t="n"/>
      <c r="G374" s="297" t="n"/>
      <c r="H374" s="297" t="n"/>
      <c r="I374" s="236" t="n"/>
      <c r="J374" s="236" t="n"/>
      <c r="K374" s="236" t="n"/>
      <c r="L374" s="236" t="n"/>
    </row>
    <row r="375" ht="15.75" customHeight="1" s="372">
      <c r="A375" s="297" t="n"/>
      <c r="B375" s="297" t="n"/>
      <c r="C375" s="297" t="n"/>
      <c r="D375" s="297" t="n"/>
      <c r="E375" s="297" t="n"/>
      <c r="F375" s="297" t="n"/>
      <c r="G375" s="297" t="n"/>
      <c r="H375" s="297" t="n"/>
      <c r="I375" s="236" t="n"/>
      <c r="J375" s="236" t="n"/>
      <c r="K375" s="236" t="n"/>
      <c r="L375" s="236" t="n"/>
    </row>
    <row r="376" ht="15.75" customHeight="1" s="372">
      <c r="A376" s="297" t="n"/>
      <c r="B376" s="297" t="n"/>
      <c r="C376" s="297" t="n"/>
      <c r="D376" s="297" t="n"/>
      <c r="E376" s="297" t="n"/>
      <c r="F376" s="297" t="n"/>
      <c r="G376" s="297" t="n"/>
      <c r="H376" s="297" t="n"/>
      <c r="I376" s="236" t="n"/>
      <c r="J376" s="236" t="n"/>
      <c r="K376" s="236" t="n"/>
      <c r="L376" s="236" t="n"/>
    </row>
    <row r="377" ht="15.75" customHeight="1" s="372">
      <c r="A377" s="297" t="n"/>
      <c r="B377" s="297" t="n"/>
      <c r="C377" s="297" t="n"/>
      <c r="D377" s="297" t="n"/>
      <c r="E377" s="297" t="n"/>
      <c r="F377" s="297" t="n"/>
      <c r="G377" s="297" t="n"/>
      <c r="H377" s="297" t="n"/>
      <c r="I377" s="236" t="n"/>
      <c r="J377" s="236" t="n"/>
      <c r="K377" s="236" t="n"/>
      <c r="L377" s="236" t="n"/>
    </row>
    <row r="378" ht="15.75" customHeight="1" s="372">
      <c r="A378" s="297" t="n"/>
      <c r="B378" s="297" t="n"/>
      <c r="C378" s="297" t="n"/>
      <c r="D378" s="297" t="n"/>
      <c r="E378" s="297" t="n"/>
      <c r="F378" s="297" t="n"/>
      <c r="G378" s="297" t="n"/>
      <c r="H378" s="297" t="n"/>
      <c r="I378" s="236" t="n"/>
      <c r="J378" s="236" t="n"/>
      <c r="K378" s="236" t="n"/>
      <c r="L378" s="236" t="n"/>
    </row>
    <row r="379" ht="15.75" customHeight="1" s="372">
      <c r="A379" s="297" t="n"/>
      <c r="B379" s="297" t="n"/>
      <c r="C379" s="297" t="n"/>
      <c r="D379" s="297" t="n"/>
      <c r="E379" s="297" t="n"/>
      <c r="F379" s="297" t="n"/>
      <c r="G379" s="297" t="n"/>
      <c r="H379" s="297" t="n"/>
      <c r="I379" s="236" t="n"/>
      <c r="J379" s="236" t="n"/>
      <c r="K379" s="236" t="n"/>
      <c r="L379" s="236" t="n"/>
    </row>
    <row r="380" ht="15.75" customHeight="1" s="372">
      <c r="A380" s="297" t="n"/>
      <c r="B380" s="297" t="n"/>
      <c r="C380" s="297" t="n"/>
      <c r="D380" s="297" t="n"/>
      <c r="E380" s="297" t="n"/>
      <c r="F380" s="297" t="n"/>
      <c r="G380" s="297" t="n"/>
      <c r="H380" s="297" t="n"/>
      <c r="I380" s="236" t="n"/>
      <c r="J380" s="236" t="n"/>
      <c r="K380" s="236" t="n"/>
      <c r="L380" s="236" t="n"/>
    </row>
    <row r="381" ht="15.75" customHeight="1" s="372">
      <c r="A381" s="297" t="n"/>
      <c r="B381" s="297" t="n"/>
      <c r="C381" s="297" t="n"/>
      <c r="D381" s="297" t="n"/>
      <c r="E381" s="297" t="n"/>
      <c r="F381" s="297" t="n"/>
      <c r="G381" s="297" t="n"/>
      <c r="H381" s="297" t="n"/>
      <c r="I381" s="236" t="n"/>
      <c r="J381" s="236" t="n"/>
      <c r="K381" s="236" t="n"/>
      <c r="L381" s="236" t="n"/>
    </row>
    <row r="382" ht="15.75" customHeight="1" s="372">
      <c r="A382" s="297" t="n"/>
      <c r="B382" s="297" t="n"/>
      <c r="C382" s="297" t="n"/>
      <c r="D382" s="297" t="n"/>
      <c r="E382" s="297" t="n"/>
      <c r="F382" s="297" t="n"/>
      <c r="G382" s="297" t="n"/>
      <c r="H382" s="297" t="n"/>
      <c r="I382" s="236" t="n"/>
      <c r="J382" s="236" t="n"/>
      <c r="K382" s="236" t="n"/>
      <c r="L382" s="236" t="n"/>
    </row>
    <row r="383" ht="15.75" customHeight="1" s="372">
      <c r="A383" s="297" t="n"/>
      <c r="B383" s="297" t="n"/>
      <c r="C383" s="297" t="n"/>
      <c r="D383" s="297" t="n"/>
      <c r="E383" s="297" t="n"/>
      <c r="F383" s="297" t="n"/>
      <c r="G383" s="297" t="n"/>
      <c r="H383" s="297" t="n"/>
      <c r="I383" s="236" t="n"/>
      <c r="J383" s="236" t="n"/>
      <c r="K383" s="236" t="n"/>
      <c r="L383" s="236" t="n"/>
    </row>
    <row r="384" ht="15.75" customHeight="1" s="372">
      <c r="A384" s="297" t="n"/>
      <c r="B384" s="297" t="n"/>
      <c r="C384" s="297" t="n"/>
      <c r="D384" s="297" t="n"/>
      <c r="E384" s="297" t="n"/>
      <c r="F384" s="297" t="n"/>
      <c r="G384" s="297" t="n"/>
      <c r="H384" s="297" t="n"/>
      <c r="I384" s="236" t="n"/>
      <c r="J384" s="236" t="n"/>
      <c r="K384" s="236" t="n"/>
      <c r="L384" s="236" t="n"/>
    </row>
    <row r="385" ht="15.75" customHeight="1" s="372">
      <c r="A385" s="297" t="n"/>
      <c r="B385" s="297" t="n"/>
      <c r="C385" s="297" t="n"/>
      <c r="D385" s="297" t="n"/>
      <c r="E385" s="297" t="n"/>
      <c r="F385" s="297" t="n"/>
      <c r="G385" s="297" t="n"/>
      <c r="H385" s="297" t="n"/>
      <c r="I385" s="236" t="n"/>
      <c r="J385" s="236" t="n"/>
      <c r="K385" s="236" t="n"/>
      <c r="L385" s="236" t="n"/>
    </row>
    <row r="386" ht="15.75" customHeight="1" s="372">
      <c r="A386" s="297" t="n"/>
      <c r="B386" s="297" t="n"/>
      <c r="C386" s="297" t="n"/>
      <c r="D386" s="297" t="n"/>
      <c r="E386" s="297" t="n"/>
      <c r="F386" s="297" t="n"/>
      <c r="G386" s="297" t="n"/>
      <c r="H386" s="297" t="n"/>
      <c r="I386" s="236" t="n"/>
      <c r="J386" s="236" t="n"/>
      <c r="K386" s="236" t="n"/>
      <c r="L386" s="236" t="n"/>
    </row>
    <row r="387" ht="15.75" customHeight="1" s="372">
      <c r="A387" s="297" t="n"/>
      <c r="B387" s="297" t="n"/>
      <c r="C387" s="297" t="n"/>
      <c r="D387" s="297" t="n"/>
      <c r="E387" s="297" t="n"/>
      <c r="F387" s="297" t="n"/>
      <c r="G387" s="297" t="n"/>
      <c r="H387" s="297" t="n"/>
      <c r="I387" s="236" t="n"/>
      <c r="J387" s="236" t="n"/>
      <c r="K387" s="236" t="n"/>
      <c r="L387" s="236" t="n"/>
    </row>
    <row r="388" ht="15.75" customHeight="1" s="372">
      <c r="A388" s="297" t="n"/>
      <c r="B388" s="297" t="n"/>
      <c r="C388" s="297" t="n"/>
      <c r="D388" s="297" t="n"/>
      <c r="E388" s="297" t="n"/>
      <c r="F388" s="297" t="n"/>
      <c r="G388" s="297" t="n"/>
      <c r="H388" s="297" t="n"/>
      <c r="I388" s="236" t="n"/>
      <c r="J388" s="236" t="n"/>
      <c r="K388" s="236" t="n"/>
      <c r="L388" s="236" t="n"/>
    </row>
    <row r="389" ht="15.75" customHeight="1" s="372">
      <c r="A389" s="297" t="n"/>
      <c r="B389" s="297" t="n"/>
      <c r="C389" s="297" t="n"/>
      <c r="D389" s="297" t="n"/>
      <c r="E389" s="297" t="n"/>
      <c r="F389" s="297" t="n"/>
      <c r="G389" s="297" t="n"/>
      <c r="H389" s="297" t="n"/>
      <c r="I389" s="236" t="n"/>
      <c r="J389" s="236" t="n"/>
      <c r="K389" s="236" t="n"/>
      <c r="L389" s="236" t="n"/>
    </row>
    <row r="390" ht="15.75" customHeight="1" s="372">
      <c r="A390" s="297" t="n"/>
      <c r="B390" s="297" t="n"/>
      <c r="C390" s="297" t="n"/>
      <c r="D390" s="297" t="n"/>
      <c r="E390" s="297" t="n"/>
      <c r="F390" s="297" t="n"/>
      <c r="G390" s="297" t="n"/>
      <c r="H390" s="297" t="n"/>
      <c r="I390" s="236" t="n"/>
      <c r="J390" s="236" t="n"/>
      <c r="K390" s="236" t="n"/>
      <c r="L390" s="236" t="n"/>
    </row>
    <row r="391" ht="15.75" customHeight="1" s="372">
      <c r="A391" s="297" t="n"/>
      <c r="B391" s="297" t="n"/>
      <c r="C391" s="297" t="n"/>
      <c r="D391" s="297" t="n"/>
      <c r="E391" s="297" t="n"/>
      <c r="F391" s="297" t="n"/>
      <c r="G391" s="297" t="n"/>
      <c r="H391" s="297" t="n"/>
      <c r="I391" s="236" t="n"/>
      <c r="J391" s="236" t="n"/>
      <c r="K391" s="236" t="n"/>
      <c r="L391" s="236" t="n"/>
    </row>
    <row r="392" ht="15.75" customHeight="1" s="372">
      <c r="A392" s="297" t="n"/>
      <c r="B392" s="297" t="n"/>
      <c r="C392" s="297" t="n"/>
      <c r="D392" s="297" t="n"/>
      <c r="E392" s="297" t="n"/>
      <c r="F392" s="297" t="n"/>
      <c r="G392" s="297" t="n"/>
      <c r="H392" s="297" t="n"/>
      <c r="I392" s="236" t="n"/>
      <c r="J392" s="236" t="n"/>
      <c r="K392" s="236" t="n"/>
      <c r="L392" s="236" t="n"/>
    </row>
    <row r="393" ht="15.75" customHeight="1" s="372">
      <c r="A393" s="297" t="n"/>
      <c r="B393" s="297" t="n"/>
      <c r="C393" s="297" t="n"/>
      <c r="D393" s="297" t="n"/>
      <c r="E393" s="297" t="n"/>
      <c r="F393" s="297" t="n"/>
      <c r="G393" s="297" t="n"/>
      <c r="H393" s="297" t="n"/>
      <c r="I393" s="236" t="n"/>
      <c r="J393" s="236" t="n"/>
      <c r="K393" s="236" t="n"/>
      <c r="L393" s="236" t="n"/>
    </row>
    <row r="394" ht="15.75" customHeight="1" s="372">
      <c r="A394" s="297" t="n"/>
      <c r="B394" s="297" t="n"/>
      <c r="C394" s="297" t="n"/>
      <c r="D394" s="297" t="n"/>
      <c r="E394" s="297" t="n"/>
      <c r="F394" s="297" t="n"/>
      <c r="G394" s="297" t="n"/>
      <c r="H394" s="297" t="n"/>
      <c r="I394" s="236" t="n"/>
      <c r="J394" s="236" t="n"/>
      <c r="K394" s="236" t="n"/>
      <c r="L394" s="236" t="n"/>
    </row>
    <row r="395" ht="15.75" customHeight="1" s="372">
      <c r="A395" s="297" t="n"/>
      <c r="B395" s="297" t="n"/>
      <c r="C395" s="297" t="n"/>
      <c r="D395" s="297" t="n"/>
      <c r="E395" s="297" t="n"/>
      <c r="F395" s="297" t="n"/>
      <c r="G395" s="297" t="n"/>
      <c r="H395" s="297" t="n"/>
      <c r="I395" s="236" t="n"/>
      <c r="J395" s="236" t="n"/>
      <c r="K395" s="236" t="n"/>
      <c r="L395" s="236" t="n"/>
    </row>
    <row r="396" ht="15.75" customHeight="1" s="372">
      <c r="A396" s="297" t="n"/>
      <c r="B396" s="297" t="n"/>
      <c r="C396" s="297" t="n"/>
      <c r="D396" s="297" t="n"/>
      <c r="E396" s="297" t="n"/>
      <c r="F396" s="297" t="n"/>
      <c r="G396" s="297" t="n"/>
      <c r="H396" s="297" t="n"/>
      <c r="I396" s="236" t="n"/>
      <c r="J396" s="236" t="n"/>
      <c r="K396" s="236" t="n"/>
      <c r="L396" s="236" t="n"/>
    </row>
    <row r="397" ht="15.75" customHeight="1" s="372">
      <c r="A397" s="297" t="n"/>
      <c r="B397" s="297" t="n"/>
      <c r="C397" s="297" t="n"/>
      <c r="D397" s="297" t="n"/>
      <c r="E397" s="297" t="n"/>
      <c r="F397" s="297" t="n"/>
      <c r="G397" s="297" t="n"/>
      <c r="H397" s="297" t="n"/>
      <c r="I397" s="236" t="n"/>
      <c r="J397" s="236" t="n"/>
      <c r="K397" s="236" t="n"/>
      <c r="L397" s="236" t="n"/>
    </row>
    <row r="398" ht="15.75" customHeight="1" s="372">
      <c r="A398" s="297" t="n"/>
      <c r="B398" s="297" t="n"/>
      <c r="C398" s="297" t="n"/>
      <c r="D398" s="297" t="n"/>
      <c r="E398" s="297" t="n"/>
      <c r="F398" s="297" t="n"/>
      <c r="G398" s="297" t="n"/>
      <c r="H398" s="297" t="n"/>
      <c r="I398" s="236" t="n"/>
      <c r="J398" s="236" t="n"/>
      <c r="K398" s="236" t="n"/>
      <c r="L398" s="236" t="n"/>
    </row>
    <row r="399" ht="15.75" customHeight="1" s="372">
      <c r="A399" s="297" t="n"/>
      <c r="B399" s="297" t="n"/>
      <c r="C399" s="297" t="n"/>
      <c r="D399" s="297" t="n"/>
      <c r="E399" s="297" t="n"/>
      <c r="F399" s="297" t="n"/>
      <c r="G399" s="297" t="n"/>
      <c r="H399" s="297" t="n"/>
      <c r="I399" s="236" t="n"/>
      <c r="J399" s="236" t="n"/>
      <c r="K399" s="236" t="n"/>
      <c r="L399" s="236" t="n"/>
    </row>
    <row r="400" ht="15.75" customHeight="1" s="372">
      <c r="A400" s="297" t="n"/>
      <c r="B400" s="297" t="n"/>
      <c r="C400" s="297" t="n"/>
      <c r="D400" s="297" t="n"/>
      <c r="E400" s="297" t="n"/>
      <c r="F400" s="297" t="n"/>
      <c r="G400" s="297" t="n"/>
      <c r="H400" s="297" t="n"/>
      <c r="I400" s="236" t="n"/>
      <c r="J400" s="236" t="n"/>
      <c r="K400" s="236" t="n"/>
      <c r="L400" s="236" t="n"/>
    </row>
    <row r="401" ht="15.75" customHeight="1" s="372">
      <c r="A401" s="297" t="n"/>
      <c r="B401" s="297" t="n"/>
      <c r="C401" s="297" t="n"/>
      <c r="D401" s="297" t="n"/>
      <c r="E401" s="297" t="n"/>
      <c r="F401" s="297" t="n"/>
      <c r="G401" s="297" t="n"/>
      <c r="H401" s="297" t="n"/>
      <c r="I401" s="236" t="n"/>
      <c r="J401" s="236" t="n"/>
      <c r="K401" s="236" t="n"/>
      <c r="L401" s="236" t="n"/>
    </row>
    <row r="402" ht="15.75" customHeight="1" s="372">
      <c r="A402" s="297" t="n"/>
      <c r="B402" s="297" t="n"/>
      <c r="C402" s="297" t="n"/>
      <c r="D402" s="297" t="n"/>
      <c r="E402" s="297" t="n"/>
      <c r="F402" s="297" t="n"/>
      <c r="G402" s="297" t="n"/>
      <c r="H402" s="297" t="n"/>
      <c r="I402" s="236" t="n"/>
      <c r="J402" s="236" t="n"/>
      <c r="K402" s="236" t="n"/>
      <c r="L402" s="236" t="n"/>
    </row>
    <row r="403" ht="15.75" customHeight="1" s="372">
      <c r="A403" s="297" t="n"/>
      <c r="B403" s="297" t="n"/>
      <c r="C403" s="297" t="n"/>
      <c r="D403" s="297" t="n"/>
      <c r="E403" s="297" t="n"/>
      <c r="F403" s="297" t="n"/>
      <c r="G403" s="297" t="n"/>
      <c r="H403" s="297" t="n"/>
      <c r="I403" s="236" t="n"/>
      <c r="J403" s="236" t="n"/>
      <c r="K403" s="236" t="n"/>
      <c r="L403" s="236" t="n"/>
    </row>
    <row r="404" ht="15.75" customHeight="1" s="372">
      <c r="A404" s="297" t="n"/>
      <c r="B404" s="297" t="n"/>
      <c r="C404" s="297" t="n"/>
      <c r="D404" s="297" t="n"/>
      <c r="E404" s="297" t="n"/>
      <c r="F404" s="297" t="n"/>
      <c r="G404" s="297" t="n"/>
      <c r="H404" s="297" t="n"/>
      <c r="I404" s="236" t="n"/>
      <c r="J404" s="236" t="n"/>
      <c r="K404" s="236" t="n"/>
      <c r="L404" s="236" t="n"/>
    </row>
    <row r="405" ht="15.75" customHeight="1" s="372">
      <c r="A405" s="297" t="n"/>
      <c r="B405" s="297" t="n"/>
      <c r="C405" s="297" t="n"/>
      <c r="D405" s="297" t="n"/>
      <c r="E405" s="297" t="n"/>
      <c r="F405" s="297" t="n"/>
      <c r="G405" s="297" t="n"/>
      <c r="H405" s="297" t="n"/>
      <c r="I405" s="236" t="n"/>
      <c r="J405" s="236" t="n"/>
      <c r="K405" s="236" t="n"/>
      <c r="L405" s="236" t="n"/>
    </row>
    <row r="406" ht="15.75" customHeight="1" s="372">
      <c r="A406" s="297" t="n"/>
      <c r="B406" s="297" t="n"/>
      <c r="C406" s="297" t="n"/>
      <c r="D406" s="297" t="n"/>
      <c r="E406" s="297" t="n"/>
      <c r="F406" s="297" t="n"/>
      <c r="G406" s="297" t="n"/>
      <c r="H406" s="297" t="n"/>
      <c r="I406" s="236" t="n"/>
      <c r="J406" s="236" t="n"/>
      <c r="K406" s="236" t="n"/>
      <c r="L406" s="236" t="n"/>
    </row>
    <row r="407" ht="15.75" customHeight="1" s="372">
      <c r="A407" s="297" t="n"/>
      <c r="B407" s="297" t="n"/>
      <c r="C407" s="297" t="n"/>
      <c r="D407" s="297" t="n"/>
      <c r="E407" s="297" t="n"/>
      <c r="F407" s="297" t="n"/>
      <c r="G407" s="297" t="n"/>
      <c r="H407" s="297" t="n"/>
      <c r="I407" s="236" t="n"/>
      <c r="J407" s="236" t="n"/>
      <c r="K407" s="236" t="n"/>
      <c r="L407" s="236" t="n"/>
    </row>
    <row r="408" ht="15.75" customHeight="1" s="372">
      <c r="A408" s="297" t="n"/>
      <c r="B408" s="297" t="n"/>
      <c r="C408" s="297" t="n"/>
      <c r="D408" s="297" t="n"/>
      <c r="E408" s="297" t="n"/>
      <c r="F408" s="297" t="n"/>
      <c r="G408" s="297" t="n"/>
      <c r="H408" s="297" t="n"/>
      <c r="I408" s="236" t="n"/>
      <c r="J408" s="236" t="n"/>
      <c r="K408" s="236" t="n"/>
      <c r="L408" s="236" t="n"/>
    </row>
    <row r="409" ht="15.75" customHeight="1" s="372">
      <c r="A409" s="297" t="n"/>
      <c r="B409" s="297" t="n"/>
      <c r="C409" s="297" t="n"/>
      <c r="D409" s="297" t="n"/>
      <c r="E409" s="297" t="n"/>
      <c r="F409" s="297" t="n"/>
      <c r="G409" s="297" t="n"/>
      <c r="H409" s="297" t="n"/>
      <c r="I409" s="236" t="n"/>
      <c r="J409" s="236" t="n"/>
      <c r="K409" s="236" t="n"/>
      <c r="L409" s="236" t="n"/>
    </row>
    <row r="410" ht="15.75" customHeight="1" s="372">
      <c r="A410" s="297" t="n"/>
      <c r="B410" s="297" t="n"/>
      <c r="C410" s="297" t="n"/>
      <c r="D410" s="297" t="n"/>
      <c r="E410" s="297" t="n"/>
      <c r="F410" s="297" t="n"/>
      <c r="G410" s="297" t="n"/>
      <c r="H410" s="297" t="n"/>
      <c r="I410" s="236" t="n"/>
      <c r="J410" s="236" t="n"/>
      <c r="K410" s="236" t="n"/>
      <c r="L410" s="236" t="n"/>
    </row>
    <row r="411" ht="15.75" customHeight="1" s="372">
      <c r="A411" s="297" t="n"/>
      <c r="B411" s="297" t="n"/>
      <c r="C411" s="297" t="n"/>
      <c r="D411" s="297" t="n"/>
      <c r="E411" s="297" t="n"/>
      <c r="F411" s="297" t="n"/>
      <c r="G411" s="297" t="n"/>
      <c r="H411" s="297" t="n"/>
      <c r="I411" s="236" t="n"/>
      <c r="J411" s="236" t="n"/>
      <c r="K411" s="236" t="n"/>
      <c r="L411" s="236" t="n"/>
    </row>
    <row r="412" ht="15.75" customHeight="1" s="372">
      <c r="A412" s="297" t="n"/>
      <c r="B412" s="297" t="n"/>
      <c r="C412" s="297" t="n"/>
      <c r="D412" s="297" t="n"/>
      <c r="E412" s="297" t="n"/>
      <c r="F412" s="297" t="n"/>
      <c r="G412" s="297" t="n"/>
      <c r="H412" s="297" t="n"/>
      <c r="I412" s="236" t="n"/>
      <c r="J412" s="236" t="n"/>
      <c r="K412" s="236" t="n"/>
      <c r="L412" s="236" t="n"/>
    </row>
    <row r="413" ht="15.75" customHeight="1" s="372">
      <c r="A413" s="297" t="n"/>
      <c r="B413" s="297" t="n"/>
      <c r="C413" s="297" t="n"/>
      <c r="D413" s="297" t="n"/>
      <c r="E413" s="297" t="n"/>
      <c r="F413" s="297" t="n"/>
      <c r="G413" s="297" t="n"/>
      <c r="H413" s="297" t="n"/>
      <c r="I413" s="236" t="n"/>
      <c r="J413" s="236" t="n"/>
      <c r="K413" s="236" t="n"/>
      <c r="L413" s="236" t="n"/>
    </row>
    <row r="414" ht="15.75" customHeight="1" s="372">
      <c r="A414" s="297" t="n"/>
      <c r="B414" s="297" t="n"/>
      <c r="C414" s="297" t="n"/>
      <c r="D414" s="297" t="n"/>
      <c r="E414" s="297" t="n"/>
      <c r="F414" s="297" t="n"/>
      <c r="G414" s="297" t="n"/>
      <c r="H414" s="297" t="n"/>
      <c r="I414" s="236" t="n"/>
      <c r="J414" s="236" t="n"/>
      <c r="K414" s="236" t="n"/>
      <c r="L414" s="236" t="n"/>
    </row>
    <row r="415" ht="15.75" customHeight="1" s="372">
      <c r="A415" s="297" t="n"/>
      <c r="B415" s="297" t="n"/>
      <c r="C415" s="297" t="n"/>
      <c r="D415" s="297" t="n"/>
      <c r="E415" s="297" t="n"/>
      <c r="F415" s="297" t="n"/>
      <c r="G415" s="297" t="n"/>
      <c r="H415" s="297" t="n"/>
      <c r="I415" s="236" t="n"/>
      <c r="J415" s="236" t="n"/>
      <c r="K415" s="236" t="n"/>
      <c r="L415" s="236" t="n"/>
    </row>
    <row r="416" ht="15.75" customHeight="1" s="372">
      <c r="A416" s="297" t="n"/>
      <c r="B416" s="297" t="n"/>
      <c r="C416" s="297" t="n"/>
      <c r="D416" s="297" t="n"/>
      <c r="E416" s="297" t="n"/>
      <c r="F416" s="297" t="n"/>
      <c r="G416" s="297" t="n"/>
      <c r="H416" s="297" t="n"/>
      <c r="I416" s="236" t="n"/>
      <c r="J416" s="236" t="n"/>
      <c r="K416" s="236" t="n"/>
      <c r="L416" s="236" t="n"/>
    </row>
    <row r="417" ht="15.75" customHeight="1" s="372">
      <c r="A417" s="297" t="n"/>
      <c r="B417" s="297" t="n"/>
      <c r="C417" s="297" t="n"/>
      <c r="D417" s="297" t="n"/>
      <c r="E417" s="297" t="n"/>
      <c r="F417" s="297" t="n"/>
      <c r="G417" s="297" t="n"/>
      <c r="H417" s="297" t="n"/>
      <c r="I417" s="236" t="n"/>
      <c r="J417" s="236" t="n"/>
      <c r="K417" s="236" t="n"/>
      <c r="L417" s="236" t="n"/>
    </row>
    <row r="418" ht="15.75" customHeight="1" s="372">
      <c r="A418" s="297" t="n"/>
      <c r="B418" s="297" t="n"/>
      <c r="C418" s="297" t="n"/>
      <c r="D418" s="297" t="n"/>
      <c r="E418" s="297" t="n"/>
      <c r="F418" s="297" t="n"/>
      <c r="G418" s="297" t="n"/>
      <c r="H418" s="297" t="n"/>
      <c r="I418" s="236" t="n"/>
      <c r="J418" s="236" t="n"/>
      <c r="K418" s="236" t="n"/>
      <c r="L418" s="236" t="n"/>
    </row>
    <row r="419" ht="15.75" customHeight="1" s="372">
      <c r="A419" s="297" t="n"/>
      <c r="B419" s="297" t="n"/>
      <c r="C419" s="297" t="n"/>
      <c r="D419" s="297" t="n"/>
      <c r="E419" s="297" t="n"/>
      <c r="F419" s="297" t="n"/>
      <c r="G419" s="297" t="n"/>
      <c r="H419" s="297" t="n"/>
      <c r="I419" s="236" t="n"/>
      <c r="J419" s="236" t="n"/>
      <c r="K419" s="236" t="n"/>
      <c r="L419" s="236" t="n"/>
    </row>
    <row r="420" ht="15.75" customHeight="1" s="372">
      <c r="A420" s="297" t="n"/>
      <c r="B420" s="297" t="n"/>
      <c r="C420" s="297" t="n"/>
      <c r="D420" s="297" t="n"/>
      <c r="E420" s="297" t="n"/>
      <c r="F420" s="297" t="n"/>
      <c r="G420" s="297" t="n"/>
      <c r="H420" s="297" t="n"/>
      <c r="I420" s="236" t="n"/>
      <c r="J420" s="236" t="n"/>
      <c r="K420" s="236" t="n"/>
      <c r="L420" s="236" t="n"/>
    </row>
    <row r="421" ht="15.75" customHeight="1" s="372">
      <c r="A421" s="297" t="n"/>
      <c r="B421" s="297" t="n"/>
      <c r="C421" s="297" t="n"/>
      <c r="D421" s="297" t="n"/>
      <c r="E421" s="297" t="n"/>
      <c r="F421" s="297" t="n"/>
      <c r="G421" s="297" t="n"/>
      <c r="H421" s="297" t="n"/>
      <c r="I421" s="236" t="n"/>
      <c r="J421" s="236" t="n"/>
      <c r="K421" s="236" t="n"/>
      <c r="L421" s="236" t="n"/>
    </row>
    <row r="422" ht="15.75" customHeight="1" s="372">
      <c r="A422" s="297" t="n"/>
      <c r="B422" s="297" t="n"/>
      <c r="C422" s="297" t="n"/>
      <c r="D422" s="297" t="n"/>
      <c r="E422" s="297" t="n"/>
      <c r="F422" s="297" t="n"/>
      <c r="G422" s="297" t="n"/>
      <c r="H422" s="297" t="n"/>
      <c r="I422" s="236" t="n"/>
      <c r="J422" s="236" t="n"/>
      <c r="K422" s="236" t="n"/>
      <c r="L422" s="236" t="n"/>
    </row>
    <row r="423" ht="15.75" customHeight="1" s="372">
      <c r="A423" s="297" t="n"/>
      <c r="B423" s="297" t="n"/>
      <c r="C423" s="297" t="n"/>
      <c r="D423" s="297" t="n"/>
      <c r="E423" s="297" t="n"/>
      <c r="F423" s="297" t="n"/>
      <c r="G423" s="297" t="n"/>
      <c r="H423" s="297" t="n"/>
      <c r="I423" s="236" t="n"/>
      <c r="J423" s="236" t="n"/>
      <c r="K423" s="236" t="n"/>
      <c r="L423" s="236" t="n"/>
    </row>
    <row r="424" ht="15.75" customHeight="1" s="372">
      <c r="A424" s="297" t="n"/>
      <c r="B424" s="297" t="n"/>
      <c r="C424" s="297" t="n"/>
      <c r="D424" s="297" t="n"/>
      <c r="E424" s="297" t="n"/>
      <c r="F424" s="297" t="n"/>
      <c r="G424" s="297" t="n"/>
      <c r="H424" s="297" t="n"/>
      <c r="I424" s="236" t="n"/>
      <c r="J424" s="236" t="n"/>
      <c r="K424" s="236" t="n"/>
      <c r="L424" s="236" t="n"/>
    </row>
    <row r="425" ht="15.75" customHeight="1" s="372">
      <c r="A425" s="297" t="n"/>
      <c r="B425" s="297" t="n"/>
      <c r="C425" s="297" t="n"/>
      <c r="D425" s="297" t="n"/>
      <c r="E425" s="297" t="n"/>
      <c r="F425" s="297" t="n"/>
      <c r="G425" s="297" t="n"/>
      <c r="H425" s="297" t="n"/>
      <c r="I425" s="236" t="n"/>
      <c r="J425" s="236" t="n"/>
      <c r="K425" s="236" t="n"/>
      <c r="L425" s="236" t="n"/>
    </row>
    <row r="426" ht="15.75" customHeight="1" s="372">
      <c r="A426" s="297" t="n"/>
      <c r="B426" s="297" t="n"/>
      <c r="C426" s="297" t="n"/>
      <c r="D426" s="297" t="n"/>
      <c r="E426" s="297" t="n"/>
      <c r="F426" s="297" t="n"/>
      <c r="G426" s="297" t="n"/>
      <c r="H426" s="297" t="n"/>
      <c r="I426" s="236" t="n"/>
      <c r="J426" s="236" t="n"/>
      <c r="K426" s="236" t="n"/>
      <c r="L426" s="236" t="n"/>
    </row>
    <row r="427" ht="15.75" customHeight="1" s="372">
      <c r="A427" s="297" t="n"/>
      <c r="B427" s="297" t="n"/>
      <c r="C427" s="297" t="n"/>
      <c r="D427" s="297" t="n"/>
      <c r="E427" s="297" t="n"/>
      <c r="F427" s="297" t="n"/>
      <c r="G427" s="297" t="n"/>
      <c r="H427" s="297" t="n"/>
      <c r="I427" s="236" t="n"/>
      <c r="J427" s="236" t="n"/>
      <c r="K427" s="236" t="n"/>
      <c r="L427" s="236" t="n"/>
    </row>
    <row r="428" ht="15.75" customHeight="1" s="372">
      <c r="A428" s="297" t="n"/>
      <c r="B428" s="297" t="n"/>
      <c r="C428" s="297" t="n"/>
      <c r="D428" s="297" t="n"/>
      <c r="E428" s="297" t="n"/>
      <c r="F428" s="297" t="n"/>
      <c r="G428" s="297" t="n"/>
      <c r="H428" s="297" t="n"/>
      <c r="I428" s="236" t="n"/>
      <c r="J428" s="236" t="n"/>
      <c r="K428" s="236" t="n"/>
      <c r="L428" s="236" t="n"/>
    </row>
    <row r="429" ht="15.75" customHeight="1" s="372">
      <c r="A429" s="297" t="n"/>
      <c r="B429" s="297" t="n"/>
      <c r="C429" s="297" t="n"/>
      <c r="D429" s="297" t="n"/>
      <c r="E429" s="297" t="n"/>
      <c r="F429" s="297" t="n"/>
      <c r="G429" s="297" t="n"/>
      <c r="H429" s="297" t="n"/>
      <c r="I429" s="236" t="n"/>
      <c r="J429" s="236" t="n"/>
      <c r="K429" s="236" t="n"/>
      <c r="L429" s="236" t="n"/>
    </row>
    <row r="430" ht="15.75" customHeight="1" s="372">
      <c r="A430" s="297" t="n"/>
      <c r="B430" s="297" t="n"/>
      <c r="C430" s="297" t="n"/>
      <c r="D430" s="297" t="n"/>
      <c r="E430" s="297" t="n"/>
      <c r="F430" s="297" t="n"/>
      <c r="G430" s="297" t="n"/>
      <c r="H430" s="297" t="n"/>
      <c r="I430" s="236" t="n"/>
      <c r="J430" s="236" t="n"/>
      <c r="K430" s="236" t="n"/>
      <c r="L430" s="236" t="n"/>
    </row>
    <row r="431" ht="15.75" customHeight="1" s="372">
      <c r="A431" s="297" t="n"/>
      <c r="B431" s="297" t="n"/>
      <c r="C431" s="297" t="n"/>
      <c r="D431" s="297" t="n"/>
      <c r="E431" s="297" t="n"/>
      <c r="F431" s="297" t="n"/>
      <c r="G431" s="297" t="n"/>
      <c r="H431" s="297" t="n"/>
      <c r="I431" s="236" t="n"/>
      <c r="J431" s="236" t="n"/>
      <c r="K431" s="236" t="n"/>
      <c r="L431" s="236" t="n"/>
    </row>
    <row r="432" ht="15.75" customHeight="1" s="372">
      <c r="A432" s="297" t="n"/>
      <c r="B432" s="297" t="n"/>
      <c r="C432" s="297" t="n"/>
      <c r="D432" s="297" t="n"/>
      <c r="E432" s="297" t="n"/>
      <c r="F432" s="297" t="n"/>
      <c r="G432" s="297" t="n"/>
      <c r="H432" s="297" t="n"/>
      <c r="I432" s="236" t="n"/>
      <c r="J432" s="236" t="n"/>
      <c r="K432" s="236" t="n"/>
      <c r="L432" s="236" t="n"/>
    </row>
    <row r="433" ht="15.75" customHeight="1" s="372">
      <c r="A433" s="297" t="n"/>
      <c r="B433" s="297" t="n"/>
      <c r="C433" s="297" t="n"/>
      <c r="D433" s="297" t="n"/>
      <c r="E433" s="297" t="n"/>
      <c r="F433" s="297" t="n"/>
      <c r="G433" s="297" t="n"/>
      <c r="H433" s="297" t="n"/>
      <c r="I433" s="236" t="n"/>
      <c r="J433" s="236" t="n"/>
      <c r="K433" s="236" t="n"/>
      <c r="L433" s="236" t="n"/>
    </row>
    <row r="434" ht="15.75" customHeight="1" s="372">
      <c r="A434" s="297" t="n"/>
      <c r="B434" s="297" t="n"/>
      <c r="C434" s="297" t="n"/>
      <c r="D434" s="297" t="n"/>
      <c r="E434" s="297" t="n"/>
      <c r="F434" s="297" t="n"/>
      <c r="G434" s="297" t="n"/>
      <c r="H434" s="297" t="n"/>
      <c r="I434" s="236" t="n"/>
      <c r="J434" s="236" t="n"/>
      <c r="K434" s="236" t="n"/>
      <c r="L434" s="236" t="n"/>
    </row>
    <row r="435" ht="15.75" customHeight="1" s="372">
      <c r="A435" s="297" t="n"/>
      <c r="B435" s="297" t="n"/>
      <c r="C435" s="297" t="n"/>
      <c r="D435" s="297" t="n"/>
      <c r="E435" s="297" t="n"/>
      <c r="F435" s="297" t="n"/>
      <c r="G435" s="297" t="n"/>
      <c r="H435" s="297" t="n"/>
      <c r="I435" s="236" t="n"/>
      <c r="J435" s="236" t="n"/>
      <c r="K435" s="236" t="n"/>
      <c r="L435" s="236" t="n"/>
    </row>
    <row r="436" ht="15.75" customHeight="1" s="372">
      <c r="A436" s="297" t="n"/>
      <c r="B436" s="297" t="n"/>
      <c r="C436" s="297" t="n"/>
      <c r="D436" s="297" t="n"/>
      <c r="E436" s="297" t="n"/>
      <c r="F436" s="297" t="n"/>
      <c r="G436" s="297" t="n"/>
      <c r="H436" s="297" t="n"/>
      <c r="I436" s="236" t="n"/>
      <c r="J436" s="236" t="n"/>
      <c r="K436" s="236" t="n"/>
      <c r="L436" s="236" t="n"/>
    </row>
    <row r="437" ht="15.75" customHeight="1" s="372">
      <c r="A437" s="297" t="n"/>
      <c r="B437" s="297" t="n"/>
      <c r="C437" s="297" t="n"/>
      <c r="D437" s="297" t="n"/>
      <c r="E437" s="297" t="n"/>
      <c r="F437" s="297" t="n"/>
      <c r="G437" s="297" t="n"/>
      <c r="H437" s="297" t="n"/>
      <c r="I437" s="236" t="n"/>
      <c r="J437" s="236" t="n"/>
      <c r="K437" s="236" t="n"/>
      <c r="L437" s="236" t="n"/>
    </row>
    <row r="438" ht="15.75" customHeight="1" s="372">
      <c r="A438" s="297" t="n"/>
      <c r="B438" s="297" t="n"/>
      <c r="C438" s="297" t="n"/>
      <c r="D438" s="297" t="n"/>
      <c r="E438" s="297" t="n"/>
      <c r="F438" s="297" t="n"/>
      <c r="G438" s="297" t="n"/>
      <c r="H438" s="297" t="n"/>
      <c r="I438" s="236" t="n"/>
      <c r="J438" s="236" t="n"/>
      <c r="K438" s="236" t="n"/>
      <c r="L438" s="236" t="n"/>
    </row>
    <row r="439" ht="15.75" customHeight="1" s="372">
      <c r="A439" s="297" t="n"/>
      <c r="B439" s="297" t="n"/>
      <c r="C439" s="297" t="n"/>
      <c r="D439" s="297" t="n"/>
      <c r="E439" s="297" t="n"/>
      <c r="F439" s="297" t="n"/>
      <c r="G439" s="297" t="n"/>
      <c r="H439" s="297" t="n"/>
      <c r="I439" s="236" t="n"/>
      <c r="J439" s="236" t="n"/>
      <c r="K439" s="236" t="n"/>
      <c r="L439" s="236" t="n"/>
    </row>
    <row r="440" ht="15.75" customHeight="1" s="372">
      <c r="A440" s="297" t="n"/>
      <c r="B440" s="297" t="n"/>
      <c r="C440" s="297" t="n"/>
      <c r="D440" s="297" t="n"/>
      <c r="E440" s="297" t="n"/>
      <c r="F440" s="297" t="n"/>
      <c r="G440" s="297" t="n"/>
      <c r="H440" s="297" t="n"/>
      <c r="I440" s="236" t="n"/>
      <c r="J440" s="236" t="n"/>
      <c r="K440" s="236" t="n"/>
      <c r="L440" s="236" t="n"/>
    </row>
    <row r="441" ht="15.75" customHeight="1" s="372">
      <c r="A441" s="297" t="n"/>
      <c r="B441" s="297" t="n"/>
      <c r="C441" s="297" t="n"/>
      <c r="D441" s="297" t="n"/>
      <c r="E441" s="297" t="n"/>
      <c r="F441" s="297" t="n"/>
      <c r="G441" s="297" t="n"/>
      <c r="H441" s="297" t="n"/>
      <c r="I441" s="236" t="n"/>
      <c r="J441" s="236" t="n"/>
      <c r="K441" s="236" t="n"/>
      <c r="L441" s="236" t="n"/>
    </row>
    <row r="442" ht="15.75" customHeight="1" s="372">
      <c r="A442" s="297" t="n"/>
      <c r="B442" s="297" t="n"/>
      <c r="C442" s="297" t="n"/>
      <c r="D442" s="297" t="n"/>
      <c r="E442" s="297" t="n"/>
      <c r="F442" s="297" t="n"/>
      <c r="G442" s="297" t="n"/>
      <c r="H442" s="297" t="n"/>
      <c r="I442" s="236" t="n"/>
      <c r="J442" s="236" t="n"/>
      <c r="K442" s="236" t="n"/>
      <c r="L442" s="236" t="n"/>
    </row>
    <row r="443" ht="15.75" customHeight="1" s="372">
      <c r="A443" s="297" t="n"/>
      <c r="B443" s="297" t="n"/>
      <c r="C443" s="297" t="n"/>
      <c r="D443" s="297" t="n"/>
      <c r="E443" s="297" t="n"/>
      <c r="F443" s="297" t="n"/>
      <c r="G443" s="297" t="n"/>
      <c r="H443" s="297" t="n"/>
      <c r="I443" s="236" t="n"/>
      <c r="J443" s="236" t="n"/>
      <c r="K443" s="236" t="n"/>
      <c r="L443" s="236" t="n"/>
    </row>
    <row r="444" ht="15.75" customHeight="1" s="372">
      <c r="A444" s="297" t="n"/>
      <c r="B444" s="297" t="n"/>
      <c r="C444" s="297" t="n"/>
      <c r="D444" s="297" t="n"/>
      <c r="E444" s="297" t="n"/>
      <c r="F444" s="297" t="n"/>
      <c r="G444" s="297" t="n"/>
      <c r="H444" s="297" t="n"/>
      <c r="I444" s="236" t="n"/>
      <c r="J444" s="236" t="n"/>
      <c r="K444" s="236" t="n"/>
      <c r="L444" s="236" t="n"/>
    </row>
    <row r="445" ht="15.75" customHeight="1" s="372">
      <c r="A445" s="297" t="n"/>
      <c r="B445" s="297" t="n"/>
      <c r="C445" s="297" t="n"/>
      <c r="D445" s="297" t="n"/>
      <c r="E445" s="297" t="n"/>
      <c r="F445" s="297" t="n"/>
      <c r="G445" s="297" t="n"/>
      <c r="H445" s="297" t="n"/>
      <c r="I445" s="236" t="n"/>
      <c r="J445" s="236" t="n"/>
      <c r="K445" s="236" t="n"/>
      <c r="L445" s="236" t="n"/>
    </row>
    <row r="446" ht="15.75" customHeight="1" s="372">
      <c r="A446" s="297" t="n"/>
      <c r="B446" s="297" t="n"/>
      <c r="C446" s="297" t="n"/>
      <c r="D446" s="297" t="n"/>
      <c r="E446" s="297" t="n"/>
      <c r="F446" s="297" t="n"/>
      <c r="G446" s="297" t="n"/>
      <c r="H446" s="297" t="n"/>
      <c r="I446" s="236" t="n"/>
      <c r="J446" s="236" t="n"/>
      <c r="K446" s="236" t="n"/>
      <c r="L446" s="236" t="n"/>
    </row>
    <row r="447" ht="15.75" customHeight="1" s="372">
      <c r="A447" s="297" t="n"/>
      <c r="B447" s="297" t="n"/>
      <c r="C447" s="297" t="n"/>
      <c r="D447" s="297" t="n"/>
      <c r="E447" s="297" t="n"/>
      <c r="F447" s="297" t="n"/>
      <c r="G447" s="297" t="n"/>
      <c r="H447" s="297" t="n"/>
      <c r="I447" s="236" t="n"/>
      <c r="J447" s="236" t="n"/>
      <c r="K447" s="236" t="n"/>
      <c r="L447" s="236" t="n"/>
    </row>
    <row r="448" ht="15.75" customHeight="1" s="372">
      <c r="A448" s="297" t="n"/>
      <c r="B448" s="297" t="n"/>
      <c r="C448" s="297" t="n"/>
      <c r="D448" s="297" t="n"/>
      <c r="E448" s="297" t="n"/>
      <c r="F448" s="297" t="n"/>
      <c r="G448" s="297" t="n"/>
      <c r="H448" s="297" t="n"/>
      <c r="I448" s="236" t="n"/>
      <c r="J448" s="236" t="n"/>
      <c r="K448" s="236" t="n"/>
      <c r="L448" s="236" t="n"/>
    </row>
    <row r="449" ht="15.75" customHeight="1" s="372">
      <c r="A449" s="297" t="n"/>
      <c r="B449" s="297" t="n"/>
      <c r="C449" s="297" t="n"/>
      <c r="D449" s="297" t="n"/>
      <c r="E449" s="297" t="n"/>
      <c r="F449" s="297" t="n"/>
      <c r="G449" s="297" t="n"/>
      <c r="H449" s="297" t="n"/>
      <c r="I449" s="236" t="n"/>
      <c r="J449" s="236" t="n"/>
      <c r="K449" s="236" t="n"/>
      <c r="L449" s="236" t="n"/>
    </row>
    <row r="450" ht="15.75" customHeight="1" s="372">
      <c r="A450" s="297" t="n"/>
      <c r="B450" s="297" t="n"/>
      <c r="C450" s="297" t="n"/>
      <c r="D450" s="297" t="n"/>
      <c r="E450" s="297" t="n"/>
      <c r="F450" s="297" t="n"/>
      <c r="G450" s="297" t="n"/>
      <c r="H450" s="297" t="n"/>
      <c r="I450" s="236" t="n"/>
      <c r="J450" s="236" t="n"/>
      <c r="K450" s="236" t="n"/>
      <c r="L450" s="236" t="n"/>
    </row>
    <row r="451" ht="15.75" customHeight="1" s="372">
      <c r="A451" s="297" t="n"/>
      <c r="B451" s="297" t="n"/>
      <c r="C451" s="297" t="n"/>
      <c r="D451" s="297" t="n"/>
      <c r="E451" s="297" t="n"/>
      <c r="F451" s="297" t="n"/>
      <c r="G451" s="297" t="n"/>
      <c r="H451" s="297" t="n"/>
      <c r="I451" s="236" t="n"/>
      <c r="J451" s="236" t="n"/>
      <c r="K451" s="236" t="n"/>
      <c r="L451" s="236" t="n"/>
    </row>
    <row r="452" ht="15.75" customHeight="1" s="372">
      <c r="A452" s="297" t="n"/>
      <c r="B452" s="297" t="n"/>
      <c r="C452" s="297" t="n"/>
      <c r="D452" s="297" t="n"/>
      <c r="E452" s="297" t="n"/>
      <c r="F452" s="297" t="n"/>
      <c r="G452" s="297" t="n"/>
      <c r="H452" s="297" t="n"/>
      <c r="I452" s="236" t="n"/>
      <c r="J452" s="236" t="n"/>
      <c r="K452" s="236" t="n"/>
      <c r="L452" s="236" t="n"/>
    </row>
    <row r="453" ht="15.75" customHeight="1" s="372">
      <c r="A453" s="297" t="n"/>
      <c r="B453" s="297" t="n"/>
      <c r="C453" s="297" t="n"/>
      <c r="D453" s="297" t="n"/>
      <c r="E453" s="297" t="n"/>
      <c r="F453" s="297" t="n"/>
      <c r="G453" s="297" t="n"/>
      <c r="H453" s="297" t="n"/>
      <c r="I453" s="236" t="n"/>
      <c r="J453" s="236" t="n"/>
      <c r="K453" s="236" t="n"/>
      <c r="L453" s="236" t="n"/>
    </row>
    <row r="454" ht="15.75" customHeight="1" s="372">
      <c r="A454" s="297" t="n"/>
      <c r="B454" s="297" t="n"/>
      <c r="C454" s="297" t="n"/>
      <c r="D454" s="297" t="n"/>
      <c r="E454" s="297" t="n"/>
      <c r="F454" s="297" t="n"/>
      <c r="G454" s="297" t="n"/>
      <c r="H454" s="297" t="n"/>
      <c r="I454" s="236" t="n"/>
      <c r="J454" s="236" t="n"/>
      <c r="K454" s="236" t="n"/>
      <c r="L454" s="236" t="n"/>
    </row>
    <row r="455" ht="15.75" customHeight="1" s="372">
      <c r="A455" s="297" t="n"/>
      <c r="B455" s="297" t="n"/>
      <c r="C455" s="297" t="n"/>
      <c r="D455" s="297" t="n"/>
      <c r="E455" s="297" t="n"/>
      <c r="F455" s="297" t="n"/>
      <c r="G455" s="297" t="n"/>
      <c r="H455" s="297" t="n"/>
      <c r="I455" s="236" t="n"/>
      <c r="J455" s="236" t="n"/>
      <c r="K455" s="236" t="n"/>
      <c r="L455" s="236" t="n"/>
    </row>
    <row r="456" ht="15.75" customHeight="1" s="372">
      <c r="A456" s="297" t="n"/>
      <c r="B456" s="297" t="n"/>
      <c r="C456" s="297" t="n"/>
      <c r="D456" s="297" t="n"/>
      <c r="E456" s="297" t="n"/>
      <c r="F456" s="297" t="n"/>
      <c r="G456" s="297" t="n"/>
      <c r="H456" s="297" t="n"/>
      <c r="I456" s="236" t="n"/>
      <c r="J456" s="236" t="n"/>
      <c r="K456" s="236" t="n"/>
      <c r="L456" s="236" t="n"/>
    </row>
    <row r="457" ht="15.75" customHeight="1" s="372">
      <c r="A457" s="297" t="n"/>
      <c r="B457" s="297" t="n"/>
      <c r="C457" s="297" t="n"/>
      <c r="D457" s="297" t="n"/>
      <c r="E457" s="297" t="n"/>
      <c r="F457" s="297" t="n"/>
      <c r="G457" s="297" t="n"/>
      <c r="H457" s="297" t="n"/>
      <c r="I457" s="236" t="n"/>
      <c r="J457" s="236" t="n"/>
      <c r="K457" s="236" t="n"/>
      <c r="L457" s="236" t="n"/>
    </row>
    <row r="458" ht="15.75" customHeight="1" s="372">
      <c r="A458" s="297" t="n"/>
      <c r="B458" s="297" t="n"/>
      <c r="C458" s="297" t="n"/>
      <c r="D458" s="297" t="n"/>
      <c r="E458" s="297" t="n"/>
      <c r="F458" s="297" t="n"/>
      <c r="G458" s="297" t="n"/>
      <c r="H458" s="297" t="n"/>
      <c r="I458" s="236" t="n"/>
      <c r="J458" s="236" t="n"/>
      <c r="K458" s="236" t="n"/>
      <c r="L458" s="236" t="n"/>
    </row>
    <row r="459" ht="15.75" customHeight="1" s="372">
      <c r="A459" s="297" t="n"/>
      <c r="B459" s="297" t="n"/>
      <c r="C459" s="297" t="n"/>
      <c r="D459" s="297" t="n"/>
      <c r="E459" s="297" t="n"/>
      <c r="F459" s="297" t="n"/>
      <c r="G459" s="297" t="n"/>
      <c r="H459" s="297" t="n"/>
      <c r="I459" s="236" t="n"/>
      <c r="J459" s="236" t="n"/>
      <c r="K459" s="236" t="n"/>
      <c r="L459" s="236" t="n"/>
    </row>
    <row r="460" ht="15.75" customHeight="1" s="372">
      <c r="A460" s="297" t="n"/>
      <c r="B460" s="297" t="n"/>
      <c r="C460" s="297" t="n"/>
      <c r="D460" s="297" t="n"/>
      <c r="E460" s="297" t="n"/>
      <c r="F460" s="297" t="n"/>
      <c r="G460" s="297" t="n"/>
      <c r="H460" s="297" t="n"/>
      <c r="I460" s="236" t="n"/>
      <c r="J460" s="236" t="n"/>
      <c r="K460" s="236" t="n"/>
      <c r="L460" s="236" t="n"/>
    </row>
    <row r="461" ht="15.75" customHeight="1" s="372">
      <c r="A461" s="297" t="n"/>
      <c r="B461" s="297" t="n"/>
      <c r="C461" s="297" t="n"/>
      <c r="D461" s="297" t="n"/>
      <c r="E461" s="297" t="n"/>
      <c r="F461" s="297" t="n"/>
      <c r="G461" s="297" t="n"/>
      <c r="H461" s="297" t="n"/>
      <c r="I461" s="236" t="n"/>
      <c r="J461" s="236" t="n"/>
      <c r="K461" s="236" t="n"/>
      <c r="L461" s="236" t="n"/>
    </row>
    <row r="462" ht="15.75" customHeight="1" s="372">
      <c r="A462" s="297" t="n"/>
      <c r="B462" s="297" t="n"/>
      <c r="C462" s="297" t="n"/>
      <c r="D462" s="297" t="n"/>
      <c r="E462" s="297" t="n"/>
      <c r="F462" s="297" t="n"/>
      <c r="G462" s="297" t="n"/>
      <c r="H462" s="297" t="n"/>
      <c r="I462" s="236" t="n"/>
      <c r="J462" s="236" t="n"/>
      <c r="K462" s="236" t="n"/>
      <c r="L462" s="236" t="n"/>
    </row>
    <row r="463" ht="15.75" customHeight="1" s="372">
      <c r="A463" s="297" t="n"/>
      <c r="B463" s="297" t="n"/>
      <c r="C463" s="297" t="n"/>
      <c r="D463" s="297" t="n"/>
      <c r="E463" s="297" t="n"/>
      <c r="F463" s="297" t="n"/>
      <c r="G463" s="297" t="n"/>
      <c r="H463" s="297" t="n"/>
      <c r="I463" s="236" t="n"/>
      <c r="J463" s="236" t="n"/>
      <c r="K463" s="236" t="n"/>
      <c r="L463" s="236" t="n"/>
    </row>
    <row r="464" ht="15.75" customHeight="1" s="372">
      <c r="A464" s="297" t="n"/>
      <c r="B464" s="297" t="n"/>
      <c r="C464" s="297" t="n"/>
      <c r="D464" s="297" t="n"/>
      <c r="E464" s="297" t="n"/>
      <c r="F464" s="297" t="n"/>
      <c r="G464" s="297" t="n"/>
      <c r="H464" s="297" t="n"/>
      <c r="I464" s="236" t="n"/>
      <c r="J464" s="236" t="n"/>
      <c r="K464" s="236" t="n"/>
      <c r="L464" s="236" t="n"/>
    </row>
    <row r="465" ht="15.75" customHeight="1" s="372">
      <c r="A465" s="297" t="n"/>
      <c r="B465" s="297" t="n"/>
      <c r="C465" s="297" t="n"/>
      <c r="D465" s="297" t="n"/>
      <c r="E465" s="297" t="n"/>
      <c r="F465" s="297" t="n"/>
      <c r="G465" s="297" t="n"/>
      <c r="H465" s="297" t="n"/>
      <c r="I465" s="236" t="n"/>
      <c r="J465" s="236" t="n"/>
      <c r="K465" s="236" t="n"/>
      <c r="L465" s="236" t="n"/>
    </row>
    <row r="466" ht="15.75" customHeight="1" s="372">
      <c r="A466" s="297" t="n"/>
      <c r="B466" s="297" t="n"/>
      <c r="C466" s="297" t="n"/>
      <c r="D466" s="297" t="n"/>
      <c r="E466" s="297" t="n"/>
      <c r="F466" s="297" t="n"/>
      <c r="G466" s="297" t="n"/>
      <c r="H466" s="297" t="n"/>
      <c r="I466" s="236" t="n"/>
      <c r="J466" s="236" t="n"/>
      <c r="K466" s="236" t="n"/>
      <c r="L466" s="236" t="n"/>
    </row>
    <row r="467" ht="15.75" customHeight="1" s="372">
      <c r="A467" s="297" t="n"/>
      <c r="B467" s="297" t="n"/>
      <c r="C467" s="297" t="n"/>
      <c r="D467" s="297" t="n"/>
      <c r="E467" s="297" t="n"/>
      <c r="F467" s="297" t="n"/>
      <c r="G467" s="297" t="n"/>
      <c r="H467" s="297" t="n"/>
      <c r="I467" s="236" t="n"/>
      <c r="J467" s="236" t="n"/>
      <c r="K467" s="236" t="n"/>
      <c r="L467" s="236" t="n"/>
    </row>
    <row r="468" ht="15.75" customHeight="1" s="372">
      <c r="A468" s="297" t="n"/>
      <c r="B468" s="297" t="n"/>
      <c r="C468" s="297" t="n"/>
      <c r="D468" s="297" t="n"/>
      <c r="E468" s="297" t="n"/>
      <c r="F468" s="297" t="n"/>
      <c r="G468" s="297" t="n"/>
      <c r="H468" s="297" t="n"/>
      <c r="I468" s="236" t="n"/>
      <c r="J468" s="236" t="n"/>
      <c r="K468" s="236" t="n"/>
      <c r="L468" s="236" t="n"/>
    </row>
    <row r="469" ht="15.75" customHeight="1" s="372">
      <c r="A469" s="297" t="n"/>
      <c r="B469" s="297" t="n"/>
      <c r="C469" s="297" t="n"/>
      <c r="D469" s="297" t="n"/>
      <c r="E469" s="297" t="n"/>
      <c r="F469" s="297" t="n"/>
      <c r="G469" s="297" t="n"/>
      <c r="H469" s="297" t="n"/>
      <c r="I469" s="236" t="n"/>
      <c r="J469" s="236" t="n"/>
      <c r="K469" s="236" t="n"/>
      <c r="L469" s="236" t="n"/>
    </row>
    <row r="470" ht="15.75" customHeight="1" s="372">
      <c r="A470" s="297" t="n"/>
      <c r="B470" s="297" t="n"/>
      <c r="C470" s="297" t="n"/>
      <c r="D470" s="297" t="n"/>
      <c r="E470" s="297" t="n"/>
      <c r="F470" s="297" t="n"/>
      <c r="G470" s="297" t="n"/>
      <c r="H470" s="297" t="n"/>
      <c r="I470" s="236" t="n"/>
      <c r="J470" s="236" t="n"/>
      <c r="K470" s="236" t="n"/>
      <c r="L470" s="236" t="n"/>
    </row>
    <row r="471" ht="15.75" customHeight="1" s="372">
      <c r="A471" s="297" t="n"/>
      <c r="B471" s="297" t="n"/>
      <c r="C471" s="297" t="n"/>
      <c r="D471" s="297" t="n"/>
      <c r="E471" s="297" t="n"/>
      <c r="F471" s="297" t="n"/>
      <c r="G471" s="297" t="n"/>
      <c r="H471" s="297" t="n"/>
      <c r="I471" s="236" t="n"/>
      <c r="J471" s="236" t="n"/>
      <c r="K471" s="236" t="n"/>
      <c r="L471" s="236" t="n"/>
    </row>
    <row r="472" ht="15.75" customHeight="1" s="372">
      <c r="A472" s="297" t="n"/>
      <c r="B472" s="297" t="n"/>
      <c r="C472" s="297" t="n"/>
      <c r="D472" s="297" t="n"/>
      <c r="E472" s="297" t="n"/>
      <c r="F472" s="297" t="n"/>
      <c r="G472" s="297" t="n"/>
      <c r="H472" s="297" t="n"/>
      <c r="I472" s="236" t="n"/>
      <c r="J472" s="236" t="n"/>
      <c r="K472" s="236" t="n"/>
      <c r="L472" s="236" t="n"/>
    </row>
    <row r="473" ht="15.75" customHeight="1" s="372">
      <c r="A473" s="297" t="n"/>
      <c r="B473" s="297" t="n"/>
      <c r="C473" s="297" t="n"/>
      <c r="D473" s="297" t="n"/>
      <c r="E473" s="297" t="n"/>
      <c r="F473" s="297" t="n"/>
      <c r="G473" s="297" t="n"/>
      <c r="H473" s="297" t="n"/>
      <c r="I473" s="236" t="n"/>
      <c r="J473" s="236" t="n"/>
      <c r="K473" s="236" t="n"/>
      <c r="L473" s="236" t="n"/>
    </row>
    <row r="474" ht="15.75" customHeight="1" s="372">
      <c r="A474" s="297" t="n"/>
      <c r="B474" s="297" t="n"/>
      <c r="C474" s="297" t="n"/>
      <c r="D474" s="297" t="n"/>
      <c r="E474" s="297" t="n"/>
      <c r="F474" s="297" t="n"/>
      <c r="G474" s="297" t="n"/>
      <c r="H474" s="297" t="n"/>
      <c r="I474" s="236" t="n"/>
      <c r="J474" s="236" t="n"/>
      <c r="K474" s="236" t="n"/>
      <c r="L474" s="236" t="n"/>
    </row>
    <row r="475" ht="15.75" customHeight="1" s="372">
      <c r="A475" s="297" t="n"/>
      <c r="B475" s="297" t="n"/>
      <c r="C475" s="297" t="n"/>
      <c r="D475" s="297" t="n"/>
      <c r="E475" s="297" t="n"/>
      <c r="F475" s="297" t="n"/>
      <c r="G475" s="297" t="n"/>
      <c r="H475" s="297" t="n"/>
      <c r="I475" s="236" t="n"/>
      <c r="J475" s="236" t="n"/>
      <c r="K475" s="236" t="n"/>
      <c r="L475" s="236" t="n"/>
    </row>
    <row r="476" ht="15.75" customHeight="1" s="372">
      <c r="A476" s="297" t="n"/>
      <c r="B476" s="297" t="n"/>
      <c r="C476" s="297" t="n"/>
      <c r="D476" s="297" t="n"/>
      <c r="E476" s="297" t="n"/>
      <c r="F476" s="297" t="n"/>
      <c r="G476" s="297" t="n"/>
      <c r="H476" s="297" t="n"/>
      <c r="I476" s="236" t="n"/>
      <c r="J476" s="236" t="n"/>
      <c r="K476" s="236" t="n"/>
      <c r="L476" s="236" t="n"/>
    </row>
    <row r="477" ht="15.75" customHeight="1" s="372">
      <c r="A477" s="297" t="n"/>
      <c r="B477" s="297" t="n"/>
      <c r="C477" s="297" t="n"/>
      <c r="D477" s="297" t="n"/>
      <c r="E477" s="297" t="n"/>
      <c r="F477" s="297" t="n"/>
      <c r="G477" s="297" t="n"/>
      <c r="H477" s="297" t="n"/>
      <c r="I477" s="236" t="n"/>
      <c r="J477" s="236" t="n"/>
      <c r="K477" s="236" t="n"/>
      <c r="L477" s="236" t="n"/>
    </row>
    <row r="478" ht="15.75" customHeight="1" s="372">
      <c r="A478" s="297" t="n"/>
      <c r="B478" s="297" t="n"/>
      <c r="C478" s="297" t="n"/>
      <c r="D478" s="297" t="n"/>
      <c r="E478" s="297" t="n"/>
      <c r="F478" s="297" t="n"/>
      <c r="G478" s="297" t="n"/>
      <c r="H478" s="297" t="n"/>
      <c r="I478" s="236" t="n"/>
      <c r="J478" s="236" t="n"/>
      <c r="K478" s="236" t="n"/>
      <c r="L478" s="236" t="n"/>
    </row>
    <row r="479" ht="15.75" customHeight="1" s="372">
      <c r="A479" s="297" t="n"/>
      <c r="B479" s="297" t="n"/>
      <c r="C479" s="297" t="n"/>
      <c r="D479" s="297" t="n"/>
      <c r="E479" s="297" t="n"/>
      <c r="F479" s="297" t="n"/>
      <c r="G479" s="297" t="n"/>
      <c r="H479" s="297" t="n"/>
      <c r="I479" s="236" t="n"/>
      <c r="J479" s="236" t="n"/>
      <c r="K479" s="236" t="n"/>
      <c r="L479" s="236" t="n"/>
    </row>
    <row r="480" ht="15.75" customHeight="1" s="372">
      <c r="A480" s="297" t="n"/>
      <c r="B480" s="297" t="n"/>
      <c r="C480" s="297" t="n"/>
      <c r="D480" s="297" t="n"/>
      <c r="E480" s="297" t="n"/>
      <c r="F480" s="297" t="n"/>
      <c r="G480" s="297" t="n"/>
      <c r="H480" s="297" t="n"/>
      <c r="I480" s="236" t="n"/>
      <c r="J480" s="236" t="n"/>
      <c r="K480" s="236" t="n"/>
      <c r="L480" s="236" t="n"/>
    </row>
    <row r="481" ht="15.75" customHeight="1" s="372">
      <c r="A481" s="297" t="n"/>
      <c r="B481" s="297" t="n"/>
      <c r="C481" s="297" t="n"/>
      <c r="D481" s="297" t="n"/>
      <c r="E481" s="297" t="n"/>
      <c r="F481" s="297" t="n"/>
      <c r="G481" s="297" t="n"/>
      <c r="H481" s="297" t="n"/>
      <c r="I481" s="236" t="n"/>
      <c r="J481" s="236" t="n"/>
      <c r="K481" s="236" t="n"/>
      <c r="L481" s="236" t="n"/>
    </row>
    <row r="482" ht="15.75" customHeight="1" s="372">
      <c r="A482" s="297" t="n"/>
      <c r="B482" s="297" t="n"/>
      <c r="C482" s="297" t="n"/>
      <c r="D482" s="297" t="n"/>
      <c r="E482" s="297" t="n"/>
      <c r="F482" s="297" t="n"/>
      <c r="G482" s="297" t="n"/>
      <c r="H482" s="297" t="n"/>
      <c r="I482" s="236" t="n"/>
      <c r="J482" s="236" t="n"/>
      <c r="K482" s="236" t="n"/>
      <c r="L482" s="236" t="n"/>
    </row>
    <row r="483" ht="15.75" customHeight="1" s="372">
      <c r="A483" s="297" t="n"/>
      <c r="B483" s="297" t="n"/>
      <c r="C483" s="297" t="n"/>
      <c r="D483" s="297" t="n"/>
      <c r="E483" s="297" t="n"/>
      <c r="F483" s="297" t="n"/>
      <c r="G483" s="297" t="n"/>
      <c r="H483" s="297" t="n"/>
      <c r="I483" s="236" t="n"/>
      <c r="J483" s="236" t="n"/>
      <c r="K483" s="236" t="n"/>
      <c r="L483" s="236" t="n"/>
    </row>
    <row r="484" ht="15.75" customHeight="1" s="372">
      <c r="A484" s="297" t="n"/>
      <c r="B484" s="297" t="n"/>
      <c r="C484" s="297" t="n"/>
      <c r="D484" s="297" t="n"/>
      <c r="E484" s="297" t="n"/>
      <c r="F484" s="297" t="n"/>
      <c r="G484" s="297" t="n"/>
      <c r="H484" s="297" t="n"/>
      <c r="I484" s="236" t="n"/>
      <c r="J484" s="236" t="n"/>
      <c r="K484" s="236" t="n"/>
      <c r="L484" s="236" t="n"/>
    </row>
    <row r="485" ht="15.75" customHeight="1" s="372">
      <c r="A485" s="297" t="n"/>
      <c r="B485" s="297" t="n"/>
      <c r="C485" s="297" t="n"/>
      <c r="D485" s="297" t="n"/>
      <c r="E485" s="297" t="n"/>
      <c r="F485" s="297" t="n"/>
      <c r="G485" s="297" t="n"/>
      <c r="H485" s="297" t="n"/>
      <c r="I485" s="236" t="n"/>
      <c r="J485" s="236" t="n"/>
      <c r="K485" s="236" t="n"/>
      <c r="L485" s="236" t="n"/>
    </row>
    <row r="486" ht="15.75" customHeight="1" s="372">
      <c r="A486" s="297" t="n"/>
      <c r="B486" s="297" t="n"/>
      <c r="C486" s="297" t="n"/>
      <c r="D486" s="297" t="n"/>
      <c r="E486" s="297" t="n"/>
      <c r="F486" s="297" t="n"/>
      <c r="G486" s="297" t="n"/>
      <c r="H486" s="297" t="n"/>
      <c r="I486" s="236" t="n"/>
      <c r="J486" s="236" t="n"/>
      <c r="K486" s="236" t="n"/>
      <c r="L486" s="236" t="n"/>
    </row>
    <row r="487" ht="15.75" customHeight="1" s="372">
      <c r="A487" s="297" t="n"/>
      <c r="B487" s="297" t="n"/>
      <c r="C487" s="297" t="n"/>
      <c r="D487" s="297" t="n"/>
      <c r="E487" s="297" t="n"/>
      <c r="F487" s="297" t="n"/>
      <c r="G487" s="297" t="n"/>
      <c r="H487" s="297" t="n"/>
      <c r="I487" s="236" t="n"/>
      <c r="J487" s="236" t="n"/>
      <c r="K487" s="236" t="n"/>
      <c r="L487" s="236" t="n"/>
    </row>
    <row r="488" ht="15.75" customHeight="1" s="372">
      <c r="A488" s="297" t="n"/>
      <c r="B488" s="297" t="n"/>
      <c r="C488" s="297" t="n"/>
      <c r="D488" s="297" t="n"/>
      <c r="E488" s="297" t="n"/>
      <c r="F488" s="297" t="n"/>
      <c r="G488" s="297" t="n"/>
      <c r="H488" s="297" t="n"/>
      <c r="I488" s="236" t="n"/>
      <c r="J488" s="236" t="n"/>
      <c r="K488" s="236" t="n"/>
      <c r="L488" s="236" t="n"/>
    </row>
    <row r="489" ht="15.75" customHeight="1" s="372">
      <c r="A489" s="297" t="n"/>
      <c r="B489" s="297" t="n"/>
      <c r="C489" s="297" t="n"/>
      <c r="D489" s="297" t="n"/>
      <c r="E489" s="297" t="n"/>
      <c r="F489" s="297" t="n"/>
      <c r="G489" s="297" t="n"/>
      <c r="H489" s="297" t="n"/>
      <c r="I489" s="236" t="n"/>
      <c r="J489" s="236" t="n"/>
      <c r="K489" s="236" t="n"/>
      <c r="L489" s="236" t="n"/>
    </row>
    <row r="490" ht="15.75" customHeight="1" s="372">
      <c r="A490" s="297" t="n"/>
      <c r="B490" s="297" t="n"/>
      <c r="C490" s="297" t="n"/>
      <c r="D490" s="297" t="n"/>
      <c r="E490" s="297" t="n"/>
      <c r="F490" s="297" t="n"/>
      <c r="G490" s="297" t="n"/>
      <c r="H490" s="297" t="n"/>
      <c r="I490" s="236" t="n"/>
      <c r="J490" s="236" t="n"/>
      <c r="K490" s="236" t="n"/>
      <c r="L490" s="236" t="n"/>
    </row>
    <row r="491" ht="15.75" customHeight="1" s="372">
      <c r="A491" s="297" t="n"/>
      <c r="B491" s="297" t="n"/>
      <c r="C491" s="297" t="n"/>
      <c r="D491" s="297" t="n"/>
      <c r="E491" s="297" t="n"/>
      <c r="F491" s="297" t="n"/>
      <c r="G491" s="297" t="n"/>
      <c r="H491" s="297" t="n"/>
      <c r="I491" s="236" t="n"/>
      <c r="J491" s="236" t="n"/>
      <c r="K491" s="236" t="n"/>
      <c r="L491" s="236" t="n"/>
    </row>
    <row r="492" ht="15.75" customHeight="1" s="372">
      <c r="A492" s="297" t="n"/>
      <c r="B492" s="297" t="n"/>
      <c r="C492" s="297" t="n"/>
      <c r="D492" s="297" t="n"/>
      <c r="E492" s="297" t="n"/>
      <c r="F492" s="297" t="n"/>
      <c r="G492" s="297" t="n"/>
      <c r="H492" s="297" t="n"/>
      <c r="I492" s="236" t="n"/>
      <c r="J492" s="236" t="n"/>
      <c r="K492" s="236" t="n"/>
      <c r="L492" s="236" t="n"/>
    </row>
    <row r="493" ht="15.75" customHeight="1" s="372">
      <c r="A493" s="297" t="n"/>
      <c r="B493" s="297" t="n"/>
      <c r="C493" s="297" t="n"/>
      <c r="D493" s="297" t="n"/>
      <c r="E493" s="297" t="n"/>
      <c r="F493" s="297" t="n"/>
      <c r="G493" s="297" t="n"/>
      <c r="H493" s="297" t="n"/>
      <c r="I493" s="236" t="n"/>
      <c r="J493" s="236" t="n"/>
      <c r="K493" s="236" t="n"/>
      <c r="L493" s="236" t="n"/>
    </row>
    <row r="494" ht="15.75" customHeight="1" s="372">
      <c r="A494" s="297" t="n"/>
      <c r="B494" s="297" t="n"/>
      <c r="C494" s="297" t="n"/>
      <c r="D494" s="297" t="n"/>
      <c r="E494" s="297" t="n"/>
      <c r="F494" s="297" t="n"/>
      <c r="G494" s="297" t="n"/>
      <c r="H494" s="297" t="n"/>
      <c r="I494" s="236" t="n"/>
      <c r="J494" s="236" t="n"/>
      <c r="K494" s="236" t="n"/>
      <c r="L494" s="236" t="n"/>
    </row>
    <row r="495" ht="15.75" customHeight="1" s="372">
      <c r="A495" s="297" t="n"/>
      <c r="B495" s="297" t="n"/>
      <c r="C495" s="297" t="n"/>
      <c r="D495" s="297" t="n"/>
      <c r="E495" s="297" t="n"/>
      <c r="F495" s="297" t="n"/>
      <c r="G495" s="297" t="n"/>
      <c r="H495" s="297" t="n"/>
      <c r="I495" s="236" t="n"/>
      <c r="J495" s="236" t="n"/>
      <c r="K495" s="236" t="n"/>
      <c r="L495" s="236" t="n"/>
    </row>
    <row r="496" ht="15.75" customHeight="1" s="372">
      <c r="A496" s="297" t="n"/>
      <c r="B496" s="297" t="n"/>
      <c r="C496" s="297" t="n"/>
      <c r="D496" s="297" t="n"/>
      <c r="E496" s="297" t="n"/>
      <c r="F496" s="297" t="n"/>
      <c r="G496" s="297" t="n"/>
      <c r="H496" s="297" t="n"/>
      <c r="I496" s="236" t="n"/>
      <c r="J496" s="236" t="n"/>
      <c r="K496" s="236" t="n"/>
      <c r="L496" s="236" t="n"/>
    </row>
    <row r="497" ht="15.75" customHeight="1" s="372">
      <c r="A497" s="297" t="n"/>
      <c r="B497" s="297" t="n"/>
      <c r="C497" s="297" t="n"/>
      <c r="D497" s="297" t="n"/>
      <c r="E497" s="297" t="n"/>
      <c r="F497" s="297" t="n"/>
      <c r="G497" s="297" t="n"/>
      <c r="H497" s="297" t="n"/>
      <c r="I497" s="236" t="n"/>
      <c r="J497" s="236" t="n"/>
      <c r="K497" s="236" t="n"/>
      <c r="L497" s="236" t="n"/>
    </row>
    <row r="498" ht="15.75" customHeight="1" s="372">
      <c r="A498" s="297" t="n"/>
      <c r="B498" s="297" t="n"/>
      <c r="C498" s="297" t="n"/>
      <c r="D498" s="297" t="n"/>
      <c r="E498" s="297" t="n"/>
      <c r="F498" s="297" t="n"/>
      <c r="G498" s="297" t="n"/>
      <c r="H498" s="297" t="n"/>
      <c r="I498" s="236" t="n"/>
      <c r="J498" s="236" t="n"/>
      <c r="K498" s="236" t="n"/>
      <c r="L498" s="236" t="n"/>
    </row>
    <row r="499" ht="15.75" customHeight="1" s="372">
      <c r="A499" s="297" t="n"/>
      <c r="B499" s="297" t="n"/>
      <c r="C499" s="297" t="n"/>
      <c r="D499" s="297" t="n"/>
      <c r="E499" s="297" t="n"/>
      <c r="F499" s="297" t="n"/>
      <c r="G499" s="297" t="n"/>
      <c r="H499" s="297" t="n"/>
      <c r="I499" s="236" t="n"/>
      <c r="J499" s="236" t="n"/>
      <c r="K499" s="236" t="n"/>
      <c r="L499" s="236" t="n"/>
    </row>
    <row r="500" ht="15.75" customHeight="1" s="372">
      <c r="A500" s="297" t="n"/>
      <c r="B500" s="297" t="n"/>
      <c r="C500" s="297" t="n"/>
      <c r="D500" s="297" t="n"/>
      <c r="E500" s="297" t="n"/>
      <c r="F500" s="297" t="n"/>
      <c r="G500" s="297" t="n"/>
      <c r="H500" s="297" t="n"/>
      <c r="I500" s="236" t="n"/>
      <c r="J500" s="236" t="n"/>
      <c r="K500" s="236" t="n"/>
      <c r="L500" s="236" t="n"/>
    </row>
    <row r="501" ht="15.75" customHeight="1" s="372">
      <c r="A501" s="297" t="n"/>
      <c r="B501" s="297" t="n"/>
      <c r="C501" s="297" t="n"/>
      <c r="D501" s="297" t="n"/>
      <c r="E501" s="297" t="n"/>
      <c r="F501" s="297" t="n"/>
      <c r="G501" s="297" t="n"/>
      <c r="H501" s="297" t="n"/>
      <c r="I501" s="236" t="n"/>
      <c r="J501" s="236" t="n"/>
      <c r="K501" s="236" t="n"/>
      <c r="L501" s="236" t="n"/>
    </row>
    <row r="502" ht="15.75" customHeight="1" s="372">
      <c r="A502" s="297" t="n"/>
      <c r="B502" s="297" t="n"/>
      <c r="C502" s="297" t="n"/>
      <c r="D502" s="297" t="n"/>
      <c r="E502" s="297" t="n"/>
      <c r="F502" s="297" t="n"/>
      <c r="G502" s="297" t="n"/>
      <c r="H502" s="297" t="n"/>
      <c r="I502" s="236" t="n"/>
      <c r="J502" s="236" t="n"/>
      <c r="K502" s="236" t="n"/>
      <c r="L502" s="236" t="n"/>
    </row>
    <row r="503" ht="15.75" customHeight="1" s="372">
      <c r="A503" s="297" t="n"/>
      <c r="B503" s="297" t="n"/>
      <c r="C503" s="297" t="n"/>
      <c r="D503" s="297" t="n"/>
      <c r="E503" s="297" t="n"/>
      <c r="F503" s="297" t="n"/>
      <c r="G503" s="297" t="n"/>
      <c r="H503" s="297" t="n"/>
      <c r="I503" s="236" t="n"/>
      <c r="J503" s="236" t="n"/>
      <c r="K503" s="236" t="n"/>
      <c r="L503" s="236" t="n"/>
    </row>
    <row r="504" ht="15.75" customHeight="1" s="372">
      <c r="A504" s="297" t="n"/>
      <c r="B504" s="297" t="n"/>
      <c r="C504" s="297" t="n"/>
      <c r="D504" s="297" t="n"/>
      <c r="E504" s="297" t="n"/>
      <c r="F504" s="297" t="n"/>
      <c r="G504" s="297" t="n"/>
      <c r="H504" s="297" t="n"/>
      <c r="I504" s="236" t="n"/>
      <c r="J504" s="236" t="n"/>
      <c r="K504" s="236" t="n"/>
      <c r="L504" s="236" t="n"/>
    </row>
    <row r="505" ht="15.75" customHeight="1" s="372">
      <c r="A505" s="297" t="n"/>
      <c r="B505" s="297" t="n"/>
      <c r="C505" s="297" t="n"/>
      <c r="D505" s="297" t="n"/>
      <c r="E505" s="297" t="n"/>
      <c r="F505" s="297" t="n"/>
      <c r="G505" s="297" t="n"/>
      <c r="H505" s="297" t="n"/>
      <c r="I505" s="236" t="n"/>
      <c r="J505" s="236" t="n"/>
      <c r="K505" s="236" t="n"/>
      <c r="L505" s="236" t="n"/>
    </row>
    <row r="506" ht="15.75" customHeight="1" s="372">
      <c r="A506" s="297" t="n"/>
      <c r="B506" s="297" t="n"/>
      <c r="C506" s="297" t="n"/>
      <c r="D506" s="297" t="n"/>
      <c r="E506" s="297" t="n"/>
      <c r="F506" s="297" t="n"/>
      <c r="G506" s="297" t="n"/>
      <c r="H506" s="297" t="n"/>
      <c r="I506" s="236" t="n"/>
      <c r="J506" s="236" t="n"/>
      <c r="K506" s="236" t="n"/>
      <c r="L506" s="236" t="n"/>
    </row>
    <row r="507" ht="15.75" customHeight="1" s="372">
      <c r="A507" s="297" t="n"/>
      <c r="B507" s="297" t="n"/>
      <c r="C507" s="297" t="n"/>
      <c r="D507" s="297" t="n"/>
      <c r="E507" s="297" t="n"/>
      <c r="F507" s="297" t="n"/>
      <c r="G507" s="297" t="n"/>
      <c r="H507" s="297" t="n"/>
      <c r="I507" s="236" t="n"/>
      <c r="J507" s="236" t="n"/>
      <c r="K507" s="236" t="n"/>
      <c r="L507" s="236" t="n"/>
    </row>
    <row r="508" ht="15.75" customHeight="1" s="372">
      <c r="A508" s="297" t="n"/>
      <c r="B508" s="297" t="n"/>
      <c r="C508" s="297" t="n"/>
      <c r="D508" s="297" t="n"/>
      <c r="E508" s="297" t="n"/>
      <c r="F508" s="297" t="n"/>
      <c r="G508" s="297" t="n"/>
      <c r="H508" s="297" t="n"/>
      <c r="I508" s="236" t="n"/>
      <c r="J508" s="236" t="n"/>
      <c r="K508" s="236" t="n"/>
      <c r="L508" s="236" t="n"/>
    </row>
    <row r="509" ht="15.75" customHeight="1" s="372">
      <c r="A509" s="297" t="n"/>
      <c r="B509" s="297" t="n"/>
      <c r="C509" s="297" t="n"/>
      <c r="D509" s="297" t="n"/>
      <c r="E509" s="297" t="n"/>
      <c r="F509" s="297" t="n"/>
      <c r="G509" s="297" t="n"/>
      <c r="H509" s="297" t="n"/>
      <c r="I509" s="236" t="n"/>
      <c r="J509" s="236" t="n"/>
      <c r="K509" s="236" t="n"/>
      <c r="L509" s="236" t="n"/>
    </row>
    <row r="510" ht="15.75" customHeight="1" s="372">
      <c r="A510" s="297" t="n"/>
      <c r="B510" s="297" t="n"/>
      <c r="C510" s="297" t="n"/>
      <c r="D510" s="297" t="n"/>
      <c r="E510" s="297" t="n"/>
      <c r="F510" s="297" t="n"/>
      <c r="G510" s="297" t="n"/>
      <c r="H510" s="297" t="n"/>
      <c r="I510" s="236" t="n"/>
      <c r="J510" s="236" t="n"/>
      <c r="K510" s="236" t="n"/>
      <c r="L510" s="236" t="n"/>
    </row>
    <row r="511" ht="15.75" customHeight="1" s="372">
      <c r="A511" s="297" t="n"/>
      <c r="B511" s="297" t="n"/>
      <c r="C511" s="297" t="n"/>
      <c r="D511" s="297" t="n"/>
      <c r="E511" s="297" t="n"/>
      <c r="F511" s="297" t="n"/>
      <c r="G511" s="297" t="n"/>
      <c r="H511" s="297" t="n"/>
      <c r="I511" s="236" t="n"/>
      <c r="J511" s="236" t="n"/>
      <c r="K511" s="236" t="n"/>
      <c r="L511" s="236" t="n"/>
    </row>
    <row r="512" ht="15.75" customHeight="1" s="372">
      <c r="A512" s="297" t="n"/>
      <c r="B512" s="297" t="n"/>
      <c r="C512" s="297" t="n"/>
      <c r="D512" s="297" t="n"/>
      <c r="E512" s="297" t="n"/>
      <c r="F512" s="297" t="n"/>
      <c r="G512" s="297" t="n"/>
      <c r="H512" s="297" t="n"/>
      <c r="I512" s="236" t="n"/>
      <c r="J512" s="236" t="n"/>
      <c r="K512" s="236" t="n"/>
      <c r="L512" s="236" t="n"/>
    </row>
    <row r="513" ht="15.75" customHeight="1" s="372">
      <c r="A513" s="297" t="n"/>
      <c r="B513" s="297" t="n"/>
      <c r="C513" s="297" t="n"/>
      <c r="D513" s="297" t="n"/>
      <c r="E513" s="297" t="n"/>
      <c r="F513" s="297" t="n"/>
      <c r="G513" s="297" t="n"/>
      <c r="H513" s="297" t="n"/>
      <c r="I513" s="236" t="n"/>
      <c r="J513" s="236" t="n"/>
      <c r="K513" s="236" t="n"/>
      <c r="L513" s="236" t="n"/>
    </row>
    <row r="514" ht="15.75" customHeight="1" s="372">
      <c r="A514" s="297" t="n"/>
      <c r="B514" s="297" t="n"/>
      <c r="C514" s="297" t="n"/>
      <c r="D514" s="297" t="n"/>
      <c r="E514" s="297" t="n"/>
      <c r="F514" s="297" t="n"/>
      <c r="G514" s="297" t="n"/>
      <c r="H514" s="297" t="n"/>
      <c r="I514" s="236" t="n"/>
      <c r="J514" s="236" t="n"/>
      <c r="K514" s="236" t="n"/>
      <c r="L514" s="236" t="n"/>
    </row>
    <row r="515" ht="15.75" customHeight="1" s="372">
      <c r="A515" s="297" t="n"/>
      <c r="B515" s="297" t="n"/>
      <c r="C515" s="297" t="n"/>
      <c r="D515" s="297" t="n"/>
      <c r="E515" s="297" t="n"/>
      <c r="F515" s="297" t="n"/>
      <c r="G515" s="297" t="n"/>
      <c r="H515" s="297" t="n"/>
      <c r="I515" s="236" t="n"/>
      <c r="J515" s="236" t="n"/>
      <c r="K515" s="236" t="n"/>
      <c r="L515" s="236" t="n"/>
    </row>
    <row r="516" ht="15.75" customHeight="1" s="372">
      <c r="A516" s="297" t="n"/>
      <c r="B516" s="297" t="n"/>
      <c r="C516" s="297" t="n"/>
      <c r="D516" s="297" t="n"/>
      <c r="E516" s="297" t="n"/>
      <c r="F516" s="297" t="n"/>
      <c r="G516" s="297" t="n"/>
      <c r="H516" s="297" t="n"/>
      <c r="I516" s="236" t="n"/>
      <c r="J516" s="236" t="n"/>
      <c r="K516" s="236" t="n"/>
      <c r="L516" s="236" t="n"/>
    </row>
    <row r="517" ht="15.75" customHeight="1" s="372">
      <c r="A517" s="297" t="n"/>
      <c r="B517" s="297" t="n"/>
      <c r="C517" s="297" t="n"/>
      <c r="D517" s="297" t="n"/>
      <c r="E517" s="297" t="n"/>
      <c r="F517" s="297" t="n"/>
      <c r="G517" s="297" t="n"/>
      <c r="H517" s="297" t="n"/>
      <c r="I517" s="236" t="n"/>
      <c r="J517" s="236" t="n"/>
      <c r="K517" s="236" t="n"/>
      <c r="L517" s="236" t="n"/>
    </row>
    <row r="518" ht="15.75" customHeight="1" s="372">
      <c r="A518" s="297" t="n"/>
      <c r="B518" s="297" t="n"/>
      <c r="C518" s="297" t="n"/>
      <c r="D518" s="297" t="n"/>
      <c r="E518" s="297" t="n"/>
      <c r="F518" s="297" t="n"/>
      <c r="G518" s="297" t="n"/>
      <c r="H518" s="297" t="n"/>
      <c r="I518" s="236" t="n"/>
      <c r="J518" s="236" t="n"/>
      <c r="K518" s="236" t="n"/>
      <c r="L518" s="236" t="n"/>
    </row>
    <row r="519" ht="15.75" customHeight="1" s="372">
      <c r="A519" s="297" t="n"/>
      <c r="B519" s="297" t="n"/>
      <c r="C519" s="297" t="n"/>
      <c r="D519" s="297" t="n"/>
      <c r="E519" s="297" t="n"/>
      <c r="F519" s="297" t="n"/>
      <c r="G519" s="297" t="n"/>
      <c r="H519" s="297" t="n"/>
      <c r="I519" s="236" t="n"/>
      <c r="J519" s="236" t="n"/>
      <c r="K519" s="236" t="n"/>
      <c r="L519" s="236" t="n"/>
    </row>
    <row r="520" ht="15.75" customHeight="1" s="372">
      <c r="A520" s="297" t="n"/>
      <c r="B520" s="297" t="n"/>
      <c r="C520" s="297" t="n"/>
      <c r="D520" s="297" t="n"/>
      <c r="E520" s="297" t="n"/>
      <c r="F520" s="297" t="n"/>
      <c r="G520" s="297" t="n"/>
      <c r="H520" s="297" t="n"/>
      <c r="I520" s="236" t="n"/>
      <c r="J520" s="236" t="n"/>
      <c r="K520" s="236" t="n"/>
      <c r="L520" s="236" t="n"/>
    </row>
    <row r="521" ht="15.75" customHeight="1" s="372">
      <c r="A521" s="297" t="n"/>
      <c r="B521" s="297" t="n"/>
      <c r="C521" s="297" t="n"/>
      <c r="D521" s="297" t="n"/>
      <c r="E521" s="297" t="n"/>
      <c r="F521" s="297" t="n"/>
      <c r="G521" s="297" t="n"/>
      <c r="H521" s="297" t="n"/>
      <c r="I521" s="236" t="n"/>
      <c r="J521" s="236" t="n"/>
      <c r="K521" s="236" t="n"/>
      <c r="L521" s="236" t="n"/>
    </row>
    <row r="522" ht="15.75" customHeight="1" s="372">
      <c r="A522" s="297" t="n"/>
      <c r="B522" s="297" t="n"/>
      <c r="C522" s="297" t="n"/>
      <c r="D522" s="297" t="n"/>
      <c r="E522" s="297" t="n"/>
      <c r="F522" s="297" t="n"/>
      <c r="G522" s="297" t="n"/>
      <c r="H522" s="297" t="n"/>
      <c r="I522" s="236" t="n"/>
      <c r="J522" s="236" t="n"/>
      <c r="K522" s="236" t="n"/>
      <c r="L522" s="236" t="n"/>
    </row>
    <row r="523" ht="15.75" customHeight="1" s="372">
      <c r="A523" s="297" t="n"/>
      <c r="B523" s="297" t="n"/>
      <c r="C523" s="297" t="n"/>
      <c r="D523" s="297" t="n"/>
      <c r="E523" s="297" t="n"/>
      <c r="F523" s="297" t="n"/>
      <c r="G523" s="297" t="n"/>
      <c r="H523" s="297" t="n"/>
      <c r="I523" s="236" t="n"/>
      <c r="J523" s="236" t="n"/>
      <c r="K523" s="236" t="n"/>
      <c r="L523" s="236" t="n"/>
    </row>
    <row r="524" ht="15.75" customHeight="1" s="372">
      <c r="A524" s="297" t="n"/>
      <c r="B524" s="297" t="n"/>
      <c r="C524" s="297" t="n"/>
      <c r="D524" s="297" t="n"/>
      <c r="E524" s="297" t="n"/>
      <c r="F524" s="297" t="n"/>
      <c r="G524" s="297" t="n"/>
      <c r="H524" s="297" t="n"/>
      <c r="I524" s="236" t="n"/>
      <c r="J524" s="236" t="n"/>
      <c r="K524" s="236" t="n"/>
      <c r="L524" s="236" t="n"/>
    </row>
    <row r="525" ht="15.75" customHeight="1" s="372">
      <c r="A525" s="297" t="n"/>
      <c r="B525" s="297" t="n"/>
      <c r="C525" s="297" t="n"/>
      <c r="D525" s="297" t="n"/>
      <c r="E525" s="297" t="n"/>
      <c r="F525" s="297" t="n"/>
      <c r="G525" s="297" t="n"/>
      <c r="H525" s="297" t="n"/>
      <c r="I525" s="236" t="n"/>
      <c r="J525" s="236" t="n"/>
      <c r="K525" s="236" t="n"/>
      <c r="L525" s="236" t="n"/>
    </row>
    <row r="526" ht="15.75" customHeight="1" s="372">
      <c r="A526" s="297" t="n"/>
      <c r="B526" s="297" t="n"/>
      <c r="C526" s="297" t="n"/>
      <c r="D526" s="297" t="n"/>
      <c r="E526" s="297" t="n"/>
      <c r="F526" s="297" t="n"/>
      <c r="G526" s="297" t="n"/>
      <c r="H526" s="297" t="n"/>
      <c r="I526" s="236" t="n"/>
      <c r="J526" s="236" t="n"/>
      <c r="K526" s="236" t="n"/>
      <c r="L526" s="236" t="n"/>
    </row>
    <row r="527" ht="15.75" customHeight="1" s="372">
      <c r="A527" s="297" t="n"/>
      <c r="B527" s="297" t="n"/>
      <c r="C527" s="297" t="n"/>
      <c r="D527" s="297" t="n"/>
      <c r="E527" s="297" t="n"/>
      <c r="F527" s="297" t="n"/>
      <c r="G527" s="297" t="n"/>
      <c r="H527" s="297" t="n"/>
      <c r="I527" s="236" t="n"/>
      <c r="J527" s="236" t="n"/>
      <c r="K527" s="236" t="n"/>
      <c r="L527" s="236" t="n"/>
    </row>
    <row r="528" ht="15.75" customHeight="1" s="372">
      <c r="A528" s="297" t="n"/>
      <c r="B528" s="297" t="n"/>
      <c r="C528" s="297" t="n"/>
      <c r="D528" s="297" t="n"/>
      <c r="E528" s="297" t="n"/>
      <c r="F528" s="297" t="n"/>
      <c r="G528" s="297" t="n"/>
      <c r="H528" s="297" t="n"/>
      <c r="I528" s="236" t="n"/>
      <c r="J528" s="236" t="n"/>
      <c r="K528" s="236" t="n"/>
      <c r="L528" s="236" t="n"/>
    </row>
    <row r="529" ht="15.75" customHeight="1" s="372">
      <c r="A529" s="297" t="n"/>
      <c r="B529" s="297" t="n"/>
      <c r="C529" s="297" t="n"/>
      <c r="D529" s="297" t="n"/>
      <c r="E529" s="297" t="n"/>
      <c r="F529" s="297" t="n"/>
      <c r="G529" s="297" t="n"/>
      <c r="H529" s="297" t="n"/>
      <c r="I529" s="236" t="n"/>
      <c r="J529" s="236" t="n"/>
      <c r="K529" s="236" t="n"/>
      <c r="L529" s="236" t="n"/>
    </row>
    <row r="530" ht="15.75" customHeight="1" s="372">
      <c r="A530" s="297" t="n"/>
      <c r="B530" s="297" t="n"/>
      <c r="C530" s="297" t="n"/>
      <c r="D530" s="297" t="n"/>
      <c r="E530" s="297" t="n"/>
      <c r="F530" s="297" t="n"/>
      <c r="G530" s="297" t="n"/>
      <c r="H530" s="297" t="n"/>
      <c r="I530" s="236" t="n"/>
      <c r="J530" s="236" t="n"/>
      <c r="K530" s="236" t="n"/>
      <c r="L530" s="236" t="n"/>
    </row>
    <row r="531" ht="15.75" customHeight="1" s="372">
      <c r="A531" s="297" t="n"/>
      <c r="B531" s="297" t="n"/>
      <c r="C531" s="297" t="n"/>
      <c r="D531" s="297" t="n"/>
      <c r="E531" s="297" t="n"/>
      <c r="F531" s="297" t="n"/>
      <c r="G531" s="297" t="n"/>
      <c r="H531" s="297" t="n"/>
      <c r="I531" s="236" t="n"/>
      <c r="J531" s="236" t="n"/>
      <c r="K531" s="236" t="n"/>
      <c r="L531" s="236" t="n"/>
    </row>
    <row r="532" ht="15.75" customHeight="1" s="372">
      <c r="A532" s="297" t="n"/>
      <c r="B532" s="297" t="n"/>
      <c r="C532" s="297" t="n"/>
      <c r="D532" s="297" t="n"/>
      <c r="E532" s="297" t="n"/>
      <c r="F532" s="297" t="n"/>
      <c r="G532" s="297" t="n"/>
      <c r="H532" s="297" t="n"/>
      <c r="I532" s="236" t="n"/>
      <c r="J532" s="236" t="n"/>
      <c r="K532" s="236" t="n"/>
      <c r="L532" s="236" t="n"/>
    </row>
    <row r="533" ht="15.75" customHeight="1" s="372">
      <c r="A533" s="297" t="n"/>
      <c r="B533" s="297" t="n"/>
      <c r="C533" s="297" t="n"/>
      <c r="D533" s="297" t="n"/>
      <c r="E533" s="297" t="n"/>
      <c r="F533" s="297" t="n"/>
      <c r="G533" s="297" t="n"/>
      <c r="H533" s="297" t="n"/>
      <c r="I533" s="236" t="n"/>
      <c r="J533" s="236" t="n"/>
      <c r="K533" s="236" t="n"/>
      <c r="L533" s="236" t="n"/>
    </row>
    <row r="534" ht="15.75" customHeight="1" s="372">
      <c r="A534" s="297" t="n"/>
      <c r="B534" s="297" t="n"/>
      <c r="C534" s="297" t="n"/>
      <c r="D534" s="297" t="n"/>
      <c r="E534" s="297" t="n"/>
      <c r="F534" s="297" t="n"/>
      <c r="G534" s="297" t="n"/>
      <c r="H534" s="297" t="n"/>
      <c r="I534" s="236" t="n"/>
      <c r="J534" s="236" t="n"/>
      <c r="K534" s="236" t="n"/>
      <c r="L534" s="236" t="n"/>
    </row>
    <row r="535" ht="15.75" customHeight="1" s="372">
      <c r="A535" s="297" t="n"/>
      <c r="B535" s="297" t="n"/>
      <c r="C535" s="297" t="n"/>
      <c r="D535" s="297" t="n"/>
      <c r="E535" s="297" t="n"/>
      <c r="F535" s="297" t="n"/>
      <c r="G535" s="297" t="n"/>
      <c r="H535" s="297" t="n"/>
      <c r="I535" s="236" t="n"/>
      <c r="J535" s="236" t="n"/>
      <c r="K535" s="236" t="n"/>
      <c r="L535" s="236" t="n"/>
    </row>
    <row r="536" ht="15.75" customHeight="1" s="372">
      <c r="A536" s="297" t="n"/>
      <c r="B536" s="297" t="n"/>
      <c r="C536" s="297" t="n"/>
      <c r="D536" s="297" t="n"/>
      <c r="E536" s="297" t="n"/>
      <c r="F536" s="297" t="n"/>
      <c r="G536" s="297" t="n"/>
      <c r="H536" s="297" t="n"/>
      <c r="I536" s="236" t="n"/>
      <c r="J536" s="236" t="n"/>
      <c r="K536" s="236" t="n"/>
      <c r="L536" s="236" t="n"/>
    </row>
    <row r="537" ht="15.75" customHeight="1" s="372">
      <c r="A537" s="297" t="n"/>
      <c r="B537" s="297" t="n"/>
      <c r="C537" s="297" t="n"/>
      <c r="D537" s="297" t="n"/>
      <c r="E537" s="297" t="n"/>
      <c r="F537" s="297" t="n"/>
      <c r="G537" s="297" t="n"/>
      <c r="H537" s="297" t="n"/>
      <c r="I537" s="236" t="n"/>
      <c r="J537" s="236" t="n"/>
      <c r="K537" s="236" t="n"/>
      <c r="L537" s="236" t="n"/>
    </row>
    <row r="538" ht="15.75" customHeight="1" s="372">
      <c r="A538" s="297" t="n"/>
      <c r="B538" s="297" t="n"/>
      <c r="C538" s="297" t="n"/>
      <c r="D538" s="297" t="n"/>
      <c r="E538" s="297" t="n"/>
      <c r="F538" s="297" t="n"/>
      <c r="G538" s="297" t="n"/>
      <c r="H538" s="297" t="n"/>
      <c r="I538" s="236" t="n"/>
      <c r="J538" s="236" t="n"/>
      <c r="K538" s="236" t="n"/>
      <c r="L538" s="236" t="n"/>
    </row>
    <row r="539" ht="15.75" customHeight="1" s="372">
      <c r="A539" s="297" t="n"/>
      <c r="B539" s="297" t="n"/>
      <c r="C539" s="297" t="n"/>
      <c r="D539" s="297" t="n"/>
      <c r="E539" s="297" t="n"/>
      <c r="F539" s="297" t="n"/>
      <c r="G539" s="297" t="n"/>
      <c r="H539" s="297" t="n"/>
      <c r="I539" s="236" t="n"/>
      <c r="J539" s="236" t="n"/>
      <c r="K539" s="236" t="n"/>
      <c r="L539" s="236" t="n"/>
    </row>
    <row r="540" ht="15.75" customHeight="1" s="372">
      <c r="A540" s="297" t="n"/>
      <c r="B540" s="297" t="n"/>
      <c r="C540" s="297" t="n"/>
      <c r="D540" s="297" t="n"/>
      <c r="E540" s="297" t="n"/>
      <c r="F540" s="297" t="n"/>
      <c r="G540" s="297" t="n"/>
      <c r="H540" s="297" t="n"/>
      <c r="I540" s="236" t="n"/>
      <c r="J540" s="236" t="n"/>
      <c r="K540" s="236" t="n"/>
      <c r="L540" s="236" t="n"/>
    </row>
    <row r="541" ht="15.75" customHeight="1" s="372">
      <c r="A541" s="297" t="n"/>
      <c r="B541" s="297" t="n"/>
      <c r="C541" s="297" t="n"/>
      <c r="D541" s="297" t="n"/>
      <c r="E541" s="297" t="n"/>
      <c r="F541" s="297" t="n"/>
      <c r="G541" s="297" t="n"/>
      <c r="H541" s="297" t="n"/>
      <c r="I541" s="236" t="n"/>
      <c r="J541" s="236" t="n"/>
      <c r="K541" s="236" t="n"/>
      <c r="L541" s="236" t="n"/>
    </row>
    <row r="542" ht="15.75" customHeight="1" s="372">
      <c r="A542" s="297" t="n"/>
      <c r="B542" s="297" t="n"/>
      <c r="C542" s="297" t="n"/>
      <c r="D542" s="297" t="n"/>
      <c r="E542" s="297" t="n"/>
      <c r="F542" s="297" t="n"/>
      <c r="G542" s="297" t="n"/>
      <c r="H542" s="297" t="n"/>
      <c r="I542" s="236" t="n"/>
      <c r="J542" s="236" t="n"/>
      <c r="K542" s="236" t="n"/>
      <c r="L542" s="236" t="n"/>
    </row>
    <row r="543" ht="15.75" customHeight="1" s="372">
      <c r="A543" s="297" t="n"/>
      <c r="B543" s="297" t="n"/>
      <c r="C543" s="297" t="n"/>
      <c r="D543" s="297" t="n"/>
      <c r="E543" s="297" t="n"/>
      <c r="F543" s="297" t="n"/>
      <c r="G543" s="297" t="n"/>
      <c r="H543" s="297" t="n"/>
      <c r="I543" s="236" t="n"/>
      <c r="J543" s="236" t="n"/>
      <c r="K543" s="236" t="n"/>
      <c r="L543" s="236" t="n"/>
    </row>
    <row r="544" ht="15.75" customHeight="1" s="372">
      <c r="A544" s="297" t="n"/>
      <c r="B544" s="297" t="n"/>
      <c r="C544" s="297" t="n"/>
      <c r="D544" s="297" t="n"/>
      <c r="E544" s="297" t="n"/>
      <c r="F544" s="297" t="n"/>
      <c r="G544" s="297" t="n"/>
      <c r="H544" s="297" t="n"/>
      <c r="I544" s="236" t="n"/>
      <c r="J544" s="236" t="n"/>
      <c r="K544" s="236" t="n"/>
      <c r="L544" s="236" t="n"/>
    </row>
    <row r="545" ht="15.75" customHeight="1" s="372">
      <c r="A545" s="297" t="n"/>
      <c r="B545" s="297" t="n"/>
      <c r="C545" s="297" t="n"/>
      <c r="D545" s="297" t="n"/>
      <c r="E545" s="297" t="n"/>
      <c r="F545" s="297" t="n"/>
      <c r="G545" s="297" t="n"/>
      <c r="H545" s="297" t="n"/>
      <c r="I545" s="236" t="n"/>
      <c r="J545" s="236" t="n"/>
      <c r="K545" s="236" t="n"/>
      <c r="L545" s="236" t="n"/>
    </row>
    <row r="546" ht="15.75" customHeight="1" s="372">
      <c r="A546" s="297" t="n"/>
      <c r="B546" s="297" t="n"/>
      <c r="C546" s="297" t="n"/>
      <c r="D546" s="297" t="n"/>
      <c r="E546" s="297" t="n"/>
      <c r="F546" s="297" t="n"/>
      <c r="G546" s="297" t="n"/>
      <c r="H546" s="297" t="n"/>
      <c r="I546" s="236" t="n"/>
      <c r="J546" s="236" t="n"/>
      <c r="K546" s="236" t="n"/>
      <c r="L546" s="236" t="n"/>
    </row>
    <row r="547" ht="15.75" customHeight="1" s="372">
      <c r="A547" s="297" t="n"/>
      <c r="B547" s="297" t="n"/>
      <c r="C547" s="297" t="n"/>
      <c r="D547" s="297" t="n"/>
      <c r="E547" s="297" t="n"/>
      <c r="F547" s="297" t="n"/>
      <c r="G547" s="297" t="n"/>
      <c r="H547" s="297" t="n"/>
      <c r="I547" s="236" t="n"/>
      <c r="J547" s="236" t="n"/>
      <c r="K547" s="236" t="n"/>
      <c r="L547" s="236" t="n"/>
    </row>
    <row r="548" ht="15.75" customHeight="1" s="372">
      <c r="A548" s="297" t="n"/>
      <c r="B548" s="297" t="n"/>
      <c r="C548" s="297" t="n"/>
      <c r="D548" s="297" t="n"/>
      <c r="E548" s="297" t="n"/>
      <c r="F548" s="297" t="n"/>
      <c r="G548" s="297" t="n"/>
      <c r="H548" s="297" t="n"/>
      <c r="I548" s="236" t="n"/>
      <c r="J548" s="236" t="n"/>
      <c r="K548" s="236" t="n"/>
      <c r="L548" s="236" t="n"/>
    </row>
    <row r="549" ht="15.75" customHeight="1" s="372">
      <c r="A549" s="297" t="n"/>
      <c r="B549" s="297" t="n"/>
      <c r="C549" s="297" t="n"/>
      <c r="D549" s="297" t="n"/>
      <c r="E549" s="297" t="n"/>
      <c r="F549" s="297" t="n"/>
      <c r="G549" s="297" t="n"/>
      <c r="H549" s="297" t="n"/>
      <c r="I549" s="236" t="n"/>
      <c r="J549" s="236" t="n"/>
      <c r="K549" s="236" t="n"/>
      <c r="L549" s="236" t="n"/>
    </row>
    <row r="550" ht="15.75" customHeight="1" s="372">
      <c r="A550" s="297" t="n"/>
      <c r="B550" s="297" t="n"/>
      <c r="C550" s="297" t="n"/>
      <c r="D550" s="297" t="n"/>
      <c r="E550" s="297" t="n"/>
      <c r="F550" s="297" t="n"/>
      <c r="G550" s="297" t="n"/>
      <c r="H550" s="297" t="n"/>
      <c r="I550" s="236" t="n"/>
      <c r="J550" s="236" t="n"/>
      <c r="K550" s="236" t="n"/>
      <c r="L550" s="236" t="n"/>
    </row>
    <row r="551" ht="15.75" customHeight="1" s="372">
      <c r="A551" s="297" t="n"/>
      <c r="B551" s="297" t="n"/>
      <c r="C551" s="297" t="n"/>
      <c r="D551" s="297" t="n"/>
      <c r="E551" s="297" t="n"/>
      <c r="F551" s="297" t="n"/>
      <c r="G551" s="297" t="n"/>
      <c r="H551" s="297" t="n"/>
      <c r="I551" s="236" t="n"/>
      <c r="J551" s="236" t="n"/>
      <c r="K551" s="236" t="n"/>
      <c r="L551" s="236" t="n"/>
    </row>
    <row r="552" ht="15.75" customHeight="1" s="372">
      <c r="A552" s="297" t="n"/>
      <c r="B552" s="297" t="n"/>
      <c r="C552" s="297" t="n"/>
      <c r="D552" s="297" t="n"/>
      <c r="E552" s="297" t="n"/>
      <c r="F552" s="297" t="n"/>
      <c r="G552" s="297" t="n"/>
      <c r="H552" s="297" t="n"/>
      <c r="I552" s="236" t="n"/>
      <c r="J552" s="236" t="n"/>
      <c r="K552" s="236" t="n"/>
      <c r="L552" s="236" t="n"/>
    </row>
    <row r="553" ht="15.75" customHeight="1" s="372">
      <c r="A553" s="297" t="n"/>
      <c r="B553" s="297" t="n"/>
      <c r="C553" s="297" t="n"/>
      <c r="D553" s="297" t="n"/>
      <c r="E553" s="297" t="n"/>
      <c r="F553" s="297" t="n"/>
      <c r="G553" s="297" t="n"/>
      <c r="H553" s="297" t="n"/>
      <c r="I553" s="236" t="n"/>
      <c r="J553" s="236" t="n"/>
      <c r="K553" s="236" t="n"/>
      <c r="L553" s="236" t="n"/>
    </row>
    <row r="554" ht="15.75" customHeight="1" s="372">
      <c r="A554" s="297" t="n"/>
      <c r="B554" s="297" t="n"/>
      <c r="C554" s="297" t="n"/>
      <c r="D554" s="297" t="n"/>
      <c r="E554" s="297" t="n"/>
      <c r="F554" s="297" t="n"/>
      <c r="G554" s="297" t="n"/>
      <c r="H554" s="297" t="n"/>
      <c r="I554" s="236" t="n"/>
      <c r="J554" s="236" t="n"/>
      <c r="K554" s="236" t="n"/>
      <c r="L554" s="236" t="n"/>
    </row>
    <row r="555" ht="15.75" customHeight="1" s="372">
      <c r="A555" s="297" t="n"/>
      <c r="B555" s="297" t="n"/>
      <c r="C555" s="297" t="n"/>
      <c r="D555" s="297" t="n"/>
      <c r="E555" s="297" t="n"/>
      <c r="F555" s="297" t="n"/>
      <c r="G555" s="297" t="n"/>
      <c r="H555" s="297" t="n"/>
      <c r="I555" s="236" t="n"/>
      <c r="J555" s="236" t="n"/>
      <c r="K555" s="236" t="n"/>
      <c r="L555" s="236" t="n"/>
    </row>
    <row r="556" ht="15.75" customHeight="1" s="372">
      <c r="A556" s="297" t="n"/>
      <c r="B556" s="297" t="n"/>
      <c r="C556" s="297" t="n"/>
      <c r="D556" s="297" t="n"/>
      <c r="E556" s="297" t="n"/>
      <c r="F556" s="297" t="n"/>
      <c r="G556" s="297" t="n"/>
      <c r="H556" s="297" t="n"/>
      <c r="I556" s="236" t="n"/>
      <c r="J556" s="236" t="n"/>
      <c r="K556" s="236" t="n"/>
      <c r="L556" s="236" t="n"/>
    </row>
    <row r="557" ht="15.75" customHeight="1" s="372">
      <c r="A557" s="297" t="n"/>
      <c r="B557" s="297" t="n"/>
      <c r="C557" s="297" t="n"/>
      <c r="D557" s="297" t="n"/>
      <c r="E557" s="297" t="n"/>
      <c r="F557" s="297" t="n"/>
      <c r="G557" s="297" t="n"/>
      <c r="H557" s="297" t="n"/>
      <c r="I557" s="236" t="n"/>
      <c r="J557" s="236" t="n"/>
      <c r="K557" s="236" t="n"/>
      <c r="L557" s="236" t="n"/>
    </row>
    <row r="558" ht="15.75" customHeight="1" s="372">
      <c r="A558" s="297" t="n"/>
      <c r="B558" s="297" t="n"/>
      <c r="C558" s="297" t="n"/>
      <c r="D558" s="297" t="n"/>
      <c r="E558" s="297" t="n"/>
      <c r="F558" s="297" t="n"/>
      <c r="G558" s="297" t="n"/>
      <c r="H558" s="297" t="n"/>
      <c r="I558" s="236" t="n"/>
      <c r="J558" s="236" t="n"/>
      <c r="K558" s="236" t="n"/>
      <c r="L558" s="236" t="n"/>
    </row>
    <row r="559" ht="15.75" customHeight="1" s="372">
      <c r="A559" s="297" t="n"/>
      <c r="B559" s="297" t="n"/>
      <c r="C559" s="297" t="n"/>
      <c r="D559" s="297" t="n"/>
      <c r="E559" s="297" t="n"/>
      <c r="F559" s="297" t="n"/>
      <c r="G559" s="297" t="n"/>
      <c r="H559" s="297" t="n"/>
      <c r="I559" s="236" t="n"/>
      <c r="J559" s="236" t="n"/>
      <c r="K559" s="236" t="n"/>
      <c r="L559" s="236" t="n"/>
    </row>
    <row r="560" ht="15.75" customHeight="1" s="372">
      <c r="A560" s="297" t="n"/>
      <c r="B560" s="297" t="n"/>
      <c r="C560" s="297" t="n"/>
      <c r="D560" s="297" t="n"/>
      <c r="E560" s="297" t="n"/>
      <c r="F560" s="297" t="n"/>
      <c r="G560" s="297" t="n"/>
      <c r="H560" s="297" t="n"/>
      <c r="I560" s="236" t="n"/>
      <c r="J560" s="236" t="n"/>
      <c r="K560" s="236" t="n"/>
      <c r="L560" s="236" t="n"/>
    </row>
    <row r="561" ht="15.75" customHeight="1" s="372">
      <c r="A561" s="297" t="n"/>
      <c r="B561" s="297" t="n"/>
      <c r="C561" s="297" t="n"/>
      <c r="D561" s="297" t="n"/>
      <c r="E561" s="297" t="n"/>
      <c r="F561" s="297" t="n"/>
      <c r="G561" s="297" t="n"/>
      <c r="H561" s="297" t="n"/>
      <c r="I561" s="236" t="n"/>
      <c r="J561" s="236" t="n"/>
      <c r="K561" s="236" t="n"/>
      <c r="L561" s="236" t="n"/>
    </row>
    <row r="562" ht="15.75" customHeight="1" s="372">
      <c r="A562" s="297" t="n"/>
      <c r="B562" s="297" t="n"/>
      <c r="C562" s="297" t="n"/>
      <c r="D562" s="297" t="n"/>
      <c r="E562" s="297" t="n"/>
      <c r="F562" s="297" t="n"/>
      <c r="G562" s="297" t="n"/>
      <c r="H562" s="297" t="n"/>
      <c r="I562" s="236" t="n"/>
      <c r="J562" s="236" t="n"/>
      <c r="K562" s="236" t="n"/>
      <c r="L562" s="236" t="n"/>
    </row>
    <row r="563" ht="15.75" customHeight="1" s="372">
      <c r="A563" s="297" t="n"/>
      <c r="B563" s="297" t="n"/>
      <c r="C563" s="297" t="n"/>
      <c r="D563" s="297" t="n"/>
      <c r="E563" s="297" t="n"/>
      <c r="F563" s="297" t="n"/>
      <c r="G563" s="297" t="n"/>
      <c r="H563" s="297" t="n"/>
      <c r="I563" s="236" t="n"/>
      <c r="J563" s="236" t="n"/>
      <c r="K563" s="236" t="n"/>
      <c r="L563" s="236" t="n"/>
    </row>
    <row r="564" ht="15.75" customHeight="1" s="372">
      <c r="A564" s="297" t="n"/>
      <c r="B564" s="297" t="n"/>
      <c r="C564" s="297" t="n"/>
      <c r="D564" s="297" t="n"/>
      <c r="E564" s="297" t="n"/>
      <c r="F564" s="297" t="n"/>
      <c r="G564" s="297" t="n"/>
      <c r="H564" s="297" t="n"/>
      <c r="I564" s="236" t="n"/>
      <c r="J564" s="236" t="n"/>
      <c r="K564" s="236" t="n"/>
      <c r="L564" s="236" t="n"/>
    </row>
    <row r="565" ht="15.75" customHeight="1" s="372">
      <c r="A565" s="297" t="n"/>
      <c r="B565" s="297" t="n"/>
      <c r="C565" s="297" t="n"/>
      <c r="D565" s="297" t="n"/>
      <c r="E565" s="297" t="n"/>
      <c r="F565" s="297" t="n"/>
      <c r="G565" s="297" t="n"/>
      <c r="H565" s="297" t="n"/>
      <c r="I565" s="236" t="n"/>
      <c r="J565" s="236" t="n"/>
      <c r="K565" s="236" t="n"/>
      <c r="L565" s="236" t="n"/>
    </row>
    <row r="566" ht="15.75" customHeight="1" s="372">
      <c r="A566" s="297" t="n"/>
      <c r="B566" s="297" t="n"/>
      <c r="C566" s="297" t="n"/>
      <c r="D566" s="297" t="n"/>
      <c r="E566" s="297" t="n"/>
      <c r="F566" s="297" t="n"/>
      <c r="G566" s="297" t="n"/>
      <c r="H566" s="297" t="n"/>
      <c r="I566" s="236" t="n"/>
      <c r="J566" s="236" t="n"/>
      <c r="K566" s="236" t="n"/>
      <c r="L566" s="236" t="n"/>
    </row>
    <row r="567" ht="15.75" customHeight="1" s="372">
      <c r="A567" s="297" t="n"/>
      <c r="B567" s="297" t="n"/>
      <c r="C567" s="297" t="n"/>
      <c r="D567" s="297" t="n"/>
      <c r="E567" s="297" t="n"/>
      <c r="F567" s="297" t="n"/>
      <c r="G567" s="297" t="n"/>
      <c r="H567" s="297" t="n"/>
      <c r="I567" s="236" t="n"/>
      <c r="J567" s="236" t="n"/>
      <c r="K567" s="236" t="n"/>
      <c r="L567" s="236" t="n"/>
    </row>
    <row r="568" ht="15.75" customHeight="1" s="372">
      <c r="A568" s="297" t="n"/>
      <c r="B568" s="297" t="n"/>
      <c r="C568" s="297" t="n"/>
      <c r="D568" s="297" t="n"/>
      <c r="E568" s="297" t="n"/>
      <c r="F568" s="297" t="n"/>
      <c r="G568" s="297" t="n"/>
      <c r="H568" s="297" t="n"/>
      <c r="I568" s="236" t="n"/>
      <c r="J568" s="236" t="n"/>
      <c r="K568" s="236" t="n"/>
      <c r="L568" s="236" t="n"/>
    </row>
    <row r="569" ht="15.75" customHeight="1" s="372">
      <c r="A569" s="297" t="n"/>
      <c r="B569" s="297" t="n"/>
      <c r="C569" s="297" t="n"/>
      <c r="D569" s="297" t="n"/>
      <c r="E569" s="297" t="n"/>
      <c r="F569" s="297" t="n"/>
      <c r="G569" s="297" t="n"/>
      <c r="H569" s="297" t="n"/>
      <c r="I569" s="236" t="n"/>
      <c r="J569" s="236" t="n"/>
      <c r="K569" s="236" t="n"/>
      <c r="L569" s="236" t="n"/>
    </row>
    <row r="570" ht="15.75" customHeight="1" s="372">
      <c r="A570" s="297" t="n"/>
      <c r="B570" s="297" t="n"/>
      <c r="C570" s="297" t="n"/>
      <c r="D570" s="297" t="n"/>
      <c r="E570" s="297" t="n"/>
      <c r="F570" s="297" t="n"/>
      <c r="G570" s="297" t="n"/>
      <c r="H570" s="297" t="n"/>
      <c r="I570" s="236" t="n"/>
      <c r="J570" s="236" t="n"/>
      <c r="K570" s="236" t="n"/>
      <c r="L570" s="236" t="n"/>
    </row>
    <row r="571" ht="15.75" customHeight="1" s="372">
      <c r="A571" s="297" t="n"/>
      <c r="B571" s="297" t="n"/>
      <c r="C571" s="297" t="n"/>
      <c r="D571" s="297" t="n"/>
      <c r="E571" s="297" t="n"/>
      <c r="F571" s="297" t="n"/>
      <c r="G571" s="297" t="n"/>
      <c r="H571" s="297" t="n"/>
      <c r="I571" s="236" t="n"/>
      <c r="J571" s="236" t="n"/>
      <c r="K571" s="236" t="n"/>
      <c r="L571" s="236" t="n"/>
    </row>
    <row r="572" ht="15.75" customHeight="1" s="372">
      <c r="A572" s="297" t="n"/>
      <c r="B572" s="297" t="n"/>
      <c r="C572" s="297" t="n"/>
      <c r="D572" s="297" t="n"/>
      <c r="E572" s="297" t="n"/>
      <c r="F572" s="297" t="n"/>
      <c r="G572" s="297" t="n"/>
      <c r="H572" s="297" t="n"/>
      <c r="I572" s="236" t="n"/>
      <c r="J572" s="236" t="n"/>
      <c r="K572" s="236" t="n"/>
      <c r="L572" s="236" t="n"/>
    </row>
    <row r="573" ht="15.75" customHeight="1" s="372">
      <c r="A573" s="297" t="n"/>
      <c r="B573" s="297" t="n"/>
      <c r="C573" s="297" t="n"/>
      <c r="D573" s="297" t="n"/>
      <c r="E573" s="297" t="n"/>
      <c r="F573" s="297" t="n"/>
      <c r="G573" s="297" t="n"/>
      <c r="H573" s="297" t="n"/>
      <c r="I573" s="236" t="n"/>
      <c r="J573" s="236" t="n"/>
      <c r="K573" s="236" t="n"/>
      <c r="L573" s="236" t="n"/>
    </row>
    <row r="574" ht="15.75" customHeight="1" s="372">
      <c r="A574" s="297" t="n"/>
      <c r="B574" s="297" t="n"/>
      <c r="C574" s="297" t="n"/>
      <c r="D574" s="297" t="n"/>
      <c r="E574" s="297" t="n"/>
      <c r="F574" s="297" t="n"/>
      <c r="G574" s="297" t="n"/>
      <c r="H574" s="297" t="n"/>
      <c r="I574" s="236" t="n"/>
      <c r="J574" s="236" t="n"/>
      <c r="K574" s="236" t="n"/>
      <c r="L574" s="236" t="n"/>
    </row>
    <row r="575" ht="15.75" customHeight="1" s="372">
      <c r="A575" s="297" t="n"/>
      <c r="B575" s="297" t="n"/>
      <c r="C575" s="297" t="n"/>
      <c r="D575" s="297" t="n"/>
      <c r="E575" s="297" t="n"/>
      <c r="F575" s="297" t="n"/>
      <c r="G575" s="297" t="n"/>
      <c r="H575" s="297" t="n"/>
      <c r="I575" s="236" t="n"/>
      <c r="J575" s="236" t="n"/>
      <c r="K575" s="236" t="n"/>
      <c r="L575" s="236" t="n"/>
    </row>
    <row r="576" ht="15.75" customHeight="1" s="372">
      <c r="A576" s="297" t="n"/>
      <c r="B576" s="297" t="n"/>
      <c r="C576" s="297" t="n"/>
      <c r="D576" s="297" t="n"/>
      <c r="E576" s="297" t="n"/>
      <c r="F576" s="297" t="n"/>
      <c r="G576" s="297" t="n"/>
      <c r="H576" s="297" t="n"/>
      <c r="I576" s="236" t="n"/>
      <c r="J576" s="236" t="n"/>
      <c r="K576" s="236" t="n"/>
      <c r="L576" s="236" t="n"/>
    </row>
    <row r="577" ht="15.75" customHeight="1" s="372">
      <c r="A577" s="297" t="n"/>
      <c r="B577" s="297" t="n"/>
      <c r="C577" s="297" t="n"/>
      <c r="D577" s="297" t="n"/>
      <c r="E577" s="297" t="n"/>
      <c r="F577" s="297" t="n"/>
      <c r="G577" s="297" t="n"/>
      <c r="H577" s="297" t="n"/>
      <c r="I577" s="236" t="n"/>
      <c r="J577" s="236" t="n"/>
      <c r="K577" s="236" t="n"/>
      <c r="L577" s="236" t="n"/>
    </row>
    <row r="578" ht="15.75" customHeight="1" s="372">
      <c r="A578" s="297" t="n"/>
      <c r="B578" s="297" t="n"/>
      <c r="C578" s="297" t="n"/>
      <c r="D578" s="297" t="n"/>
      <c r="E578" s="297" t="n"/>
      <c r="F578" s="297" t="n"/>
      <c r="G578" s="297" t="n"/>
      <c r="H578" s="297" t="n"/>
      <c r="I578" s="236" t="n"/>
      <c r="J578" s="236" t="n"/>
      <c r="K578" s="236" t="n"/>
      <c r="L578" s="236" t="n"/>
    </row>
    <row r="579" ht="15.75" customHeight="1" s="372">
      <c r="A579" s="297" t="n"/>
      <c r="B579" s="297" t="n"/>
      <c r="C579" s="297" t="n"/>
      <c r="D579" s="297" t="n"/>
      <c r="E579" s="297" t="n"/>
      <c r="F579" s="297" t="n"/>
      <c r="G579" s="297" t="n"/>
      <c r="H579" s="297" t="n"/>
      <c r="I579" s="236" t="n"/>
      <c r="J579" s="236" t="n"/>
      <c r="K579" s="236" t="n"/>
      <c r="L579" s="236" t="n"/>
    </row>
    <row r="580" ht="15.75" customHeight="1" s="372">
      <c r="A580" s="297" t="n"/>
      <c r="B580" s="297" t="n"/>
      <c r="C580" s="297" t="n"/>
      <c r="D580" s="297" t="n"/>
      <c r="E580" s="297" t="n"/>
      <c r="F580" s="297" t="n"/>
      <c r="G580" s="297" t="n"/>
      <c r="H580" s="297" t="n"/>
      <c r="I580" s="236" t="n"/>
      <c r="J580" s="236" t="n"/>
      <c r="K580" s="236" t="n"/>
      <c r="L580" s="236" t="n"/>
    </row>
    <row r="581" ht="15.75" customHeight="1" s="372">
      <c r="A581" s="297" t="n"/>
      <c r="B581" s="297" t="n"/>
      <c r="C581" s="297" t="n"/>
      <c r="D581" s="297" t="n"/>
      <c r="E581" s="297" t="n"/>
      <c r="F581" s="297" t="n"/>
      <c r="G581" s="297" t="n"/>
      <c r="H581" s="297" t="n"/>
      <c r="I581" s="236" t="n"/>
      <c r="J581" s="236" t="n"/>
      <c r="K581" s="236" t="n"/>
      <c r="L581" s="236" t="n"/>
    </row>
    <row r="582" ht="15.75" customHeight="1" s="372">
      <c r="A582" s="297" t="n"/>
      <c r="B582" s="297" t="n"/>
      <c r="C582" s="297" t="n"/>
      <c r="D582" s="297" t="n"/>
      <c r="E582" s="297" t="n"/>
      <c r="F582" s="297" t="n"/>
      <c r="G582" s="297" t="n"/>
      <c r="H582" s="297" t="n"/>
      <c r="I582" s="236" t="n"/>
      <c r="J582" s="236" t="n"/>
      <c r="K582" s="236" t="n"/>
      <c r="L582" s="236" t="n"/>
    </row>
    <row r="583" ht="15.75" customHeight="1" s="372">
      <c r="A583" s="297" t="n"/>
      <c r="B583" s="297" t="n"/>
      <c r="C583" s="297" t="n"/>
      <c r="D583" s="297" t="n"/>
      <c r="E583" s="297" t="n"/>
      <c r="F583" s="297" t="n"/>
      <c r="G583" s="297" t="n"/>
      <c r="H583" s="297" t="n"/>
      <c r="I583" s="236" t="n"/>
      <c r="J583" s="236" t="n"/>
      <c r="K583" s="236" t="n"/>
      <c r="L583" s="236" t="n"/>
    </row>
    <row r="584" ht="15.75" customHeight="1" s="372">
      <c r="A584" s="297" t="n"/>
      <c r="B584" s="297" t="n"/>
      <c r="C584" s="297" t="n"/>
      <c r="D584" s="297" t="n"/>
      <c r="E584" s="297" t="n"/>
      <c r="F584" s="297" t="n"/>
      <c r="G584" s="297" t="n"/>
      <c r="H584" s="297" t="n"/>
      <c r="I584" s="236" t="n"/>
      <c r="J584" s="236" t="n"/>
      <c r="K584" s="236" t="n"/>
      <c r="L584" s="236" t="n"/>
    </row>
    <row r="585" ht="15.75" customHeight="1" s="372">
      <c r="A585" s="297" t="n"/>
      <c r="B585" s="297" t="n"/>
      <c r="C585" s="297" t="n"/>
      <c r="D585" s="297" t="n"/>
      <c r="E585" s="297" t="n"/>
      <c r="F585" s="297" t="n"/>
      <c r="G585" s="297" t="n"/>
      <c r="H585" s="297" t="n"/>
      <c r="I585" s="236" t="n"/>
      <c r="J585" s="236" t="n"/>
      <c r="K585" s="236" t="n"/>
      <c r="L585" s="236" t="n"/>
    </row>
    <row r="586" ht="15.75" customHeight="1" s="372">
      <c r="A586" s="297" t="n"/>
      <c r="B586" s="297" t="n"/>
      <c r="C586" s="297" t="n"/>
      <c r="D586" s="297" t="n"/>
      <c r="E586" s="297" t="n"/>
      <c r="F586" s="297" t="n"/>
      <c r="G586" s="297" t="n"/>
      <c r="H586" s="297" t="n"/>
      <c r="I586" s="236" t="n"/>
      <c r="J586" s="236" t="n"/>
      <c r="K586" s="236" t="n"/>
      <c r="L586" s="236" t="n"/>
    </row>
    <row r="587" ht="15.75" customHeight="1" s="372">
      <c r="A587" s="297" t="n"/>
      <c r="B587" s="297" t="n"/>
      <c r="C587" s="297" t="n"/>
      <c r="D587" s="297" t="n"/>
      <c r="E587" s="297" t="n"/>
      <c r="F587" s="297" t="n"/>
      <c r="G587" s="297" t="n"/>
      <c r="H587" s="297" t="n"/>
      <c r="I587" s="236" t="n"/>
      <c r="J587" s="236" t="n"/>
      <c r="K587" s="236" t="n"/>
      <c r="L587" s="236" t="n"/>
    </row>
    <row r="588" ht="15.75" customHeight="1" s="372">
      <c r="A588" s="297" t="n"/>
      <c r="B588" s="297" t="n"/>
      <c r="C588" s="297" t="n"/>
      <c r="D588" s="297" t="n"/>
      <c r="E588" s="297" t="n"/>
      <c r="F588" s="297" t="n"/>
      <c r="G588" s="297" t="n"/>
      <c r="H588" s="297" t="n"/>
      <c r="I588" s="236" t="n"/>
      <c r="J588" s="236" t="n"/>
      <c r="K588" s="236" t="n"/>
      <c r="L588" s="236" t="n"/>
    </row>
    <row r="589" ht="15.75" customHeight="1" s="372">
      <c r="A589" s="297" t="n"/>
      <c r="B589" s="297" t="n"/>
      <c r="C589" s="297" t="n"/>
      <c r="D589" s="297" t="n"/>
      <c r="E589" s="297" t="n"/>
      <c r="F589" s="297" t="n"/>
      <c r="G589" s="297" t="n"/>
      <c r="H589" s="297" t="n"/>
      <c r="I589" s="236" t="n"/>
      <c r="J589" s="236" t="n"/>
      <c r="K589" s="236" t="n"/>
      <c r="L589" s="236" t="n"/>
    </row>
    <row r="590" ht="15.75" customHeight="1" s="372">
      <c r="A590" s="297" t="n"/>
      <c r="B590" s="297" t="n"/>
      <c r="C590" s="297" t="n"/>
      <c r="D590" s="297" t="n"/>
      <c r="E590" s="297" t="n"/>
      <c r="F590" s="297" t="n"/>
      <c r="G590" s="297" t="n"/>
      <c r="H590" s="297" t="n"/>
      <c r="I590" s="236" t="n"/>
      <c r="J590" s="236" t="n"/>
      <c r="K590" s="236" t="n"/>
      <c r="L590" s="236" t="n"/>
    </row>
    <row r="591" ht="15.75" customHeight="1" s="372">
      <c r="A591" s="297" t="n"/>
      <c r="B591" s="297" t="n"/>
      <c r="C591" s="297" t="n"/>
      <c r="D591" s="297" t="n"/>
      <c r="E591" s="297" t="n"/>
      <c r="F591" s="297" t="n"/>
      <c r="G591" s="297" t="n"/>
      <c r="H591" s="297" t="n"/>
      <c r="I591" s="236" t="n"/>
      <c r="J591" s="236" t="n"/>
      <c r="K591" s="236" t="n"/>
      <c r="L591" s="236" t="n"/>
    </row>
    <row r="592" ht="15.75" customHeight="1" s="372">
      <c r="A592" s="297" t="n"/>
      <c r="B592" s="297" t="n"/>
      <c r="C592" s="297" t="n"/>
      <c r="D592" s="297" t="n"/>
      <c r="E592" s="297" t="n"/>
      <c r="F592" s="297" t="n"/>
      <c r="G592" s="297" t="n"/>
      <c r="H592" s="297" t="n"/>
      <c r="I592" s="236" t="n"/>
      <c r="J592" s="236" t="n"/>
      <c r="K592" s="236" t="n"/>
      <c r="L592" s="236" t="n"/>
    </row>
    <row r="593" ht="15.75" customHeight="1" s="372">
      <c r="A593" s="297" t="n"/>
      <c r="B593" s="297" t="n"/>
      <c r="C593" s="297" t="n"/>
      <c r="D593" s="297" t="n"/>
      <c r="E593" s="297" t="n"/>
      <c r="F593" s="297" t="n"/>
      <c r="G593" s="297" t="n"/>
      <c r="H593" s="297" t="n"/>
      <c r="I593" s="236" t="n"/>
      <c r="J593" s="236" t="n"/>
      <c r="K593" s="236" t="n"/>
      <c r="L593" s="236" t="n"/>
    </row>
    <row r="594" ht="15.75" customHeight="1" s="372">
      <c r="A594" s="297" t="n"/>
      <c r="B594" s="297" t="n"/>
      <c r="C594" s="297" t="n"/>
      <c r="D594" s="297" t="n"/>
      <c r="E594" s="297" t="n"/>
      <c r="F594" s="297" t="n"/>
      <c r="G594" s="297" t="n"/>
      <c r="H594" s="297" t="n"/>
      <c r="I594" s="236" t="n"/>
      <c r="J594" s="236" t="n"/>
      <c r="K594" s="236" t="n"/>
      <c r="L594" s="236" t="n"/>
    </row>
    <row r="595" ht="15.75" customHeight="1" s="372">
      <c r="A595" s="297" t="n"/>
      <c r="B595" s="297" t="n"/>
      <c r="C595" s="297" t="n"/>
      <c r="D595" s="297" t="n"/>
      <c r="E595" s="297" t="n"/>
      <c r="F595" s="297" t="n"/>
      <c r="G595" s="297" t="n"/>
      <c r="H595" s="297" t="n"/>
      <c r="I595" s="236" t="n"/>
      <c r="J595" s="236" t="n"/>
      <c r="K595" s="236" t="n"/>
      <c r="L595" s="236" t="n"/>
    </row>
    <row r="596" ht="15.75" customHeight="1" s="372">
      <c r="A596" s="297" t="n"/>
      <c r="B596" s="297" t="n"/>
      <c r="C596" s="297" t="n"/>
      <c r="D596" s="297" t="n"/>
      <c r="E596" s="297" t="n"/>
      <c r="F596" s="297" t="n"/>
      <c r="G596" s="297" t="n"/>
      <c r="H596" s="297" t="n"/>
      <c r="I596" s="236" t="n"/>
      <c r="J596" s="236" t="n"/>
      <c r="K596" s="236" t="n"/>
      <c r="L596" s="236" t="n"/>
    </row>
    <row r="597" ht="15.75" customHeight="1" s="372">
      <c r="A597" s="297" t="n"/>
      <c r="B597" s="297" t="n"/>
      <c r="C597" s="297" t="n"/>
      <c r="D597" s="297" t="n"/>
      <c r="E597" s="297" t="n"/>
      <c r="F597" s="297" t="n"/>
      <c r="G597" s="297" t="n"/>
      <c r="H597" s="297" t="n"/>
      <c r="I597" s="236" t="n"/>
      <c r="J597" s="236" t="n"/>
      <c r="K597" s="236" t="n"/>
      <c r="L597" s="236" t="n"/>
    </row>
    <row r="598" ht="15.75" customHeight="1" s="372">
      <c r="A598" s="297" t="n"/>
      <c r="B598" s="297" t="n"/>
      <c r="C598" s="297" t="n"/>
      <c r="D598" s="297" t="n"/>
      <c r="E598" s="297" t="n"/>
      <c r="F598" s="297" t="n"/>
      <c r="G598" s="297" t="n"/>
      <c r="H598" s="297" t="n"/>
      <c r="I598" s="236" t="n"/>
      <c r="J598" s="236" t="n"/>
      <c r="K598" s="236" t="n"/>
      <c r="L598" s="236" t="n"/>
    </row>
    <row r="599" ht="15.75" customHeight="1" s="372">
      <c r="A599" s="297" t="n"/>
      <c r="B599" s="297" t="n"/>
      <c r="C599" s="297" t="n"/>
      <c r="D599" s="297" t="n"/>
      <c r="E599" s="297" t="n"/>
      <c r="F599" s="297" t="n"/>
      <c r="G599" s="297" t="n"/>
      <c r="H599" s="297" t="n"/>
      <c r="I599" s="236" t="n"/>
      <c r="J599" s="236" t="n"/>
      <c r="K599" s="236" t="n"/>
      <c r="L599" s="236" t="n"/>
    </row>
    <row r="600" ht="15.75" customHeight="1" s="372">
      <c r="A600" s="297" t="n"/>
      <c r="B600" s="297" t="n"/>
      <c r="C600" s="297" t="n"/>
      <c r="D600" s="297" t="n"/>
      <c r="E600" s="297" t="n"/>
      <c r="F600" s="297" t="n"/>
      <c r="G600" s="297" t="n"/>
      <c r="H600" s="297" t="n"/>
      <c r="I600" s="236" t="n"/>
      <c r="J600" s="236" t="n"/>
      <c r="K600" s="236" t="n"/>
      <c r="L600" s="236" t="n"/>
    </row>
    <row r="601" ht="15.75" customHeight="1" s="372">
      <c r="A601" s="297" t="n"/>
      <c r="B601" s="297" t="n"/>
      <c r="C601" s="297" t="n"/>
      <c r="D601" s="297" t="n"/>
      <c r="E601" s="297" t="n"/>
      <c r="F601" s="297" t="n"/>
      <c r="G601" s="297" t="n"/>
      <c r="H601" s="297" t="n"/>
      <c r="I601" s="236" t="n"/>
      <c r="J601" s="236" t="n"/>
      <c r="K601" s="236" t="n"/>
      <c r="L601" s="236" t="n"/>
    </row>
    <row r="602" ht="15.75" customHeight="1" s="372">
      <c r="A602" s="297" t="n"/>
      <c r="B602" s="297" t="n"/>
      <c r="C602" s="297" t="n"/>
      <c r="D602" s="297" t="n"/>
      <c r="E602" s="297" t="n"/>
      <c r="F602" s="297" t="n"/>
      <c r="G602" s="297" t="n"/>
      <c r="H602" s="297" t="n"/>
      <c r="I602" s="236" t="n"/>
      <c r="J602" s="236" t="n"/>
      <c r="K602" s="236" t="n"/>
      <c r="L602" s="236" t="n"/>
    </row>
    <row r="603" ht="15.75" customHeight="1" s="372">
      <c r="A603" s="297" t="n"/>
      <c r="B603" s="297" t="n"/>
      <c r="C603" s="297" t="n"/>
      <c r="D603" s="297" t="n"/>
      <c r="E603" s="297" t="n"/>
      <c r="F603" s="297" t="n"/>
      <c r="G603" s="297" t="n"/>
      <c r="H603" s="297" t="n"/>
      <c r="I603" s="236" t="n"/>
      <c r="J603" s="236" t="n"/>
      <c r="K603" s="236" t="n"/>
      <c r="L603" s="236" t="n"/>
    </row>
    <row r="604" ht="15.75" customHeight="1" s="372">
      <c r="A604" s="297" t="n"/>
      <c r="B604" s="297" t="n"/>
      <c r="C604" s="297" t="n"/>
      <c r="D604" s="297" t="n"/>
      <c r="E604" s="297" t="n"/>
      <c r="F604" s="297" t="n"/>
      <c r="G604" s="297" t="n"/>
      <c r="H604" s="297" t="n"/>
      <c r="I604" s="236" t="n"/>
      <c r="J604" s="236" t="n"/>
      <c r="K604" s="236" t="n"/>
      <c r="L604" s="236" t="n"/>
    </row>
    <row r="605" ht="15.75" customHeight="1" s="372">
      <c r="A605" s="297" t="n"/>
      <c r="B605" s="297" t="n"/>
      <c r="C605" s="297" t="n"/>
      <c r="D605" s="297" t="n"/>
      <c r="E605" s="297" t="n"/>
      <c r="F605" s="297" t="n"/>
      <c r="G605" s="297" t="n"/>
      <c r="H605" s="297" t="n"/>
      <c r="I605" s="236" t="n"/>
      <c r="J605" s="236" t="n"/>
      <c r="K605" s="236" t="n"/>
      <c r="L605" s="236" t="n"/>
    </row>
    <row r="606" ht="15.75" customHeight="1" s="372">
      <c r="A606" s="297" t="n"/>
      <c r="B606" s="297" t="n"/>
      <c r="C606" s="297" t="n"/>
      <c r="D606" s="297" t="n"/>
      <c r="E606" s="297" t="n"/>
      <c r="F606" s="297" t="n"/>
      <c r="G606" s="297" t="n"/>
      <c r="H606" s="297" t="n"/>
      <c r="I606" s="236" t="n"/>
      <c r="J606" s="236" t="n"/>
      <c r="K606" s="236" t="n"/>
      <c r="L606" s="236" t="n"/>
    </row>
    <row r="607" ht="15.75" customHeight="1" s="372">
      <c r="A607" s="297" t="n"/>
      <c r="B607" s="297" t="n"/>
      <c r="C607" s="297" t="n"/>
      <c r="D607" s="297" t="n"/>
      <c r="E607" s="297" t="n"/>
      <c r="F607" s="297" t="n"/>
      <c r="G607" s="297" t="n"/>
      <c r="H607" s="297" t="n"/>
      <c r="I607" s="236" t="n"/>
      <c r="J607" s="236" t="n"/>
      <c r="K607" s="236" t="n"/>
      <c r="L607" s="236" t="n"/>
    </row>
    <row r="608" ht="15.75" customHeight="1" s="372">
      <c r="A608" s="297" t="n"/>
      <c r="B608" s="297" t="n"/>
      <c r="C608" s="297" t="n"/>
      <c r="D608" s="297" t="n"/>
      <c r="E608" s="297" t="n"/>
      <c r="F608" s="297" t="n"/>
      <c r="G608" s="297" t="n"/>
      <c r="H608" s="297" t="n"/>
      <c r="I608" s="236" t="n"/>
      <c r="J608" s="236" t="n"/>
      <c r="K608" s="236" t="n"/>
      <c r="L608" s="236" t="n"/>
    </row>
    <row r="609" ht="15.75" customHeight="1" s="372">
      <c r="A609" s="297" t="n"/>
      <c r="B609" s="297" t="n"/>
      <c r="C609" s="297" t="n"/>
      <c r="D609" s="297" t="n"/>
      <c r="E609" s="297" t="n"/>
      <c r="F609" s="297" t="n"/>
      <c r="G609" s="297" t="n"/>
      <c r="H609" s="297" t="n"/>
      <c r="I609" s="236" t="n"/>
      <c r="J609" s="236" t="n"/>
      <c r="K609" s="236" t="n"/>
      <c r="L609" s="236" t="n"/>
    </row>
    <row r="610" ht="15.75" customHeight="1" s="372">
      <c r="A610" s="297" t="n"/>
      <c r="B610" s="297" t="n"/>
      <c r="C610" s="297" t="n"/>
      <c r="D610" s="297" t="n"/>
      <c r="E610" s="297" t="n"/>
      <c r="F610" s="297" t="n"/>
      <c r="G610" s="297" t="n"/>
      <c r="H610" s="297" t="n"/>
      <c r="I610" s="236" t="n"/>
      <c r="J610" s="236" t="n"/>
      <c r="K610" s="236" t="n"/>
      <c r="L610" s="236" t="n"/>
    </row>
    <row r="611" ht="15.75" customHeight="1" s="372">
      <c r="A611" s="297" t="n"/>
      <c r="B611" s="297" t="n"/>
      <c r="C611" s="297" t="n"/>
      <c r="D611" s="297" t="n"/>
      <c r="E611" s="297" t="n"/>
      <c r="F611" s="297" t="n"/>
      <c r="G611" s="297" t="n"/>
      <c r="H611" s="297" t="n"/>
      <c r="I611" s="236" t="n"/>
      <c r="J611" s="236" t="n"/>
      <c r="K611" s="236" t="n"/>
      <c r="L611" s="236" t="n"/>
    </row>
    <row r="612" ht="15.75" customHeight="1" s="372">
      <c r="A612" s="297" t="n"/>
      <c r="B612" s="297" t="n"/>
      <c r="C612" s="297" t="n"/>
      <c r="D612" s="297" t="n"/>
      <c r="E612" s="297" t="n"/>
      <c r="F612" s="297" t="n"/>
      <c r="G612" s="297" t="n"/>
      <c r="H612" s="297" t="n"/>
      <c r="I612" s="236" t="n"/>
      <c r="J612" s="236" t="n"/>
      <c r="K612" s="236" t="n"/>
      <c r="L612" s="236" t="n"/>
    </row>
    <row r="613" ht="15.75" customHeight="1" s="372">
      <c r="A613" s="297" t="n"/>
      <c r="B613" s="297" t="n"/>
      <c r="C613" s="297" t="n"/>
      <c r="D613" s="297" t="n"/>
      <c r="E613" s="297" t="n"/>
      <c r="F613" s="297" t="n"/>
      <c r="G613" s="297" t="n"/>
      <c r="H613" s="297" t="n"/>
      <c r="I613" s="236" t="n"/>
      <c r="J613" s="236" t="n"/>
      <c r="K613" s="236" t="n"/>
      <c r="L613" s="236" t="n"/>
    </row>
    <row r="614" ht="15.75" customHeight="1" s="372">
      <c r="A614" s="297" t="n"/>
      <c r="B614" s="297" t="n"/>
      <c r="C614" s="297" t="n"/>
      <c r="D614" s="297" t="n"/>
      <c r="E614" s="297" t="n"/>
      <c r="F614" s="297" t="n"/>
      <c r="G614" s="297" t="n"/>
      <c r="H614" s="297" t="n"/>
      <c r="I614" s="236" t="n"/>
      <c r="J614" s="236" t="n"/>
      <c r="K614" s="236" t="n"/>
      <c r="L614" s="236" t="n"/>
    </row>
    <row r="615" ht="15.75" customHeight="1" s="372">
      <c r="A615" s="297" t="n"/>
      <c r="B615" s="297" t="n"/>
      <c r="C615" s="297" t="n"/>
      <c r="D615" s="297" t="n"/>
      <c r="E615" s="297" t="n"/>
      <c r="F615" s="297" t="n"/>
      <c r="G615" s="297" t="n"/>
      <c r="H615" s="297" t="n"/>
      <c r="I615" s="236" t="n"/>
      <c r="J615" s="236" t="n"/>
      <c r="K615" s="236" t="n"/>
      <c r="L615" s="236" t="n"/>
    </row>
    <row r="616" ht="15.75" customHeight="1" s="372">
      <c r="A616" s="297" t="n"/>
      <c r="B616" s="297" t="n"/>
      <c r="C616" s="297" t="n"/>
      <c r="D616" s="297" t="n"/>
      <c r="E616" s="297" t="n"/>
      <c r="F616" s="297" t="n"/>
      <c r="G616" s="297" t="n"/>
      <c r="H616" s="297" t="n"/>
      <c r="I616" s="236" t="n"/>
      <c r="J616" s="236" t="n"/>
      <c r="K616" s="236" t="n"/>
      <c r="L616" s="236" t="n"/>
    </row>
    <row r="617" ht="15.75" customHeight="1" s="372">
      <c r="A617" s="297" t="n"/>
      <c r="B617" s="297" t="n"/>
      <c r="C617" s="297" t="n"/>
      <c r="D617" s="297" t="n"/>
      <c r="E617" s="297" t="n"/>
      <c r="F617" s="297" t="n"/>
      <c r="G617" s="297" t="n"/>
      <c r="H617" s="297" t="n"/>
      <c r="I617" s="236" t="n"/>
      <c r="J617" s="236" t="n"/>
      <c r="K617" s="236" t="n"/>
      <c r="L617" s="236" t="n"/>
    </row>
    <row r="618" ht="15.75" customHeight="1" s="372">
      <c r="A618" s="297" t="n"/>
      <c r="B618" s="297" t="n"/>
      <c r="C618" s="297" t="n"/>
      <c r="D618" s="297" t="n"/>
      <c r="E618" s="297" t="n"/>
      <c r="F618" s="297" t="n"/>
      <c r="G618" s="297" t="n"/>
      <c r="H618" s="297" t="n"/>
      <c r="I618" s="236" t="n"/>
      <c r="J618" s="236" t="n"/>
      <c r="K618" s="236" t="n"/>
      <c r="L618" s="236" t="n"/>
    </row>
    <row r="619" ht="15.75" customHeight="1" s="372">
      <c r="A619" s="297" t="n"/>
      <c r="B619" s="297" t="n"/>
      <c r="C619" s="297" t="n"/>
      <c r="D619" s="297" t="n"/>
      <c r="E619" s="297" t="n"/>
      <c r="F619" s="297" t="n"/>
      <c r="G619" s="297" t="n"/>
      <c r="H619" s="297" t="n"/>
      <c r="I619" s="236" t="n"/>
      <c r="J619" s="236" t="n"/>
      <c r="K619" s="236" t="n"/>
      <c r="L619" s="236" t="n"/>
    </row>
    <row r="620" ht="15.75" customHeight="1" s="372">
      <c r="A620" s="297" t="n"/>
      <c r="B620" s="297" t="n"/>
      <c r="C620" s="297" t="n"/>
      <c r="D620" s="297" t="n"/>
      <c r="E620" s="297" t="n"/>
      <c r="F620" s="297" t="n"/>
      <c r="G620" s="297" t="n"/>
      <c r="H620" s="297" t="n"/>
      <c r="I620" s="236" t="n"/>
      <c r="J620" s="236" t="n"/>
      <c r="K620" s="236" t="n"/>
      <c r="L620" s="236" t="n"/>
    </row>
    <row r="621" ht="15.75" customHeight="1" s="372">
      <c r="A621" s="297" t="n"/>
      <c r="B621" s="297" t="n"/>
      <c r="C621" s="297" t="n"/>
      <c r="D621" s="297" t="n"/>
      <c r="E621" s="297" t="n"/>
      <c r="F621" s="297" t="n"/>
      <c r="G621" s="297" t="n"/>
      <c r="H621" s="297" t="n"/>
      <c r="I621" s="236" t="n"/>
      <c r="J621" s="236" t="n"/>
      <c r="K621" s="236" t="n"/>
      <c r="L621" s="236" t="n"/>
    </row>
    <row r="622" ht="15.75" customHeight="1" s="372">
      <c r="A622" s="297" t="n"/>
      <c r="B622" s="297" t="n"/>
      <c r="C622" s="297" t="n"/>
      <c r="D622" s="297" t="n"/>
      <c r="E622" s="297" t="n"/>
      <c r="F622" s="297" t="n"/>
      <c r="G622" s="297" t="n"/>
      <c r="H622" s="297" t="n"/>
      <c r="I622" s="236" t="n"/>
      <c r="J622" s="236" t="n"/>
      <c r="K622" s="236" t="n"/>
      <c r="L622" s="236" t="n"/>
    </row>
    <row r="623" ht="15.75" customHeight="1" s="372">
      <c r="A623" s="297" t="n"/>
      <c r="B623" s="297" t="n"/>
      <c r="C623" s="297" t="n"/>
      <c r="D623" s="297" t="n"/>
      <c r="E623" s="297" t="n"/>
      <c r="F623" s="297" t="n"/>
      <c r="G623" s="297" t="n"/>
      <c r="H623" s="297" t="n"/>
      <c r="I623" s="236" t="n"/>
      <c r="J623" s="236" t="n"/>
      <c r="K623" s="236" t="n"/>
      <c r="L623" s="236" t="n"/>
    </row>
    <row r="624" ht="15.75" customHeight="1" s="372">
      <c r="A624" s="297" t="n"/>
      <c r="B624" s="297" t="n"/>
      <c r="C624" s="297" t="n"/>
      <c r="D624" s="297" t="n"/>
      <c r="E624" s="297" t="n"/>
      <c r="F624" s="297" t="n"/>
      <c r="G624" s="297" t="n"/>
      <c r="H624" s="297" t="n"/>
      <c r="I624" s="236" t="n"/>
      <c r="J624" s="236" t="n"/>
      <c r="K624" s="236" t="n"/>
      <c r="L624" s="236" t="n"/>
    </row>
    <row r="625" ht="15.75" customHeight="1" s="372">
      <c r="A625" s="297" t="n"/>
      <c r="B625" s="297" t="n"/>
      <c r="C625" s="297" t="n"/>
      <c r="D625" s="297" t="n"/>
      <c r="E625" s="297" t="n"/>
      <c r="F625" s="297" t="n"/>
      <c r="G625" s="297" t="n"/>
      <c r="H625" s="297" t="n"/>
      <c r="I625" s="236" t="n"/>
      <c r="J625" s="236" t="n"/>
      <c r="K625" s="236" t="n"/>
      <c r="L625" s="236" t="n"/>
    </row>
    <row r="626" ht="15.75" customHeight="1" s="372">
      <c r="A626" s="297" t="n"/>
      <c r="B626" s="297" t="n"/>
      <c r="C626" s="297" t="n"/>
      <c r="D626" s="297" t="n"/>
      <c r="E626" s="297" t="n"/>
      <c r="F626" s="297" t="n"/>
      <c r="G626" s="297" t="n"/>
      <c r="H626" s="297" t="n"/>
      <c r="I626" s="236" t="n"/>
      <c r="J626" s="236" t="n"/>
      <c r="K626" s="236" t="n"/>
      <c r="L626" s="236" t="n"/>
    </row>
    <row r="627" ht="15.75" customHeight="1" s="372">
      <c r="A627" s="297" t="n"/>
      <c r="B627" s="297" t="n"/>
      <c r="C627" s="297" t="n"/>
      <c r="D627" s="297" t="n"/>
      <c r="E627" s="297" t="n"/>
      <c r="F627" s="297" t="n"/>
      <c r="G627" s="297" t="n"/>
      <c r="H627" s="297" t="n"/>
      <c r="I627" s="236" t="n"/>
      <c r="J627" s="236" t="n"/>
      <c r="K627" s="236" t="n"/>
      <c r="L627" s="236" t="n"/>
    </row>
    <row r="628" ht="15.75" customHeight="1" s="372">
      <c r="A628" s="297" t="n"/>
      <c r="B628" s="297" t="n"/>
      <c r="C628" s="297" t="n"/>
      <c r="D628" s="297" t="n"/>
      <c r="E628" s="297" t="n"/>
      <c r="F628" s="297" t="n"/>
      <c r="G628" s="297" t="n"/>
      <c r="H628" s="297" t="n"/>
      <c r="I628" s="236" t="n"/>
      <c r="J628" s="236" t="n"/>
      <c r="K628" s="236" t="n"/>
      <c r="L628" s="236" t="n"/>
    </row>
    <row r="629" ht="15.75" customHeight="1" s="372">
      <c r="A629" s="297" t="n"/>
      <c r="B629" s="297" t="n"/>
      <c r="C629" s="297" t="n"/>
      <c r="D629" s="297" t="n"/>
      <c r="E629" s="297" t="n"/>
      <c r="F629" s="297" t="n"/>
      <c r="G629" s="297" t="n"/>
      <c r="H629" s="297" t="n"/>
      <c r="I629" s="236" t="n"/>
      <c r="J629" s="236" t="n"/>
      <c r="K629" s="236" t="n"/>
      <c r="L629" s="236" t="n"/>
    </row>
    <row r="630" ht="15.75" customHeight="1" s="372">
      <c r="A630" s="297" t="n"/>
      <c r="B630" s="297" t="n"/>
      <c r="C630" s="297" t="n"/>
      <c r="D630" s="297" t="n"/>
      <c r="E630" s="297" t="n"/>
      <c r="F630" s="297" t="n"/>
      <c r="G630" s="297" t="n"/>
      <c r="H630" s="297" t="n"/>
      <c r="I630" s="236" t="n"/>
      <c r="J630" s="236" t="n"/>
      <c r="K630" s="236" t="n"/>
      <c r="L630" s="236" t="n"/>
    </row>
    <row r="631" ht="15.75" customHeight="1" s="372">
      <c r="A631" s="297" t="n"/>
      <c r="B631" s="297" t="n"/>
      <c r="C631" s="297" t="n"/>
      <c r="D631" s="297" t="n"/>
      <c r="E631" s="297" t="n"/>
      <c r="F631" s="297" t="n"/>
      <c r="G631" s="297" t="n"/>
      <c r="H631" s="297" t="n"/>
      <c r="I631" s="236" t="n"/>
      <c r="J631" s="236" t="n"/>
      <c r="K631" s="236" t="n"/>
      <c r="L631" s="236" t="n"/>
    </row>
    <row r="632" ht="15.75" customHeight="1" s="372">
      <c r="A632" s="297" t="n"/>
      <c r="B632" s="297" t="n"/>
      <c r="C632" s="297" t="n"/>
      <c r="D632" s="297" t="n"/>
      <c r="E632" s="297" t="n"/>
      <c r="F632" s="297" t="n"/>
      <c r="G632" s="297" t="n"/>
      <c r="H632" s="297" t="n"/>
      <c r="I632" s="236" t="n"/>
      <c r="J632" s="236" t="n"/>
      <c r="K632" s="236" t="n"/>
      <c r="L632" s="236" t="n"/>
    </row>
    <row r="633" ht="15.75" customHeight="1" s="372">
      <c r="A633" s="297" t="n"/>
      <c r="B633" s="297" t="n"/>
      <c r="C633" s="297" t="n"/>
      <c r="D633" s="297" t="n"/>
      <c r="E633" s="297" t="n"/>
      <c r="F633" s="297" t="n"/>
      <c r="G633" s="297" t="n"/>
      <c r="H633" s="297" t="n"/>
      <c r="I633" s="236" t="n"/>
      <c r="J633" s="236" t="n"/>
      <c r="K633" s="236" t="n"/>
      <c r="L633" s="236" t="n"/>
    </row>
    <row r="634" ht="15.75" customHeight="1" s="372">
      <c r="A634" s="297" t="n"/>
      <c r="B634" s="297" t="n"/>
      <c r="C634" s="297" t="n"/>
      <c r="D634" s="297" t="n"/>
      <c r="E634" s="297" t="n"/>
      <c r="F634" s="297" t="n"/>
      <c r="G634" s="297" t="n"/>
      <c r="H634" s="297" t="n"/>
      <c r="I634" s="236" t="n"/>
      <c r="J634" s="236" t="n"/>
      <c r="K634" s="236" t="n"/>
      <c r="L634" s="236" t="n"/>
    </row>
    <row r="635" ht="15.75" customHeight="1" s="372">
      <c r="A635" s="297" t="n"/>
      <c r="B635" s="297" t="n"/>
      <c r="C635" s="297" t="n"/>
      <c r="D635" s="297" t="n"/>
      <c r="E635" s="297" t="n"/>
      <c r="F635" s="297" t="n"/>
      <c r="G635" s="297" t="n"/>
      <c r="H635" s="297" t="n"/>
      <c r="I635" s="236" t="n"/>
      <c r="J635" s="236" t="n"/>
      <c r="K635" s="236" t="n"/>
      <c r="L635" s="236" t="n"/>
    </row>
    <row r="636" ht="15.75" customHeight="1" s="372">
      <c r="A636" s="297" t="n"/>
      <c r="B636" s="297" t="n"/>
      <c r="C636" s="297" t="n"/>
      <c r="D636" s="297" t="n"/>
      <c r="E636" s="297" t="n"/>
      <c r="F636" s="297" t="n"/>
      <c r="G636" s="297" t="n"/>
      <c r="H636" s="297" t="n"/>
      <c r="I636" s="236" t="n"/>
      <c r="J636" s="236" t="n"/>
      <c r="K636" s="236" t="n"/>
      <c r="L636" s="236" t="n"/>
    </row>
    <row r="637" ht="15.75" customHeight="1" s="372">
      <c r="A637" s="297" t="n"/>
      <c r="B637" s="297" t="n"/>
      <c r="C637" s="297" t="n"/>
      <c r="D637" s="297" t="n"/>
      <c r="E637" s="297" t="n"/>
      <c r="F637" s="297" t="n"/>
      <c r="G637" s="297" t="n"/>
      <c r="H637" s="297" t="n"/>
      <c r="I637" s="236" t="n"/>
      <c r="J637" s="236" t="n"/>
      <c r="K637" s="236" t="n"/>
      <c r="L637" s="236" t="n"/>
    </row>
    <row r="638" ht="15.75" customHeight="1" s="372">
      <c r="A638" s="297" t="n"/>
      <c r="B638" s="297" t="n"/>
      <c r="C638" s="297" t="n"/>
      <c r="D638" s="297" t="n"/>
      <c r="E638" s="297" t="n"/>
      <c r="F638" s="297" t="n"/>
      <c r="G638" s="297" t="n"/>
      <c r="H638" s="297" t="n"/>
      <c r="I638" s="236" t="n"/>
      <c r="J638" s="236" t="n"/>
      <c r="K638" s="236" t="n"/>
      <c r="L638" s="236" t="n"/>
    </row>
    <row r="639" ht="15.75" customHeight="1" s="372">
      <c r="A639" s="297" t="n"/>
      <c r="B639" s="297" t="n"/>
      <c r="C639" s="297" t="n"/>
      <c r="D639" s="297" t="n"/>
      <c r="E639" s="297" t="n"/>
      <c r="F639" s="297" t="n"/>
      <c r="G639" s="297" t="n"/>
      <c r="H639" s="297" t="n"/>
      <c r="I639" s="236" t="n"/>
      <c r="J639" s="236" t="n"/>
      <c r="K639" s="236" t="n"/>
      <c r="L639" s="236" t="n"/>
    </row>
    <row r="640" ht="15.75" customHeight="1" s="372">
      <c r="A640" s="297" t="n"/>
      <c r="B640" s="297" t="n"/>
      <c r="C640" s="297" t="n"/>
      <c r="D640" s="297" t="n"/>
      <c r="E640" s="297" t="n"/>
      <c r="F640" s="297" t="n"/>
      <c r="G640" s="297" t="n"/>
      <c r="H640" s="297" t="n"/>
      <c r="I640" s="236" t="n"/>
      <c r="J640" s="236" t="n"/>
      <c r="K640" s="236" t="n"/>
      <c r="L640" s="236" t="n"/>
    </row>
    <row r="641" ht="15.75" customHeight="1" s="372">
      <c r="A641" s="297" t="n"/>
      <c r="B641" s="297" t="n"/>
      <c r="C641" s="297" t="n"/>
      <c r="D641" s="297" t="n"/>
      <c r="E641" s="297" t="n"/>
      <c r="F641" s="297" t="n"/>
      <c r="G641" s="297" t="n"/>
      <c r="H641" s="297" t="n"/>
      <c r="I641" s="236" t="n"/>
      <c r="J641" s="236" t="n"/>
      <c r="K641" s="236" t="n"/>
      <c r="L641" s="236" t="n"/>
    </row>
    <row r="642" ht="15.75" customHeight="1" s="372">
      <c r="A642" s="297" t="n"/>
      <c r="B642" s="297" t="n"/>
      <c r="C642" s="297" t="n"/>
      <c r="D642" s="297" t="n"/>
      <c r="E642" s="297" t="n"/>
      <c r="F642" s="297" t="n"/>
      <c r="G642" s="297" t="n"/>
      <c r="H642" s="297" t="n"/>
      <c r="I642" s="236" t="n"/>
      <c r="J642" s="236" t="n"/>
      <c r="K642" s="236" t="n"/>
      <c r="L642" s="236" t="n"/>
    </row>
    <row r="643" ht="15.75" customHeight="1" s="372">
      <c r="A643" s="297" t="n"/>
      <c r="B643" s="297" t="n"/>
      <c r="C643" s="297" t="n"/>
      <c r="D643" s="297" t="n"/>
      <c r="E643" s="297" t="n"/>
      <c r="F643" s="297" t="n"/>
      <c r="G643" s="297" t="n"/>
      <c r="H643" s="297" t="n"/>
      <c r="I643" s="236" t="n"/>
      <c r="J643" s="236" t="n"/>
      <c r="K643" s="236" t="n"/>
      <c r="L643" s="236" t="n"/>
    </row>
    <row r="644" ht="15.75" customHeight="1" s="372">
      <c r="A644" s="297" t="n"/>
      <c r="B644" s="297" t="n"/>
      <c r="C644" s="297" t="n"/>
      <c r="D644" s="297" t="n"/>
      <c r="E644" s="297" t="n"/>
      <c r="F644" s="297" t="n"/>
      <c r="G644" s="297" t="n"/>
      <c r="H644" s="297" t="n"/>
      <c r="I644" s="236" t="n"/>
      <c r="J644" s="236" t="n"/>
      <c r="K644" s="236" t="n"/>
      <c r="L644" s="236" t="n"/>
    </row>
    <row r="645" ht="15.75" customHeight="1" s="372">
      <c r="A645" s="297" t="n"/>
      <c r="B645" s="297" t="n"/>
      <c r="C645" s="297" t="n"/>
      <c r="D645" s="297" t="n"/>
      <c r="E645" s="297" t="n"/>
      <c r="F645" s="297" t="n"/>
      <c r="G645" s="297" t="n"/>
      <c r="H645" s="297" t="n"/>
      <c r="I645" s="236" t="n"/>
      <c r="J645" s="236" t="n"/>
      <c r="K645" s="236" t="n"/>
      <c r="L645" s="236" t="n"/>
    </row>
    <row r="646" ht="15.75" customHeight="1" s="372">
      <c r="A646" s="297" t="n"/>
      <c r="B646" s="297" t="n"/>
      <c r="C646" s="297" t="n"/>
      <c r="D646" s="297" t="n"/>
      <c r="E646" s="297" t="n"/>
      <c r="F646" s="297" t="n"/>
      <c r="G646" s="297" t="n"/>
      <c r="H646" s="297" t="n"/>
      <c r="I646" s="236" t="n"/>
      <c r="J646" s="236" t="n"/>
      <c r="K646" s="236" t="n"/>
      <c r="L646" s="236" t="n"/>
    </row>
    <row r="647" ht="15.75" customHeight="1" s="372">
      <c r="A647" s="297" t="n"/>
      <c r="B647" s="297" t="n"/>
      <c r="C647" s="297" t="n"/>
      <c r="D647" s="297" t="n"/>
      <c r="E647" s="297" t="n"/>
      <c r="F647" s="297" t="n"/>
      <c r="G647" s="297" t="n"/>
      <c r="H647" s="297" t="n"/>
      <c r="I647" s="236" t="n"/>
      <c r="J647" s="236" t="n"/>
      <c r="K647" s="236" t="n"/>
      <c r="L647" s="236" t="n"/>
    </row>
    <row r="648" ht="15.75" customHeight="1" s="372">
      <c r="A648" s="297" t="n"/>
      <c r="B648" s="297" t="n"/>
      <c r="C648" s="297" t="n"/>
      <c r="D648" s="297" t="n"/>
      <c r="E648" s="297" t="n"/>
      <c r="F648" s="297" t="n"/>
      <c r="G648" s="297" t="n"/>
      <c r="H648" s="297" t="n"/>
      <c r="I648" s="236" t="n"/>
      <c r="J648" s="236" t="n"/>
      <c r="K648" s="236" t="n"/>
      <c r="L648" s="236" t="n"/>
    </row>
    <row r="649" ht="15.75" customHeight="1" s="372">
      <c r="A649" s="297" t="n"/>
      <c r="B649" s="297" t="n"/>
      <c r="C649" s="297" t="n"/>
      <c r="D649" s="297" t="n"/>
      <c r="E649" s="297" t="n"/>
      <c r="F649" s="297" t="n"/>
      <c r="G649" s="297" t="n"/>
      <c r="H649" s="297" t="n"/>
      <c r="I649" s="236" t="n"/>
      <c r="J649" s="236" t="n"/>
      <c r="K649" s="236" t="n"/>
      <c r="L649" s="236" t="n"/>
    </row>
    <row r="650" ht="15.75" customHeight="1" s="372">
      <c r="A650" s="297" t="n"/>
      <c r="B650" s="297" t="n"/>
      <c r="C650" s="297" t="n"/>
      <c r="D650" s="297" t="n"/>
      <c r="E650" s="297" t="n"/>
      <c r="F650" s="297" t="n"/>
      <c r="G650" s="297" t="n"/>
      <c r="H650" s="297" t="n"/>
      <c r="I650" s="236" t="n"/>
      <c r="J650" s="236" t="n"/>
      <c r="K650" s="236" t="n"/>
      <c r="L650" s="236" t="n"/>
    </row>
    <row r="651" ht="15.75" customHeight="1" s="372">
      <c r="A651" s="297" t="n"/>
      <c r="B651" s="297" t="n"/>
      <c r="C651" s="297" t="n"/>
      <c r="D651" s="297" t="n"/>
      <c r="E651" s="297" t="n"/>
      <c r="F651" s="297" t="n"/>
      <c r="G651" s="297" t="n"/>
      <c r="H651" s="297" t="n"/>
      <c r="I651" s="236" t="n"/>
      <c r="J651" s="236" t="n"/>
      <c r="K651" s="236" t="n"/>
      <c r="L651" s="236" t="n"/>
    </row>
    <row r="652" ht="15.75" customHeight="1" s="372">
      <c r="A652" s="297" t="n"/>
      <c r="B652" s="297" t="n"/>
      <c r="C652" s="297" t="n"/>
      <c r="D652" s="297" t="n"/>
      <c r="E652" s="297" t="n"/>
      <c r="F652" s="297" t="n"/>
      <c r="G652" s="297" t="n"/>
      <c r="H652" s="297" t="n"/>
      <c r="I652" s="236" t="n"/>
      <c r="J652" s="236" t="n"/>
      <c r="K652" s="236" t="n"/>
      <c r="L652" s="236" t="n"/>
    </row>
    <row r="653" ht="15.75" customHeight="1" s="372">
      <c r="A653" s="297" t="n"/>
      <c r="B653" s="297" t="n"/>
      <c r="C653" s="297" t="n"/>
      <c r="D653" s="297" t="n"/>
      <c r="E653" s="297" t="n"/>
      <c r="F653" s="297" t="n"/>
      <c r="G653" s="297" t="n"/>
      <c r="H653" s="297" t="n"/>
      <c r="I653" s="236" t="n"/>
      <c r="J653" s="236" t="n"/>
      <c r="K653" s="236" t="n"/>
      <c r="L653" s="236" t="n"/>
    </row>
    <row r="654" ht="15.75" customHeight="1" s="372">
      <c r="A654" s="297" t="n"/>
      <c r="B654" s="297" t="n"/>
      <c r="C654" s="297" t="n"/>
      <c r="D654" s="297" t="n"/>
      <c r="E654" s="297" t="n"/>
      <c r="F654" s="297" t="n"/>
      <c r="G654" s="297" t="n"/>
      <c r="H654" s="297" t="n"/>
      <c r="I654" s="236" t="n"/>
      <c r="J654" s="236" t="n"/>
      <c r="K654" s="236" t="n"/>
      <c r="L654" s="236" t="n"/>
    </row>
    <row r="655" ht="15.75" customHeight="1" s="372">
      <c r="A655" s="297" t="n"/>
      <c r="B655" s="297" t="n"/>
      <c r="C655" s="297" t="n"/>
      <c r="D655" s="297" t="n"/>
      <c r="E655" s="297" t="n"/>
      <c r="F655" s="297" t="n"/>
      <c r="G655" s="297" t="n"/>
      <c r="H655" s="297" t="n"/>
      <c r="I655" s="236" t="n"/>
      <c r="J655" s="236" t="n"/>
      <c r="K655" s="236" t="n"/>
      <c r="L655" s="236" t="n"/>
    </row>
    <row r="656" ht="15.75" customHeight="1" s="372">
      <c r="A656" s="297" t="n"/>
      <c r="B656" s="297" t="n"/>
      <c r="C656" s="297" t="n"/>
      <c r="D656" s="297" t="n"/>
      <c r="E656" s="297" t="n"/>
      <c r="F656" s="297" t="n"/>
      <c r="G656" s="297" t="n"/>
      <c r="H656" s="297" t="n"/>
      <c r="I656" s="236" t="n"/>
      <c r="J656" s="236" t="n"/>
      <c r="K656" s="236" t="n"/>
      <c r="L656" s="236" t="n"/>
    </row>
    <row r="657" ht="15.75" customHeight="1" s="372">
      <c r="A657" s="297" t="n"/>
      <c r="B657" s="297" t="n"/>
      <c r="C657" s="297" t="n"/>
      <c r="D657" s="297" t="n"/>
      <c r="E657" s="297" t="n"/>
      <c r="F657" s="297" t="n"/>
      <c r="G657" s="297" t="n"/>
      <c r="H657" s="297" t="n"/>
      <c r="I657" s="236" t="n"/>
      <c r="J657" s="236" t="n"/>
      <c r="K657" s="236" t="n"/>
      <c r="L657" s="236" t="n"/>
    </row>
    <row r="658" ht="15.75" customHeight="1" s="372">
      <c r="A658" s="297" t="n"/>
      <c r="B658" s="297" t="n"/>
      <c r="C658" s="297" t="n"/>
      <c r="D658" s="297" t="n"/>
      <c r="E658" s="297" t="n"/>
      <c r="F658" s="297" t="n"/>
      <c r="G658" s="297" t="n"/>
      <c r="H658" s="297" t="n"/>
      <c r="I658" s="236" t="n"/>
      <c r="J658" s="236" t="n"/>
      <c r="K658" s="236" t="n"/>
      <c r="L658" s="236" t="n"/>
    </row>
    <row r="659" ht="15.75" customHeight="1" s="372">
      <c r="A659" s="297" t="n"/>
      <c r="B659" s="297" t="n"/>
      <c r="C659" s="297" t="n"/>
      <c r="D659" s="297" t="n"/>
      <c r="E659" s="297" t="n"/>
      <c r="F659" s="297" t="n"/>
      <c r="G659" s="297" t="n"/>
      <c r="H659" s="297" t="n"/>
      <c r="I659" s="236" t="n"/>
      <c r="J659" s="236" t="n"/>
      <c r="K659" s="236" t="n"/>
      <c r="L659" s="236" t="n"/>
    </row>
    <row r="660" ht="15.75" customHeight="1" s="372">
      <c r="A660" s="297" t="n"/>
      <c r="B660" s="297" t="n"/>
      <c r="C660" s="297" t="n"/>
      <c r="D660" s="297" t="n"/>
      <c r="E660" s="297" t="n"/>
      <c r="F660" s="297" t="n"/>
      <c r="G660" s="297" t="n"/>
      <c r="H660" s="297" t="n"/>
      <c r="I660" s="236" t="n"/>
      <c r="J660" s="236" t="n"/>
      <c r="K660" s="236" t="n"/>
      <c r="L660" s="236" t="n"/>
    </row>
    <row r="661" ht="15.75" customHeight="1" s="372">
      <c r="A661" s="297" t="n"/>
      <c r="B661" s="297" t="n"/>
      <c r="C661" s="297" t="n"/>
      <c r="D661" s="297" t="n"/>
      <c r="E661" s="297" t="n"/>
      <c r="F661" s="297" t="n"/>
      <c r="G661" s="297" t="n"/>
      <c r="H661" s="297" t="n"/>
      <c r="I661" s="236" t="n"/>
      <c r="J661" s="236" t="n"/>
      <c r="K661" s="236" t="n"/>
      <c r="L661" s="236" t="n"/>
    </row>
    <row r="662" ht="15.75" customHeight="1" s="372">
      <c r="A662" s="297" t="n"/>
      <c r="B662" s="297" t="n"/>
      <c r="C662" s="297" t="n"/>
      <c r="D662" s="297" t="n"/>
      <c r="E662" s="297" t="n"/>
      <c r="F662" s="297" t="n"/>
      <c r="G662" s="297" t="n"/>
      <c r="H662" s="297" t="n"/>
      <c r="I662" s="236" t="n"/>
      <c r="J662" s="236" t="n"/>
      <c r="K662" s="236" t="n"/>
      <c r="L662" s="236" t="n"/>
    </row>
    <row r="663" ht="15.75" customHeight="1" s="372">
      <c r="A663" s="297" t="n"/>
      <c r="B663" s="297" t="n"/>
      <c r="C663" s="297" t="n"/>
      <c r="D663" s="297" t="n"/>
      <c r="E663" s="297" t="n"/>
      <c r="F663" s="297" t="n"/>
      <c r="G663" s="297" t="n"/>
      <c r="H663" s="297" t="n"/>
      <c r="I663" s="236" t="n"/>
      <c r="J663" s="236" t="n"/>
      <c r="K663" s="236" t="n"/>
      <c r="L663" s="236" t="n"/>
    </row>
    <row r="664" ht="15.75" customHeight="1" s="372">
      <c r="A664" s="297" t="n"/>
      <c r="B664" s="297" t="n"/>
      <c r="C664" s="297" t="n"/>
      <c r="D664" s="297" t="n"/>
      <c r="E664" s="297" t="n"/>
      <c r="F664" s="297" t="n"/>
      <c r="G664" s="297" t="n"/>
      <c r="H664" s="297" t="n"/>
      <c r="I664" s="236" t="n"/>
      <c r="J664" s="236" t="n"/>
      <c r="K664" s="236" t="n"/>
      <c r="L664" s="236" t="n"/>
    </row>
    <row r="665" ht="15.75" customHeight="1" s="372">
      <c r="A665" s="297" t="n"/>
      <c r="B665" s="297" t="n"/>
      <c r="C665" s="297" t="n"/>
      <c r="D665" s="297" t="n"/>
      <c r="E665" s="297" t="n"/>
      <c r="F665" s="297" t="n"/>
      <c r="G665" s="297" t="n"/>
      <c r="H665" s="297" t="n"/>
      <c r="I665" s="236" t="n"/>
      <c r="J665" s="236" t="n"/>
      <c r="K665" s="236" t="n"/>
      <c r="L665" s="236" t="n"/>
    </row>
    <row r="666" ht="15.75" customHeight="1" s="372">
      <c r="A666" s="297" t="n"/>
      <c r="B666" s="297" t="n"/>
      <c r="C666" s="297" t="n"/>
      <c r="D666" s="297" t="n"/>
      <c r="E666" s="297" t="n"/>
      <c r="F666" s="297" t="n"/>
      <c r="G666" s="297" t="n"/>
      <c r="H666" s="297" t="n"/>
      <c r="I666" s="236" t="n"/>
      <c r="J666" s="236" t="n"/>
      <c r="K666" s="236" t="n"/>
      <c r="L666" s="236" t="n"/>
    </row>
    <row r="667" ht="15.75" customHeight="1" s="372">
      <c r="A667" s="297" t="n"/>
      <c r="B667" s="297" t="n"/>
      <c r="C667" s="297" t="n"/>
      <c r="D667" s="297" t="n"/>
      <c r="E667" s="297" t="n"/>
      <c r="F667" s="297" t="n"/>
      <c r="G667" s="297" t="n"/>
      <c r="H667" s="297" t="n"/>
      <c r="I667" s="236" t="n"/>
      <c r="J667" s="236" t="n"/>
      <c r="K667" s="236" t="n"/>
      <c r="L667" s="236" t="n"/>
    </row>
    <row r="668" ht="15.75" customHeight="1" s="372">
      <c r="A668" s="297" t="n"/>
      <c r="B668" s="297" t="n"/>
      <c r="C668" s="297" t="n"/>
      <c r="D668" s="297" t="n"/>
      <c r="E668" s="297" t="n"/>
      <c r="F668" s="297" t="n"/>
      <c r="G668" s="297" t="n"/>
      <c r="H668" s="297" t="n"/>
      <c r="I668" s="236" t="n"/>
      <c r="J668" s="236" t="n"/>
      <c r="K668" s="236" t="n"/>
      <c r="L668" s="236" t="n"/>
    </row>
    <row r="669" ht="15.75" customHeight="1" s="372">
      <c r="A669" s="297" t="n"/>
      <c r="B669" s="297" t="n"/>
      <c r="C669" s="297" t="n"/>
      <c r="D669" s="297" t="n"/>
      <c r="E669" s="297" t="n"/>
      <c r="F669" s="297" t="n"/>
      <c r="G669" s="297" t="n"/>
      <c r="H669" s="297" t="n"/>
      <c r="I669" s="236" t="n"/>
      <c r="J669" s="236" t="n"/>
      <c r="K669" s="236" t="n"/>
      <c r="L669" s="236" t="n"/>
    </row>
    <row r="670" ht="15.75" customHeight="1" s="372">
      <c r="A670" s="297" t="n"/>
      <c r="B670" s="297" t="n"/>
      <c r="C670" s="297" t="n"/>
      <c r="D670" s="297" t="n"/>
      <c r="E670" s="297" t="n"/>
      <c r="F670" s="297" t="n"/>
      <c r="G670" s="297" t="n"/>
      <c r="H670" s="297" t="n"/>
      <c r="I670" s="236" t="n"/>
      <c r="J670" s="236" t="n"/>
      <c r="K670" s="236" t="n"/>
      <c r="L670" s="236" t="n"/>
    </row>
    <row r="671" ht="15.75" customHeight="1" s="372">
      <c r="A671" s="297" t="n"/>
      <c r="B671" s="297" t="n"/>
      <c r="C671" s="297" t="n"/>
      <c r="D671" s="297" t="n"/>
      <c r="E671" s="297" t="n"/>
      <c r="F671" s="297" t="n"/>
      <c r="G671" s="297" t="n"/>
      <c r="H671" s="297" t="n"/>
      <c r="I671" s="236" t="n"/>
      <c r="J671" s="236" t="n"/>
      <c r="K671" s="236" t="n"/>
      <c r="L671" s="236" t="n"/>
    </row>
    <row r="672" ht="15.75" customHeight="1" s="372">
      <c r="A672" s="297" t="n"/>
      <c r="B672" s="297" t="n"/>
      <c r="C672" s="297" t="n"/>
      <c r="D672" s="297" t="n"/>
      <c r="E672" s="297" t="n"/>
      <c r="F672" s="297" t="n"/>
      <c r="G672" s="297" t="n"/>
      <c r="H672" s="297" t="n"/>
      <c r="I672" s="236" t="n"/>
      <c r="J672" s="236" t="n"/>
      <c r="K672" s="236" t="n"/>
      <c r="L672" s="236" t="n"/>
    </row>
    <row r="673" ht="15.75" customHeight="1" s="372">
      <c r="A673" s="297" t="n"/>
      <c r="B673" s="297" t="n"/>
      <c r="C673" s="297" t="n"/>
      <c r="D673" s="297" t="n"/>
      <c r="E673" s="297" t="n"/>
      <c r="F673" s="297" t="n"/>
      <c r="G673" s="297" t="n"/>
      <c r="H673" s="297" t="n"/>
      <c r="I673" s="236" t="n"/>
      <c r="J673" s="236" t="n"/>
      <c r="K673" s="236" t="n"/>
      <c r="L673" s="236" t="n"/>
    </row>
    <row r="674" ht="15.75" customHeight="1" s="372">
      <c r="A674" s="297" t="n"/>
      <c r="B674" s="297" t="n"/>
      <c r="C674" s="297" t="n"/>
      <c r="D674" s="297" t="n"/>
      <c r="E674" s="297" t="n"/>
      <c r="F674" s="297" t="n"/>
      <c r="G674" s="297" t="n"/>
      <c r="H674" s="297" t="n"/>
      <c r="I674" s="236" t="n"/>
      <c r="J674" s="236" t="n"/>
      <c r="K674" s="236" t="n"/>
      <c r="L674" s="236" t="n"/>
    </row>
    <row r="675" ht="15.75" customHeight="1" s="372">
      <c r="A675" s="297" t="n"/>
      <c r="B675" s="297" t="n"/>
      <c r="C675" s="297" t="n"/>
      <c r="D675" s="297" t="n"/>
      <c r="E675" s="297" t="n"/>
      <c r="F675" s="297" t="n"/>
      <c r="G675" s="297" t="n"/>
      <c r="H675" s="297" t="n"/>
      <c r="I675" s="236" t="n"/>
      <c r="J675" s="236" t="n"/>
      <c r="K675" s="236" t="n"/>
      <c r="L675" s="236" t="n"/>
    </row>
    <row r="676" ht="15.75" customHeight="1" s="372">
      <c r="A676" s="297" t="n"/>
      <c r="B676" s="297" t="n"/>
      <c r="C676" s="297" t="n"/>
      <c r="D676" s="297" t="n"/>
      <c r="E676" s="297" t="n"/>
      <c r="F676" s="297" t="n"/>
      <c r="G676" s="297" t="n"/>
      <c r="H676" s="297" t="n"/>
      <c r="I676" s="236" t="n"/>
      <c r="J676" s="236" t="n"/>
      <c r="K676" s="236" t="n"/>
      <c r="L676" s="236" t="n"/>
    </row>
    <row r="677" ht="15.75" customHeight="1" s="372">
      <c r="A677" s="297" t="n"/>
      <c r="B677" s="297" t="n"/>
      <c r="C677" s="297" t="n"/>
      <c r="D677" s="297" t="n"/>
      <c r="E677" s="297" t="n"/>
      <c r="F677" s="297" t="n"/>
      <c r="G677" s="297" t="n"/>
      <c r="H677" s="297" t="n"/>
      <c r="I677" s="236" t="n"/>
      <c r="J677" s="236" t="n"/>
      <c r="K677" s="236" t="n"/>
      <c r="L677" s="236" t="n"/>
    </row>
    <row r="678" ht="15.75" customHeight="1" s="372">
      <c r="A678" s="297" t="n"/>
      <c r="B678" s="297" t="n"/>
      <c r="C678" s="297" t="n"/>
      <c r="D678" s="297" t="n"/>
      <c r="E678" s="297" t="n"/>
      <c r="F678" s="297" t="n"/>
      <c r="G678" s="297" t="n"/>
      <c r="H678" s="297" t="n"/>
      <c r="I678" s="236" t="n"/>
      <c r="J678" s="236" t="n"/>
      <c r="K678" s="236" t="n"/>
      <c r="L678" s="236" t="n"/>
    </row>
    <row r="679" ht="15.75" customHeight="1" s="372">
      <c r="A679" s="297" t="n"/>
      <c r="B679" s="297" t="n"/>
      <c r="C679" s="297" t="n"/>
      <c r="D679" s="297" t="n"/>
      <c r="E679" s="297" t="n"/>
      <c r="F679" s="297" t="n"/>
      <c r="G679" s="297" t="n"/>
      <c r="H679" s="297" t="n"/>
      <c r="I679" s="236" t="n"/>
      <c r="J679" s="236" t="n"/>
      <c r="K679" s="236" t="n"/>
      <c r="L679" s="236" t="n"/>
    </row>
    <row r="680" ht="15.75" customHeight="1" s="372">
      <c r="A680" s="297" t="n"/>
      <c r="B680" s="297" t="n"/>
      <c r="C680" s="297" t="n"/>
      <c r="D680" s="297" t="n"/>
      <c r="E680" s="297" t="n"/>
      <c r="F680" s="297" t="n"/>
      <c r="G680" s="297" t="n"/>
      <c r="H680" s="297" t="n"/>
      <c r="I680" s="236" t="n"/>
      <c r="J680" s="236" t="n"/>
      <c r="K680" s="236" t="n"/>
      <c r="L680" s="236" t="n"/>
    </row>
    <row r="681" ht="15.75" customHeight="1" s="372">
      <c r="A681" s="297" t="n"/>
      <c r="B681" s="297" t="n"/>
      <c r="C681" s="297" t="n"/>
      <c r="D681" s="297" t="n"/>
      <c r="E681" s="297" t="n"/>
      <c r="F681" s="297" t="n"/>
      <c r="G681" s="297" t="n"/>
      <c r="H681" s="297" t="n"/>
      <c r="I681" s="236" t="n"/>
      <c r="J681" s="236" t="n"/>
      <c r="K681" s="236" t="n"/>
      <c r="L681" s="236" t="n"/>
    </row>
    <row r="682" ht="15.75" customHeight="1" s="372">
      <c r="A682" s="297" t="n"/>
      <c r="B682" s="297" t="n"/>
      <c r="C682" s="297" t="n"/>
      <c r="D682" s="297" t="n"/>
      <c r="E682" s="297" t="n"/>
      <c r="F682" s="297" t="n"/>
      <c r="G682" s="297" t="n"/>
      <c r="H682" s="297" t="n"/>
      <c r="I682" s="236" t="n"/>
      <c r="J682" s="236" t="n"/>
      <c r="K682" s="236" t="n"/>
      <c r="L682" s="236" t="n"/>
    </row>
    <row r="683" ht="15.75" customHeight="1" s="372">
      <c r="A683" s="297" t="n"/>
      <c r="B683" s="297" t="n"/>
      <c r="C683" s="297" t="n"/>
      <c r="D683" s="297" t="n"/>
      <c r="E683" s="297" t="n"/>
      <c r="F683" s="297" t="n"/>
      <c r="G683" s="297" t="n"/>
      <c r="H683" s="297" t="n"/>
      <c r="I683" s="236" t="n"/>
      <c r="J683" s="236" t="n"/>
      <c r="K683" s="236" t="n"/>
      <c r="L683" s="236" t="n"/>
    </row>
    <row r="684" ht="15.75" customHeight="1" s="372">
      <c r="A684" s="297" t="n"/>
      <c r="B684" s="297" t="n"/>
      <c r="C684" s="297" t="n"/>
      <c r="D684" s="297" t="n"/>
      <c r="E684" s="297" t="n"/>
      <c r="F684" s="297" t="n"/>
      <c r="G684" s="297" t="n"/>
      <c r="H684" s="297" t="n"/>
      <c r="I684" s="236" t="n"/>
      <c r="J684" s="236" t="n"/>
      <c r="K684" s="236" t="n"/>
      <c r="L684" s="236" t="n"/>
    </row>
    <row r="685" ht="15.75" customHeight="1" s="372">
      <c r="A685" s="297" t="n"/>
      <c r="B685" s="297" t="n"/>
      <c r="C685" s="297" t="n"/>
      <c r="D685" s="297" t="n"/>
      <c r="E685" s="297" t="n"/>
      <c r="F685" s="297" t="n"/>
      <c r="G685" s="297" t="n"/>
      <c r="H685" s="297" t="n"/>
      <c r="I685" s="236" t="n"/>
      <c r="J685" s="236" t="n"/>
      <c r="K685" s="236" t="n"/>
      <c r="L685" s="236" t="n"/>
    </row>
    <row r="686" ht="15.75" customHeight="1" s="372">
      <c r="A686" s="297" t="n"/>
      <c r="B686" s="297" t="n"/>
      <c r="C686" s="297" t="n"/>
      <c r="D686" s="297" t="n"/>
      <c r="E686" s="297" t="n"/>
      <c r="F686" s="297" t="n"/>
      <c r="G686" s="297" t="n"/>
      <c r="H686" s="297" t="n"/>
      <c r="I686" s="236" t="n"/>
      <c r="J686" s="236" t="n"/>
      <c r="K686" s="236" t="n"/>
      <c r="L686" s="236" t="n"/>
    </row>
    <row r="687" ht="15.75" customHeight="1" s="372">
      <c r="A687" s="297" t="n"/>
      <c r="B687" s="297" t="n"/>
      <c r="C687" s="297" t="n"/>
      <c r="D687" s="297" t="n"/>
      <c r="E687" s="297" t="n"/>
      <c r="F687" s="297" t="n"/>
      <c r="G687" s="297" t="n"/>
      <c r="H687" s="297" t="n"/>
      <c r="I687" s="236" t="n"/>
      <c r="J687" s="236" t="n"/>
      <c r="K687" s="236" t="n"/>
      <c r="L687" s="236" t="n"/>
    </row>
    <row r="688" ht="15.75" customHeight="1" s="372">
      <c r="A688" s="297" t="n"/>
      <c r="B688" s="297" t="n"/>
      <c r="C688" s="297" t="n"/>
      <c r="D688" s="297" t="n"/>
      <c r="E688" s="297" t="n"/>
      <c r="F688" s="297" t="n"/>
      <c r="G688" s="297" t="n"/>
      <c r="H688" s="297" t="n"/>
      <c r="I688" s="236" t="n"/>
      <c r="J688" s="236" t="n"/>
      <c r="K688" s="236" t="n"/>
      <c r="L688" s="236" t="n"/>
    </row>
    <row r="689" ht="15.75" customHeight="1" s="372">
      <c r="A689" s="297" t="n"/>
      <c r="B689" s="297" t="n"/>
      <c r="C689" s="297" t="n"/>
      <c r="D689" s="297" t="n"/>
      <c r="E689" s="297" t="n"/>
      <c r="F689" s="297" t="n"/>
      <c r="G689" s="297" t="n"/>
      <c r="H689" s="297" t="n"/>
      <c r="I689" s="236" t="n"/>
      <c r="J689" s="236" t="n"/>
      <c r="K689" s="236" t="n"/>
      <c r="L689" s="236" t="n"/>
    </row>
    <row r="690" ht="15.75" customHeight="1" s="372">
      <c r="A690" s="297" t="n"/>
      <c r="B690" s="297" t="n"/>
      <c r="C690" s="297" t="n"/>
      <c r="D690" s="297" t="n"/>
      <c r="E690" s="297" t="n"/>
      <c r="F690" s="297" t="n"/>
      <c r="G690" s="297" t="n"/>
      <c r="H690" s="297" t="n"/>
      <c r="I690" s="236" t="n"/>
      <c r="J690" s="236" t="n"/>
      <c r="K690" s="236" t="n"/>
      <c r="L690" s="236" t="n"/>
    </row>
    <row r="691" ht="15.75" customHeight="1" s="372">
      <c r="A691" s="297" t="n"/>
      <c r="B691" s="297" t="n"/>
      <c r="C691" s="297" t="n"/>
      <c r="D691" s="297" t="n"/>
      <c r="E691" s="297" t="n"/>
      <c r="F691" s="297" t="n"/>
      <c r="G691" s="297" t="n"/>
      <c r="H691" s="297" t="n"/>
      <c r="I691" s="236" t="n"/>
      <c r="J691" s="236" t="n"/>
      <c r="K691" s="236" t="n"/>
      <c r="L691" s="236" t="n"/>
    </row>
    <row r="692" ht="15.75" customHeight="1" s="372">
      <c r="A692" s="297" t="n"/>
      <c r="B692" s="297" t="n"/>
      <c r="C692" s="297" t="n"/>
      <c r="D692" s="297" t="n"/>
      <c r="E692" s="297" t="n"/>
      <c r="F692" s="297" t="n"/>
      <c r="G692" s="297" t="n"/>
      <c r="H692" s="297" t="n"/>
      <c r="I692" s="236" t="n"/>
      <c r="J692" s="236" t="n"/>
      <c r="K692" s="236" t="n"/>
      <c r="L692" s="236" t="n"/>
    </row>
    <row r="693" ht="15.75" customHeight="1" s="372">
      <c r="A693" s="297" t="n"/>
      <c r="B693" s="297" t="n"/>
      <c r="C693" s="297" t="n"/>
      <c r="D693" s="297" t="n"/>
      <c r="E693" s="297" t="n"/>
      <c r="F693" s="297" t="n"/>
      <c r="G693" s="297" t="n"/>
      <c r="H693" s="297" t="n"/>
      <c r="I693" s="236" t="n"/>
      <c r="J693" s="236" t="n"/>
      <c r="K693" s="236" t="n"/>
      <c r="L693" s="236" t="n"/>
    </row>
    <row r="694" ht="15.75" customHeight="1" s="372">
      <c r="A694" s="297" t="n"/>
      <c r="B694" s="297" t="n"/>
      <c r="C694" s="297" t="n"/>
      <c r="D694" s="297" t="n"/>
      <c r="E694" s="297" t="n"/>
      <c r="F694" s="297" t="n"/>
      <c r="G694" s="297" t="n"/>
      <c r="H694" s="297" t="n"/>
      <c r="I694" s="236" t="n"/>
      <c r="J694" s="236" t="n"/>
      <c r="K694" s="236" t="n"/>
      <c r="L694" s="236" t="n"/>
    </row>
    <row r="695" ht="15.75" customHeight="1" s="372">
      <c r="A695" s="297" t="n"/>
      <c r="B695" s="297" t="n"/>
      <c r="C695" s="297" t="n"/>
      <c r="D695" s="297" t="n"/>
      <c r="E695" s="297" t="n"/>
      <c r="F695" s="297" t="n"/>
      <c r="G695" s="297" t="n"/>
      <c r="H695" s="297" t="n"/>
      <c r="I695" s="236" t="n"/>
      <c r="J695" s="236" t="n"/>
      <c r="K695" s="236" t="n"/>
      <c r="L695" s="236" t="n"/>
    </row>
    <row r="696" ht="15.75" customHeight="1" s="372">
      <c r="A696" s="297" t="n"/>
      <c r="B696" s="297" t="n"/>
      <c r="C696" s="297" t="n"/>
      <c r="D696" s="297" t="n"/>
      <c r="E696" s="297" t="n"/>
      <c r="F696" s="297" t="n"/>
      <c r="G696" s="297" t="n"/>
      <c r="H696" s="297" t="n"/>
      <c r="I696" s="236" t="n"/>
      <c r="J696" s="236" t="n"/>
      <c r="K696" s="236" t="n"/>
      <c r="L696" s="236" t="n"/>
    </row>
    <row r="697" ht="15.75" customHeight="1" s="372">
      <c r="A697" s="297" t="n"/>
      <c r="B697" s="297" t="n"/>
      <c r="C697" s="297" t="n"/>
      <c r="D697" s="297" t="n"/>
      <c r="E697" s="297" t="n"/>
      <c r="F697" s="297" t="n"/>
      <c r="G697" s="297" t="n"/>
      <c r="H697" s="297" t="n"/>
      <c r="I697" s="236" t="n"/>
      <c r="J697" s="236" t="n"/>
      <c r="K697" s="236" t="n"/>
      <c r="L697" s="236" t="n"/>
    </row>
    <row r="698" ht="15.75" customHeight="1" s="372">
      <c r="A698" s="297" t="n"/>
      <c r="B698" s="297" t="n"/>
      <c r="C698" s="297" t="n"/>
      <c r="D698" s="297" t="n"/>
      <c r="E698" s="297" t="n"/>
      <c r="F698" s="297" t="n"/>
      <c r="G698" s="297" t="n"/>
      <c r="H698" s="297" t="n"/>
      <c r="I698" s="236" t="n"/>
      <c r="J698" s="236" t="n"/>
      <c r="K698" s="236" t="n"/>
      <c r="L698" s="236" t="n"/>
    </row>
    <row r="699" ht="15.75" customHeight="1" s="372">
      <c r="A699" s="297" t="n"/>
      <c r="B699" s="297" t="n"/>
      <c r="C699" s="297" t="n"/>
      <c r="D699" s="297" t="n"/>
      <c r="E699" s="297" t="n"/>
      <c r="F699" s="297" t="n"/>
      <c r="G699" s="297" t="n"/>
      <c r="H699" s="297" t="n"/>
      <c r="I699" s="236" t="n"/>
      <c r="J699" s="236" t="n"/>
      <c r="K699" s="236" t="n"/>
      <c r="L699" s="236" t="n"/>
    </row>
    <row r="700" ht="15.75" customHeight="1" s="372">
      <c r="A700" s="297" t="n"/>
      <c r="B700" s="297" t="n"/>
      <c r="C700" s="297" t="n"/>
      <c r="D700" s="297" t="n"/>
      <c r="E700" s="297" t="n"/>
      <c r="F700" s="297" t="n"/>
      <c r="G700" s="297" t="n"/>
      <c r="H700" s="297" t="n"/>
      <c r="I700" s="236" t="n"/>
      <c r="J700" s="236" t="n"/>
      <c r="K700" s="236" t="n"/>
      <c r="L700" s="236" t="n"/>
    </row>
    <row r="701" ht="15.75" customHeight="1" s="372">
      <c r="A701" s="297" t="n"/>
      <c r="B701" s="297" t="n"/>
      <c r="C701" s="297" t="n"/>
      <c r="D701" s="297" t="n"/>
      <c r="E701" s="297" t="n"/>
      <c r="F701" s="297" t="n"/>
      <c r="G701" s="297" t="n"/>
      <c r="H701" s="297" t="n"/>
      <c r="I701" s="236" t="n"/>
      <c r="J701" s="236" t="n"/>
      <c r="K701" s="236" t="n"/>
      <c r="L701" s="236" t="n"/>
    </row>
    <row r="702" ht="15.75" customHeight="1" s="372">
      <c r="A702" s="297" t="n"/>
      <c r="B702" s="297" t="n"/>
      <c r="C702" s="297" t="n"/>
      <c r="D702" s="297" t="n"/>
      <c r="E702" s="297" t="n"/>
      <c r="F702" s="297" t="n"/>
      <c r="G702" s="297" t="n"/>
      <c r="H702" s="297" t="n"/>
      <c r="I702" s="236" t="n"/>
      <c r="J702" s="236" t="n"/>
      <c r="K702" s="236" t="n"/>
      <c r="L702" s="236" t="n"/>
    </row>
    <row r="703" ht="15.75" customHeight="1" s="372">
      <c r="A703" s="297" t="n"/>
      <c r="B703" s="297" t="n"/>
      <c r="C703" s="297" t="n"/>
      <c r="D703" s="297" t="n"/>
      <c r="E703" s="297" t="n"/>
      <c r="F703" s="297" t="n"/>
      <c r="G703" s="297" t="n"/>
      <c r="H703" s="297" t="n"/>
      <c r="I703" s="236" t="n"/>
      <c r="J703" s="236" t="n"/>
      <c r="K703" s="236" t="n"/>
      <c r="L703" s="236" t="n"/>
    </row>
    <row r="704" ht="15.75" customHeight="1" s="372">
      <c r="A704" s="297" t="n"/>
      <c r="B704" s="297" t="n"/>
      <c r="C704" s="297" t="n"/>
      <c r="D704" s="297" t="n"/>
      <c r="E704" s="297" t="n"/>
      <c r="F704" s="297" t="n"/>
      <c r="G704" s="297" t="n"/>
      <c r="H704" s="297" t="n"/>
      <c r="I704" s="236" t="n"/>
      <c r="J704" s="236" t="n"/>
      <c r="K704" s="236" t="n"/>
      <c r="L704" s="236" t="n"/>
    </row>
    <row r="705" ht="15.75" customHeight="1" s="372">
      <c r="A705" s="297" t="n"/>
      <c r="B705" s="297" t="n"/>
      <c r="C705" s="297" t="n"/>
      <c r="D705" s="297" t="n"/>
      <c r="E705" s="297" t="n"/>
      <c r="F705" s="297" t="n"/>
      <c r="G705" s="297" t="n"/>
      <c r="H705" s="297" t="n"/>
      <c r="I705" s="236" t="n"/>
      <c r="J705" s="236" t="n"/>
      <c r="K705" s="236" t="n"/>
      <c r="L705" s="236" t="n"/>
    </row>
    <row r="706" ht="15.75" customHeight="1" s="372">
      <c r="A706" s="297" t="n"/>
      <c r="B706" s="297" t="n"/>
      <c r="C706" s="297" t="n"/>
      <c r="D706" s="297" t="n"/>
      <c r="E706" s="297" t="n"/>
      <c r="F706" s="297" t="n"/>
      <c r="G706" s="297" t="n"/>
      <c r="H706" s="297" t="n"/>
      <c r="I706" s="236" t="n"/>
      <c r="J706" s="236" t="n"/>
      <c r="K706" s="236" t="n"/>
      <c r="L706" s="236" t="n"/>
    </row>
    <row r="707" ht="15.75" customHeight="1" s="372">
      <c r="A707" s="297" t="n"/>
      <c r="B707" s="297" t="n"/>
      <c r="C707" s="297" t="n"/>
      <c r="D707" s="297" t="n"/>
      <c r="E707" s="297" t="n"/>
      <c r="F707" s="297" t="n"/>
      <c r="G707" s="297" t="n"/>
      <c r="H707" s="297" t="n"/>
      <c r="I707" s="236" t="n"/>
      <c r="J707" s="236" t="n"/>
      <c r="K707" s="236" t="n"/>
      <c r="L707" s="236" t="n"/>
    </row>
    <row r="708" ht="15.75" customHeight="1" s="372">
      <c r="A708" s="297" t="n"/>
      <c r="B708" s="297" t="n"/>
      <c r="C708" s="297" t="n"/>
      <c r="D708" s="297" t="n"/>
      <c r="E708" s="297" t="n"/>
      <c r="F708" s="297" t="n"/>
      <c r="G708" s="297" t="n"/>
      <c r="H708" s="297" t="n"/>
      <c r="I708" s="236" t="n"/>
      <c r="J708" s="236" t="n"/>
      <c r="K708" s="236" t="n"/>
      <c r="L708" s="236" t="n"/>
    </row>
    <row r="709" ht="15.75" customHeight="1" s="372">
      <c r="A709" s="297" t="n"/>
      <c r="B709" s="297" t="n"/>
      <c r="C709" s="297" t="n"/>
      <c r="D709" s="297" t="n"/>
      <c r="E709" s="297" t="n"/>
      <c r="F709" s="297" t="n"/>
      <c r="G709" s="297" t="n"/>
      <c r="H709" s="297" t="n"/>
      <c r="I709" s="236" t="n"/>
      <c r="J709" s="236" t="n"/>
      <c r="K709" s="236" t="n"/>
      <c r="L709" s="236" t="n"/>
    </row>
    <row r="710" ht="15.75" customHeight="1" s="372">
      <c r="A710" s="297" t="n"/>
      <c r="B710" s="297" t="n"/>
      <c r="C710" s="297" t="n"/>
      <c r="D710" s="297" t="n"/>
      <c r="E710" s="297" t="n"/>
      <c r="F710" s="297" t="n"/>
      <c r="G710" s="297" t="n"/>
      <c r="H710" s="297" t="n"/>
      <c r="I710" s="236" t="n"/>
      <c r="J710" s="236" t="n"/>
      <c r="K710" s="236" t="n"/>
      <c r="L710" s="236" t="n"/>
    </row>
    <row r="711" ht="15.75" customHeight="1" s="372">
      <c r="A711" s="297" t="n"/>
      <c r="B711" s="297" t="n"/>
      <c r="C711" s="297" t="n"/>
      <c r="D711" s="297" t="n"/>
      <c r="E711" s="297" t="n"/>
      <c r="F711" s="297" t="n"/>
      <c r="G711" s="297" t="n"/>
      <c r="H711" s="297" t="n"/>
      <c r="I711" s="236" t="n"/>
      <c r="J711" s="236" t="n"/>
      <c r="K711" s="236" t="n"/>
      <c r="L711" s="236" t="n"/>
    </row>
    <row r="712" ht="15.75" customHeight="1" s="372">
      <c r="A712" s="297" t="n"/>
      <c r="B712" s="297" t="n"/>
      <c r="C712" s="297" t="n"/>
      <c r="D712" s="297" t="n"/>
      <c r="E712" s="297" t="n"/>
      <c r="F712" s="297" t="n"/>
      <c r="G712" s="297" t="n"/>
      <c r="H712" s="297" t="n"/>
      <c r="I712" s="236" t="n"/>
      <c r="J712" s="236" t="n"/>
      <c r="K712" s="236" t="n"/>
      <c r="L712" s="236" t="n"/>
    </row>
    <row r="713" ht="15.75" customHeight="1" s="372">
      <c r="A713" s="297" t="n"/>
      <c r="B713" s="297" t="n"/>
      <c r="C713" s="297" t="n"/>
      <c r="D713" s="297" t="n"/>
      <c r="E713" s="297" t="n"/>
      <c r="F713" s="297" t="n"/>
      <c r="G713" s="297" t="n"/>
      <c r="H713" s="297" t="n"/>
      <c r="I713" s="236" t="n"/>
      <c r="J713" s="236" t="n"/>
      <c r="K713" s="236" t="n"/>
      <c r="L713" s="236" t="n"/>
    </row>
    <row r="714" ht="15.75" customHeight="1" s="372">
      <c r="A714" s="297" t="n"/>
      <c r="B714" s="297" t="n"/>
      <c r="C714" s="297" t="n"/>
      <c r="D714" s="297" t="n"/>
      <c r="E714" s="297" t="n"/>
      <c r="F714" s="297" t="n"/>
      <c r="G714" s="297" t="n"/>
      <c r="H714" s="297" t="n"/>
      <c r="I714" s="236" t="n"/>
      <c r="J714" s="236" t="n"/>
      <c r="K714" s="236" t="n"/>
      <c r="L714" s="236" t="n"/>
    </row>
    <row r="715" ht="15.75" customHeight="1" s="372">
      <c r="A715" s="297" t="n"/>
      <c r="B715" s="297" t="n"/>
      <c r="C715" s="297" t="n"/>
      <c r="D715" s="297" t="n"/>
      <c r="E715" s="297" t="n"/>
      <c r="F715" s="297" t="n"/>
      <c r="G715" s="297" t="n"/>
      <c r="H715" s="297" t="n"/>
      <c r="I715" s="236" t="n"/>
      <c r="J715" s="236" t="n"/>
      <c r="K715" s="236" t="n"/>
      <c r="L715" s="236" t="n"/>
    </row>
    <row r="716" ht="15.75" customHeight="1" s="372">
      <c r="A716" s="297" t="n"/>
      <c r="B716" s="297" t="n"/>
      <c r="C716" s="297" t="n"/>
      <c r="D716" s="297" t="n"/>
      <c r="E716" s="297" t="n"/>
      <c r="F716" s="297" t="n"/>
      <c r="G716" s="297" t="n"/>
      <c r="H716" s="297" t="n"/>
      <c r="I716" s="236" t="n"/>
      <c r="J716" s="236" t="n"/>
      <c r="K716" s="236" t="n"/>
      <c r="L716" s="236" t="n"/>
    </row>
    <row r="717" ht="15.75" customHeight="1" s="372">
      <c r="A717" s="297" t="n"/>
      <c r="B717" s="297" t="n"/>
      <c r="C717" s="297" t="n"/>
      <c r="D717" s="297" t="n"/>
      <c r="E717" s="297" t="n"/>
      <c r="F717" s="297" t="n"/>
      <c r="G717" s="297" t="n"/>
      <c r="H717" s="297" t="n"/>
      <c r="I717" s="236" t="n"/>
      <c r="J717" s="236" t="n"/>
      <c r="K717" s="236" t="n"/>
      <c r="L717" s="236" t="n"/>
    </row>
    <row r="718" ht="15.75" customHeight="1" s="372">
      <c r="A718" s="297" t="n"/>
      <c r="B718" s="297" t="n"/>
      <c r="C718" s="297" t="n"/>
      <c r="D718" s="297" t="n"/>
      <c r="E718" s="297" t="n"/>
      <c r="F718" s="297" t="n"/>
      <c r="G718" s="297" t="n"/>
      <c r="H718" s="297" t="n"/>
      <c r="I718" s="236" t="n"/>
      <c r="J718" s="236" t="n"/>
      <c r="K718" s="236" t="n"/>
      <c r="L718" s="236" t="n"/>
    </row>
    <row r="719" ht="15.75" customHeight="1" s="372">
      <c r="A719" s="297" t="n"/>
      <c r="B719" s="297" t="n"/>
      <c r="C719" s="297" t="n"/>
      <c r="D719" s="297" t="n"/>
      <c r="E719" s="297" t="n"/>
      <c r="F719" s="297" t="n"/>
      <c r="G719" s="297" t="n"/>
      <c r="H719" s="297" t="n"/>
      <c r="I719" s="236" t="n"/>
      <c r="J719" s="236" t="n"/>
      <c r="K719" s="236" t="n"/>
      <c r="L719" s="236" t="n"/>
    </row>
    <row r="720" ht="15.75" customHeight="1" s="372">
      <c r="A720" s="297" t="n"/>
      <c r="B720" s="297" t="n"/>
      <c r="C720" s="297" t="n"/>
      <c r="D720" s="297" t="n"/>
      <c r="E720" s="297" t="n"/>
      <c r="F720" s="297" t="n"/>
      <c r="G720" s="297" t="n"/>
      <c r="H720" s="297" t="n"/>
      <c r="I720" s="236" t="n"/>
      <c r="J720" s="236" t="n"/>
      <c r="K720" s="236" t="n"/>
      <c r="L720" s="236" t="n"/>
    </row>
    <row r="721" ht="15.75" customHeight="1" s="372">
      <c r="A721" s="297" t="n"/>
      <c r="B721" s="297" t="n"/>
      <c r="C721" s="297" t="n"/>
      <c r="D721" s="297" t="n"/>
      <c r="E721" s="297" t="n"/>
      <c r="F721" s="297" t="n"/>
      <c r="G721" s="297" t="n"/>
      <c r="H721" s="297" t="n"/>
      <c r="I721" s="236" t="n"/>
      <c r="J721" s="236" t="n"/>
      <c r="K721" s="236" t="n"/>
      <c r="L721" s="236" t="n"/>
    </row>
    <row r="722" ht="15.75" customHeight="1" s="372">
      <c r="A722" s="297" t="n"/>
      <c r="B722" s="297" t="n"/>
      <c r="C722" s="297" t="n"/>
      <c r="D722" s="297" t="n"/>
      <c r="E722" s="297" t="n"/>
      <c r="F722" s="297" t="n"/>
      <c r="G722" s="297" t="n"/>
      <c r="H722" s="297" t="n"/>
      <c r="I722" s="236" t="n"/>
      <c r="J722" s="236" t="n"/>
      <c r="K722" s="236" t="n"/>
      <c r="L722" s="236" t="n"/>
    </row>
    <row r="723" ht="15.75" customHeight="1" s="372">
      <c r="A723" s="297" t="n"/>
      <c r="B723" s="297" t="n"/>
      <c r="C723" s="297" t="n"/>
      <c r="D723" s="297" t="n"/>
      <c r="E723" s="297" t="n"/>
      <c r="F723" s="297" t="n"/>
      <c r="G723" s="297" t="n"/>
      <c r="H723" s="297" t="n"/>
      <c r="I723" s="236" t="n"/>
      <c r="J723" s="236" t="n"/>
      <c r="K723" s="236" t="n"/>
      <c r="L723" s="236" t="n"/>
    </row>
    <row r="724" ht="15.75" customHeight="1" s="372">
      <c r="A724" s="297" t="n"/>
      <c r="B724" s="297" t="n"/>
      <c r="C724" s="297" t="n"/>
      <c r="D724" s="297" t="n"/>
      <c r="E724" s="297" t="n"/>
      <c r="F724" s="297" t="n"/>
      <c r="G724" s="297" t="n"/>
      <c r="H724" s="297" t="n"/>
      <c r="I724" s="236" t="n"/>
      <c r="J724" s="236" t="n"/>
      <c r="K724" s="236" t="n"/>
      <c r="L724" s="236" t="n"/>
    </row>
    <row r="725" ht="15.75" customHeight="1" s="372">
      <c r="A725" s="297" t="n"/>
      <c r="B725" s="297" t="n"/>
      <c r="C725" s="297" t="n"/>
      <c r="D725" s="297" t="n"/>
      <c r="E725" s="297" t="n"/>
      <c r="F725" s="297" t="n"/>
      <c r="G725" s="297" t="n"/>
      <c r="H725" s="297" t="n"/>
      <c r="I725" s="236" t="n"/>
      <c r="J725" s="236" t="n"/>
      <c r="K725" s="236" t="n"/>
      <c r="L725" s="236" t="n"/>
    </row>
    <row r="726" ht="15.75" customHeight="1" s="372">
      <c r="A726" s="297" t="n"/>
      <c r="B726" s="297" t="n"/>
      <c r="C726" s="297" t="n"/>
      <c r="D726" s="297" t="n"/>
      <c r="E726" s="297" t="n"/>
      <c r="F726" s="297" t="n"/>
      <c r="G726" s="297" t="n"/>
      <c r="H726" s="297" t="n"/>
      <c r="I726" s="236" t="n"/>
      <c r="J726" s="236" t="n"/>
      <c r="K726" s="236" t="n"/>
      <c r="L726" s="236" t="n"/>
    </row>
    <row r="727" ht="15.75" customHeight="1" s="372">
      <c r="A727" s="297" t="n"/>
      <c r="B727" s="297" t="n"/>
      <c r="C727" s="297" t="n"/>
      <c r="D727" s="297" t="n"/>
      <c r="E727" s="297" t="n"/>
      <c r="F727" s="297" t="n"/>
      <c r="G727" s="297" t="n"/>
      <c r="H727" s="297" t="n"/>
      <c r="I727" s="236" t="n"/>
      <c r="J727" s="236" t="n"/>
      <c r="K727" s="236" t="n"/>
      <c r="L727" s="236" t="n"/>
    </row>
    <row r="728" ht="15.75" customHeight="1" s="372">
      <c r="A728" s="297" t="n"/>
      <c r="B728" s="297" t="n"/>
      <c r="C728" s="297" t="n"/>
      <c r="D728" s="297" t="n"/>
      <c r="E728" s="297" t="n"/>
      <c r="F728" s="297" t="n"/>
      <c r="G728" s="297" t="n"/>
      <c r="H728" s="297" t="n"/>
      <c r="I728" s="236" t="n"/>
      <c r="J728" s="236" t="n"/>
      <c r="K728" s="236" t="n"/>
      <c r="L728" s="236" t="n"/>
    </row>
    <row r="729" ht="15.75" customHeight="1" s="372">
      <c r="A729" s="297" t="n"/>
      <c r="B729" s="297" t="n"/>
      <c r="C729" s="297" t="n"/>
      <c r="D729" s="297" t="n"/>
      <c r="E729" s="297" t="n"/>
      <c r="F729" s="297" t="n"/>
      <c r="G729" s="297" t="n"/>
      <c r="H729" s="297" t="n"/>
      <c r="I729" s="236" t="n"/>
      <c r="J729" s="236" t="n"/>
      <c r="K729" s="236" t="n"/>
      <c r="L729" s="236" t="n"/>
    </row>
    <row r="730" ht="15.75" customHeight="1" s="372">
      <c r="A730" s="297" t="n"/>
      <c r="B730" s="297" t="n"/>
      <c r="C730" s="297" t="n"/>
      <c r="D730" s="297" t="n"/>
      <c r="E730" s="297" t="n"/>
      <c r="F730" s="297" t="n"/>
      <c r="G730" s="297" t="n"/>
      <c r="H730" s="297" t="n"/>
      <c r="I730" s="236" t="n"/>
      <c r="J730" s="236" t="n"/>
      <c r="K730" s="236" t="n"/>
      <c r="L730" s="236" t="n"/>
    </row>
    <row r="731" ht="15.75" customHeight="1" s="372">
      <c r="A731" s="297" t="n"/>
      <c r="B731" s="297" t="n"/>
      <c r="C731" s="297" t="n"/>
      <c r="D731" s="297" t="n"/>
      <c r="E731" s="297" t="n"/>
      <c r="F731" s="297" t="n"/>
      <c r="G731" s="297" t="n"/>
      <c r="H731" s="297" t="n"/>
      <c r="I731" s="236" t="n"/>
      <c r="J731" s="236" t="n"/>
      <c r="K731" s="236" t="n"/>
      <c r="L731" s="236" t="n"/>
    </row>
    <row r="732" ht="15.75" customHeight="1" s="372">
      <c r="A732" s="297" t="n"/>
      <c r="B732" s="297" t="n"/>
      <c r="C732" s="297" t="n"/>
      <c r="D732" s="297" t="n"/>
      <c r="E732" s="297" t="n"/>
      <c r="F732" s="297" t="n"/>
      <c r="G732" s="297" t="n"/>
      <c r="H732" s="297" t="n"/>
      <c r="I732" s="236" t="n"/>
      <c r="J732" s="236" t="n"/>
      <c r="K732" s="236" t="n"/>
      <c r="L732" s="236" t="n"/>
    </row>
    <row r="733" ht="15.75" customHeight="1" s="372">
      <c r="A733" s="297" t="n"/>
      <c r="B733" s="297" t="n"/>
      <c r="C733" s="297" t="n"/>
      <c r="D733" s="297" t="n"/>
      <c r="E733" s="297" t="n"/>
      <c r="F733" s="297" t="n"/>
      <c r="G733" s="297" t="n"/>
      <c r="H733" s="297" t="n"/>
      <c r="I733" s="236" t="n"/>
      <c r="J733" s="236" t="n"/>
      <c r="K733" s="236" t="n"/>
      <c r="L733" s="236" t="n"/>
    </row>
    <row r="734" ht="15.75" customHeight="1" s="372">
      <c r="A734" s="297" t="n"/>
      <c r="B734" s="297" t="n"/>
      <c r="C734" s="297" t="n"/>
      <c r="D734" s="297" t="n"/>
      <c r="E734" s="297" t="n"/>
      <c r="F734" s="297" t="n"/>
      <c r="G734" s="297" t="n"/>
      <c r="H734" s="297" t="n"/>
      <c r="I734" s="236" t="n"/>
      <c r="J734" s="236" t="n"/>
      <c r="K734" s="236" t="n"/>
      <c r="L734" s="236" t="n"/>
    </row>
    <row r="735" ht="15.75" customHeight="1" s="372">
      <c r="A735" s="297" t="n"/>
      <c r="B735" s="297" t="n"/>
      <c r="C735" s="297" t="n"/>
      <c r="D735" s="297" t="n"/>
      <c r="E735" s="297" t="n"/>
      <c r="F735" s="297" t="n"/>
      <c r="G735" s="297" t="n"/>
      <c r="H735" s="297" t="n"/>
      <c r="I735" s="236" t="n"/>
      <c r="J735" s="236" t="n"/>
      <c r="K735" s="236" t="n"/>
      <c r="L735" s="236" t="n"/>
    </row>
    <row r="736" ht="15.75" customHeight="1" s="372">
      <c r="A736" s="297" t="n"/>
      <c r="B736" s="297" t="n"/>
      <c r="C736" s="297" t="n"/>
      <c r="D736" s="297" t="n"/>
      <c r="E736" s="297" t="n"/>
      <c r="F736" s="297" t="n"/>
      <c r="G736" s="297" t="n"/>
      <c r="H736" s="297" t="n"/>
      <c r="I736" s="236" t="n"/>
      <c r="J736" s="236" t="n"/>
      <c r="K736" s="236" t="n"/>
      <c r="L736" s="236" t="n"/>
    </row>
    <row r="737" ht="15.75" customHeight="1" s="372">
      <c r="A737" s="297" t="n"/>
      <c r="B737" s="297" t="n"/>
      <c r="C737" s="297" t="n"/>
      <c r="D737" s="297" t="n"/>
      <c r="E737" s="297" t="n"/>
      <c r="F737" s="297" t="n"/>
      <c r="G737" s="297" t="n"/>
      <c r="H737" s="297" t="n"/>
      <c r="I737" s="236" t="n"/>
      <c r="J737" s="236" t="n"/>
      <c r="K737" s="236" t="n"/>
      <c r="L737" s="236" t="n"/>
    </row>
    <row r="738" ht="15.75" customHeight="1" s="372">
      <c r="A738" s="297" t="n"/>
      <c r="B738" s="297" t="n"/>
      <c r="C738" s="297" t="n"/>
      <c r="D738" s="297" t="n"/>
      <c r="E738" s="297" t="n"/>
      <c r="F738" s="297" t="n"/>
      <c r="G738" s="297" t="n"/>
      <c r="H738" s="297" t="n"/>
      <c r="I738" s="236" t="n"/>
      <c r="J738" s="236" t="n"/>
      <c r="K738" s="236" t="n"/>
      <c r="L738" s="236" t="n"/>
    </row>
    <row r="739" ht="15.75" customHeight="1" s="372">
      <c r="A739" s="297" t="n"/>
      <c r="B739" s="297" t="n"/>
      <c r="C739" s="297" t="n"/>
      <c r="D739" s="297" t="n"/>
      <c r="E739" s="297" t="n"/>
      <c r="F739" s="297" t="n"/>
      <c r="G739" s="297" t="n"/>
      <c r="H739" s="297" t="n"/>
      <c r="I739" s="236" t="n"/>
      <c r="J739" s="236" t="n"/>
      <c r="K739" s="236" t="n"/>
      <c r="L739" s="236" t="n"/>
    </row>
    <row r="740" ht="15.75" customHeight="1" s="372">
      <c r="A740" s="297" t="n"/>
      <c r="B740" s="297" t="n"/>
      <c r="C740" s="297" t="n"/>
      <c r="D740" s="297" t="n"/>
      <c r="E740" s="297" t="n"/>
      <c r="F740" s="297" t="n"/>
      <c r="G740" s="297" t="n"/>
      <c r="H740" s="297" t="n"/>
      <c r="I740" s="236" t="n"/>
      <c r="J740" s="236" t="n"/>
      <c r="K740" s="236" t="n"/>
      <c r="L740" s="236" t="n"/>
    </row>
    <row r="741" ht="15.75" customHeight="1" s="372">
      <c r="A741" s="297" t="n"/>
      <c r="B741" s="297" t="n"/>
      <c r="C741" s="297" t="n"/>
      <c r="D741" s="297" t="n"/>
      <c r="E741" s="297" t="n"/>
      <c r="F741" s="297" t="n"/>
      <c r="G741" s="297" t="n"/>
      <c r="H741" s="297" t="n"/>
      <c r="I741" s="236" t="n"/>
      <c r="J741" s="236" t="n"/>
      <c r="K741" s="236" t="n"/>
      <c r="L741" s="236" t="n"/>
    </row>
    <row r="742" ht="15.75" customHeight="1" s="372">
      <c r="A742" s="297" t="n"/>
      <c r="B742" s="297" t="n"/>
      <c r="C742" s="297" t="n"/>
      <c r="D742" s="297" t="n"/>
      <c r="E742" s="297" t="n"/>
      <c r="F742" s="297" t="n"/>
      <c r="G742" s="297" t="n"/>
      <c r="H742" s="297" t="n"/>
      <c r="I742" s="236" t="n"/>
      <c r="J742" s="236" t="n"/>
      <c r="K742" s="236" t="n"/>
      <c r="L742" s="236" t="n"/>
    </row>
    <row r="743" ht="15.75" customHeight="1" s="372">
      <c r="A743" s="297" t="n"/>
      <c r="B743" s="297" t="n"/>
      <c r="C743" s="297" t="n"/>
      <c r="D743" s="297" t="n"/>
      <c r="E743" s="297" t="n"/>
      <c r="F743" s="297" t="n"/>
      <c r="G743" s="297" t="n"/>
      <c r="H743" s="297" t="n"/>
      <c r="I743" s="236" t="n"/>
      <c r="J743" s="236" t="n"/>
      <c r="K743" s="236" t="n"/>
      <c r="L743" s="236" t="n"/>
    </row>
    <row r="744" ht="15.75" customHeight="1" s="372">
      <c r="A744" s="297" t="n"/>
      <c r="B744" s="297" t="n"/>
      <c r="C744" s="297" t="n"/>
      <c r="D744" s="297" t="n"/>
      <c r="E744" s="297" t="n"/>
      <c r="F744" s="297" t="n"/>
      <c r="G744" s="297" t="n"/>
      <c r="H744" s="297" t="n"/>
      <c r="I744" s="236" t="n"/>
      <c r="J744" s="236" t="n"/>
      <c r="K744" s="236" t="n"/>
      <c r="L744" s="236" t="n"/>
    </row>
    <row r="745" ht="15.75" customHeight="1" s="372">
      <c r="A745" s="297" t="n"/>
      <c r="B745" s="297" t="n"/>
      <c r="C745" s="297" t="n"/>
      <c r="D745" s="297" t="n"/>
      <c r="E745" s="297" t="n"/>
      <c r="F745" s="297" t="n"/>
      <c r="G745" s="297" t="n"/>
      <c r="H745" s="297" t="n"/>
      <c r="I745" s="236" t="n"/>
      <c r="J745" s="236" t="n"/>
      <c r="K745" s="236" t="n"/>
      <c r="L745" s="236" t="n"/>
    </row>
    <row r="746" ht="15.75" customHeight="1" s="372">
      <c r="A746" s="297" t="n"/>
      <c r="B746" s="297" t="n"/>
      <c r="C746" s="297" t="n"/>
      <c r="D746" s="297" t="n"/>
      <c r="E746" s="297" t="n"/>
      <c r="F746" s="297" t="n"/>
      <c r="G746" s="297" t="n"/>
      <c r="H746" s="297" t="n"/>
      <c r="I746" s="236" t="n"/>
      <c r="J746" s="236" t="n"/>
      <c r="K746" s="236" t="n"/>
      <c r="L746" s="236" t="n"/>
    </row>
    <row r="747" ht="15.75" customHeight="1" s="372">
      <c r="A747" s="297" t="n"/>
      <c r="B747" s="297" t="n"/>
      <c r="C747" s="297" t="n"/>
      <c r="D747" s="297" t="n"/>
      <c r="E747" s="297" t="n"/>
      <c r="F747" s="297" t="n"/>
      <c r="G747" s="297" t="n"/>
      <c r="H747" s="297" t="n"/>
      <c r="I747" s="236" t="n"/>
      <c r="J747" s="236" t="n"/>
      <c r="K747" s="236" t="n"/>
      <c r="L747" s="236" t="n"/>
    </row>
    <row r="748" ht="15.75" customHeight="1" s="372">
      <c r="A748" s="297" t="n"/>
      <c r="B748" s="297" t="n"/>
      <c r="C748" s="297" t="n"/>
      <c r="D748" s="297" t="n"/>
      <c r="E748" s="297" t="n"/>
      <c r="F748" s="297" t="n"/>
      <c r="G748" s="297" t="n"/>
      <c r="H748" s="297" t="n"/>
      <c r="I748" s="236" t="n"/>
      <c r="J748" s="236" t="n"/>
      <c r="K748" s="236" t="n"/>
      <c r="L748" s="236" t="n"/>
    </row>
    <row r="749" ht="15.75" customHeight="1" s="372">
      <c r="A749" s="297" t="n"/>
      <c r="B749" s="297" t="n"/>
      <c r="C749" s="297" t="n"/>
      <c r="D749" s="297" t="n"/>
      <c r="E749" s="297" t="n"/>
      <c r="F749" s="297" t="n"/>
      <c r="G749" s="297" t="n"/>
      <c r="H749" s="297" t="n"/>
      <c r="I749" s="236" t="n"/>
      <c r="J749" s="236" t="n"/>
      <c r="K749" s="236" t="n"/>
      <c r="L749" s="236" t="n"/>
    </row>
    <row r="750" ht="15.75" customHeight="1" s="372">
      <c r="A750" s="297" t="n"/>
      <c r="B750" s="297" t="n"/>
      <c r="C750" s="297" t="n"/>
      <c r="D750" s="297" t="n"/>
      <c r="E750" s="297" t="n"/>
      <c r="F750" s="297" t="n"/>
      <c r="G750" s="297" t="n"/>
      <c r="H750" s="297" t="n"/>
      <c r="I750" s="236" t="n"/>
      <c r="J750" s="236" t="n"/>
      <c r="K750" s="236" t="n"/>
      <c r="L750" s="236" t="n"/>
    </row>
    <row r="751" ht="15.75" customHeight="1" s="372">
      <c r="A751" s="297" t="n"/>
      <c r="B751" s="297" t="n"/>
      <c r="C751" s="297" t="n"/>
      <c r="D751" s="297" t="n"/>
      <c r="E751" s="297" t="n"/>
      <c r="F751" s="297" t="n"/>
      <c r="G751" s="297" t="n"/>
      <c r="H751" s="297" t="n"/>
      <c r="I751" s="236" t="n"/>
      <c r="J751" s="236" t="n"/>
      <c r="K751" s="236" t="n"/>
      <c r="L751" s="236" t="n"/>
    </row>
    <row r="752" ht="15.75" customHeight="1" s="372">
      <c r="A752" s="297" t="n"/>
      <c r="B752" s="297" t="n"/>
      <c r="C752" s="297" t="n"/>
      <c r="D752" s="297" t="n"/>
      <c r="E752" s="297" t="n"/>
      <c r="F752" s="297" t="n"/>
      <c r="G752" s="297" t="n"/>
      <c r="H752" s="297" t="n"/>
      <c r="I752" s="236" t="n"/>
      <c r="J752" s="236" t="n"/>
      <c r="K752" s="236" t="n"/>
      <c r="L752" s="236" t="n"/>
    </row>
    <row r="753" ht="15.75" customHeight="1" s="372">
      <c r="A753" s="297" t="n"/>
      <c r="B753" s="297" t="n"/>
      <c r="C753" s="297" t="n"/>
      <c r="D753" s="297" t="n"/>
      <c r="E753" s="297" t="n"/>
      <c r="F753" s="297" t="n"/>
      <c r="G753" s="297" t="n"/>
      <c r="H753" s="297" t="n"/>
      <c r="I753" s="236" t="n"/>
      <c r="J753" s="236" t="n"/>
      <c r="K753" s="236" t="n"/>
      <c r="L753" s="236" t="n"/>
    </row>
    <row r="754" ht="15.75" customHeight="1" s="372">
      <c r="A754" s="297" t="n"/>
      <c r="B754" s="297" t="n"/>
      <c r="C754" s="297" t="n"/>
      <c r="D754" s="297" t="n"/>
      <c r="E754" s="297" t="n"/>
      <c r="F754" s="297" t="n"/>
      <c r="G754" s="297" t="n"/>
      <c r="H754" s="297" t="n"/>
      <c r="I754" s="236" t="n"/>
      <c r="J754" s="236" t="n"/>
      <c r="K754" s="236" t="n"/>
      <c r="L754" s="236" t="n"/>
    </row>
    <row r="755" ht="15.75" customHeight="1" s="372">
      <c r="A755" s="297" t="n"/>
      <c r="B755" s="297" t="n"/>
      <c r="C755" s="297" t="n"/>
      <c r="D755" s="297" t="n"/>
      <c r="E755" s="297" t="n"/>
      <c r="F755" s="297" t="n"/>
      <c r="G755" s="297" t="n"/>
      <c r="H755" s="297" t="n"/>
      <c r="I755" s="236" t="n"/>
      <c r="J755" s="236" t="n"/>
      <c r="K755" s="236" t="n"/>
      <c r="L755" s="236" t="n"/>
    </row>
    <row r="756" ht="15.75" customHeight="1" s="372">
      <c r="A756" s="297" t="n"/>
      <c r="B756" s="297" t="n"/>
      <c r="C756" s="297" t="n"/>
      <c r="D756" s="297" t="n"/>
      <c r="E756" s="297" t="n"/>
      <c r="F756" s="297" t="n"/>
      <c r="G756" s="297" t="n"/>
      <c r="H756" s="297" t="n"/>
      <c r="I756" s="236" t="n"/>
      <c r="J756" s="236" t="n"/>
      <c r="K756" s="236" t="n"/>
      <c r="L756" s="236" t="n"/>
    </row>
    <row r="757" ht="15.75" customHeight="1" s="372">
      <c r="A757" s="297" t="n"/>
      <c r="B757" s="297" t="n"/>
      <c r="C757" s="297" t="n"/>
      <c r="D757" s="297" t="n"/>
      <c r="E757" s="297" t="n"/>
      <c r="F757" s="297" t="n"/>
      <c r="G757" s="297" t="n"/>
      <c r="H757" s="297" t="n"/>
      <c r="I757" s="236" t="n"/>
      <c r="J757" s="236" t="n"/>
      <c r="K757" s="236" t="n"/>
      <c r="L757" s="236" t="n"/>
    </row>
    <row r="758" ht="15.75" customHeight="1" s="372">
      <c r="A758" s="297" t="n"/>
      <c r="B758" s="297" t="n"/>
      <c r="C758" s="297" t="n"/>
      <c r="D758" s="297" t="n"/>
      <c r="E758" s="297" t="n"/>
      <c r="F758" s="297" t="n"/>
      <c r="G758" s="297" t="n"/>
      <c r="H758" s="297" t="n"/>
      <c r="I758" s="236" t="n"/>
      <c r="J758" s="236" t="n"/>
      <c r="K758" s="236" t="n"/>
      <c r="L758" s="236" t="n"/>
    </row>
    <row r="759" ht="15.75" customHeight="1" s="372">
      <c r="A759" s="297" t="n"/>
      <c r="B759" s="297" t="n"/>
      <c r="C759" s="297" t="n"/>
      <c r="D759" s="297" t="n"/>
      <c r="E759" s="297" t="n"/>
      <c r="F759" s="297" t="n"/>
      <c r="G759" s="297" t="n"/>
      <c r="H759" s="297" t="n"/>
      <c r="I759" s="236" t="n"/>
      <c r="J759" s="236" t="n"/>
      <c r="K759" s="236" t="n"/>
      <c r="L759" s="236" t="n"/>
    </row>
    <row r="760" ht="15.75" customHeight="1" s="372">
      <c r="A760" s="297" t="n"/>
      <c r="B760" s="297" t="n"/>
      <c r="C760" s="297" t="n"/>
      <c r="D760" s="297" t="n"/>
      <c r="E760" s="297" t="n"/>
      <c r="F760" s="297" t="n"/>
      <c r="G760" s="297" t="n"/>
      <c r="H760" s="297" t="n"/>
      <c r="I760" s="236" t="n"/>
      <c r="J760" s="236" t="n"/>
      <c r="K760" s="236" t="n"/>
      <c r="L760" s="236" t="n"/>
    </row>
    <row r="761" ht="15.75" customHeight="1" s="372">
      <c r="A761" s="297" t="n"/>
      <c r="B761" s="297" t="n"/>
      <c r="C761" s="297" t="n"/>
      <c r="D761" s="297" t="n"/>
      <c r="E761" s="297" t="n"/>
      <c r="F761" s="297" t="n"/>
      <c r="G761" s="297" t="n"/>
      <c r="H761" s="297" t="n"/>
      <c r="I761" s="236" t="n"/>
      <c r="J761" s="236" t="n"/>
      <c r="K761" s="236" t="n"/>
      <c r="L761" s="236" t="n"/>
    </row>
    <row r="762" ht="15.75" customHeight="1" s="372">
      <c r="A762" s="297" t="n"/>
      <c r="B762" s="297" t="n"/>
      <c r="C762" s="297" t="n"/>
      <c r="D762" s="297" t="n"/>
      <c r="E762" s="297" t="n"/>
      <c r="F762" s="297" t="n"/>
      <c r="G762" s="297" t="n"/>
      <c r="H762" s="297" t="n"/>
      <c r="I762" s="236" t="n"/>
      <c r="J762" s="236" t="n"/>
      <c r="K762" s="236" t="n"/>
      <c r="L762" s="236" t="n"/>
    </row>
    <row r="763" ht="15.75" customHeight="1" s="372">
      <c r="A763" s="297" t="n"/>
      <c r="B763" s="297" t="n"/>
      <c r="C763" s="297" t="n"/>
      <c r="D763" s="297" t="n"/>
      <c r="E763" s="297" t="n"/>
      <c r="F763" s="297" t="n"/>
      <c r="G763" s="297" t="n"/>
      <c r="H763" s="297" t="n"/>
      <c r="I763" s="236" t="n"/>
      <c r="J763" s="236" t="n"/>
      <c r="K763" s="236" t="n"/>
      <c r="L763" s="236" t="n"/>
    </row>
    <row r="764" ht="15.75" customHeight="1" s="372">
      <c r="A764" s="297" t="n"/>
      <c r="B764" s="297" t="n"/>
      <c r="C764" s="297" t="n"/>
      <c r="D764" s="297" t="n"/>
      <c r="E764" s="297" t="n"/>
      <c r="F764" s="297" t="n"/>
      <c r="G764" s="297" t="n"/>
      <c r="H764" s="297" t="n"/>
      <c r="I764" s="236" t="n"/>
      <c r="J764" s="236" t="n"/>
      <c r="K764" s="236" t="n"/>
      <c r="L764" s="236" t="n"/>
    </row>
    <row r="765" ht="15.75" customHeight="1" s="372">
      <c r="A765" s="297" t="n"/>
      <c r="B765" s="297" t="n"/>
      <c r="C765" s="297" t="n"/>
      <c r="D765" s="297" t="n"/>
      <c r="E765" s="297" t="n"/>
      <c r="F765" s="297" t="n"/>
      <c r="G765" s="297" t="n"/>
      <c r="H765" s="297" t="n"/>
      <c r="I765" s="236" t="n"/>
      <c r="J765" s="236" t="n"/>
      <c r="K765" s="236" t="n"/>
      <c r="L765" s="236" t="n"/>
    </row>
    <row r="766" ht="15.75" customHeight="1" s="372">
      <c r="A766" s="297" t="n"/>
      <c r="B766" s="297" t="n"/>
      <c r="C766" s="297" t="n"/>
      <c r="D766" s="297" t="n"/>
      <c r="E766" s="297" t="n"/>
      <c r="F766" s="297" t="n"/>
      <c r="G766" s="297" t="n"/>
      <c r="H766" s="297" t="n"/>
      <c r="I766" s="236" t="n"/>
      <c r="J766" s="236" t="n"/>
      <c r="K766" s="236" t="n"/>
      <c r="L766" s="236" t="n"/>
    </row>
    <row r="767" ht="15.75" customHeight="1" s="372">
      <c r="A767" s="297" t="n"/>
      <c r="B767" s="297" t="n"/>
      <c r="C767" s="297" t="n"/>
      <c r="D767" s="297" t="n"/>
      <c r="E767" s="297" t="n"/>
      <c r="F767" s="297" t="n"/>
      <c r="G767" s="297" t="n"/>
      <c r="H767" s="297" t="n"/>
      <c r="I767" s="236" t="n"/>
      <c r="J767" s="236" t="n"/>
      <c r="K767" s="236" t="n"/>
      <c r="L767" s="236" t="n"/>
    </row>
    <row r="768" ht="15.75" customHeight="1" s="372">
      <c r="A768" s="297" t="n"/>
      <c r="B768" s="297" t="n"/>
      <c r="C768" s="297" t="n"/>
      <c r="D768" s="297" t="n"/>
      <c r="E768" s="297" t="n"/>
      <c r="F768" s="297" t="n"/>
      <c r="G768" s="297" t="n"/>
      <c r="H768" s="297" t="n"/>
      <c r="I768" s="236" t="n"/>
      <c r="J768" s="236" t="n"/>
      <c r="K768" s="236" t="n"/>
      <c r="L768" s="236" t="n"/>
    </row>
    <row r="769" ht="15.75" customHeight="1" s="372">
      <c r="A769" s="297" t="n"/>
      <c r="B769" s="297" t="n"/>
      <c r="C769" s="297" t="n"/>
      <c r="D769" s="297" t="n"/>
      <c r="E769" s="297" t="n"/>
      <c r="F769" s="297" t="n"/>
      <c r="G769" s="297" t="n"/>
      <c r="H769" s="297" t="n"/>
      <c r="I769" s="236" t="n"/>
      <c r="J769" s="236" t="n"/>
      <c r="K769" s="236" t="n"/>
      <c r="L769" s="236" t="n"/>
    </row>
    <row r="770" ht="15.75" customHeight="1" s="372">
      <c r="A770" s="297" t="n"/>
      <c r="B770" s="297" t="n"/>
      <c r="C770" s="297" t="n"/>
      <c r="D770" s="297" t="n"/>
      <c r="E770" s="297" t="n"/>
      <c r="F770" s="297" t="n"/>
      <c r="G770" s="297" t="n"/>
      <c r="H770" s="297" t="n"/>
      <c r="I770" s="236" t="n"/>
      <c r="J770" s="236" t="n"/>
      <c r="K770" s="236" t="n"/>
      <c r="L770" s="236" t="n"/>
    </row>
    <row r="771" ht="15.75" customHeight="1" s="372">
      <c r="A771" s="297" t="n"/>
      <c r="B771" s="297" t="n"/>
      <c r="C771" s="297" t="n"/>
      <c r="D771" s="297" t="n"/>
      <c r="E771" s="297" t="n"/>
      <c r="F771" s="297" t="n"/>
      <c r="G771" s="297" t="n"/>
      <c r="H771" s="297" t="n"/>
      <c r="I771" s="236" t="n"/>
      <c r="J771" s="236" t="n"/>
      <c r="K771" s="236" t="n"/>
      <c r="L771" s="236" t="n"/>
    </row>
    <row r="772" ht="15.75" customHeight="1" s="372">
      <c r="A772" s="297" t="n"/>
      <c r="B772" s="297" t="n"/>
      <c r="C772" s="297" t="n"/>
      <c r="D772" s="297" t="n"/>
      <c r="E772" s="297" t="n"/>
      <c r="F772" s="297" t="n"/>
      <c r="G772" s="297" t="n"/>
      <c r="H772" s="297" t="n"/>
      <c r="I772" s="236" t="n"/>
      <c r="J772" s="236" t="n"/>
      <c r="K772" s="236" t="n"/>
      <c r="L772" s="236" t="n"/>
    </row>
    <row r="773" ht="15.75" customHeight="1" s="372">
      <c r="A773" s="297" t="n"/>
      <c r="B773" s="297" t="n"/>
      <c r="C773" s="297" t="n"/>
      <c r="D773" s="297" t="n"/>
      <c r="E773" s="297" t="n"/>
      <c r="F773" s="297" t="n"/>
      <c r="G773" s="297" t="n"/>
      <c r="H773" s="297" t="n"/>
      <c r="I773" s="236" t="n"/>
      <c r="J773" s="236" t="n"/>
      <c r="K773" s="236" t="n"/>
      <c r="L773" s="236" t="n"/>
    </row>
    <row r="774" ht="15.75" customHeight="1" s="372">
      <c r="A774" s="297" t="n"/>
      <c r="B774" s="297" t="n"/>
      <c r="C774" s="297" t="n"/>
      <c r="D774" s="297" t="n"/>
      <c r="E774" s="297" t="n"/>
      <c r="F774" s="297" t="n"/>
      <c r="G774" s="297" t="n"/>
      <c r="H774" s="297" t="n"/>
      <c r="I774" s="236" t="n"/>
      <c r="J774" s="236" t="n"/>
      <c r="K774" s="236" t="n"/>
      <c r="L774" s="236" t="n"/>
    </row>
    <row r="775" ht="15.75" customHeight="1" s="372">
      <c r="A775" s="297" t="n"/>
      <c r="B775" s="297" t="n"/>
      <c r="C775" s="297" t="n"/>
      <c r="D775" s="297" t="n"/>
      <c r="E775" s="297" t="n"/>
      <c r="F775" s="297" t="n"/>
      <c r="G775" s="297" t="n"/>
      <c r="H775" s="297" t="n"/>
      <c r="I775" s="236" t="n"/>
      <c r="J775" s="236" t="n"/>
      <c r="K775" s="236" t="n"/>
      <c r="L775" s="236" t="n"/>
    </row>
    <row r="776" ht="15.75" customHeight="1" s="372">
      <c r="A776" s="297" t="n"/>
      <c r="B776" s="297" t="n"/>
      <c r="C776" s="297" t="n"/>
      <c r="D776" s="297" t="n"/>
      <c r="E776" s="297" t="n"/>
      <c r="F776" s="297" t="n"/>
      <c r="G776" s="297" t="n"/>
      <c r="H776" s="297" t="n"/>
      <c r="I776" s="236" t="n"/>
      <c r="J776" s="236" t="n"/>
      <c r="K776" s="236" t="n"/>
      <c r="L776" s="236" t="n"/>
    </row>
    <row r="777" ht="15.75" customHeight="1" s="372">
      <c r="A777" s="297" t="n"/>
      <c r="B777" s="297" t="n"/>
      <c r="C777" s="297" t="n"/>
      <c r="D777" s="297" t="n"/>
      <c r="E777" s="297" t="n"/>
      <c r="F777" s="297" t="n"/>
      <c r="G777" s="297" t="n"/>
      <c r="H777" s="297" t="n"/>
      <c r="I777" s="236" t="n"/>
      <c r="J777" s="236" t="n"/>
      <c r="K777" s="236" t="n"/>
      <c r="L777" s="236" t="n"/>
    </row>
    <row r="778" ht="15.75" customHeight="1" s="372">
      <c r="A778" s="297" t="n"/>
      <c r="B778" s="297" t="n"/>
      <c r="C778" s="297" t="n"/>
      <c r="D778" s="297" t="n"/>
      <c r="E778" s="297" t="n"/>
      <c r="F778" s="297" t="n"/>
      <c r="G778" s="297" t="n"/>
      <c r="H778" s="297" t="n"/>
      <c r="I778" s="236" t="n"/>
      <c r="J778" s="236" t="n"/>
      <c r="K778" s="236" t="n"/>
      <c r="L778" s="236" t="n"/>
    </row>
    <row r="779" ht="15.75" customHeight="1" s="372">
      <c r="A779" s="297" t="n"/>
      <c r="B779" s="297" t="n"/>
      <c r="C779" s="297" t="n"/>
      <c r="D779" s="297" t="n"/>
      <c r="E779" s="297" t="n"/>
      <c r="F779" s="297" t="n"/>
      <c r="G779" s="297" t="n"/>
      <c r="H779" s="297" t="n"/>
      <c r="I779" s="236" t="n"/>
      <c r="J779" s="236" t="n"/>
      <c r="K779" s="236" t="n"/>
      <c r="L779" s="236" t="n"/>
    </row>
    <row r="780" ht="15.75" customHeight="1" s="372">
      <c r="A780" s="297" t="n"/>
      <c r="B780" s="297" t="n"/>
      <c r="C780" s="297" t="n"/>
      <c r="D780" s="297" t="n"/>
      <c r="E780" s="297" t="n"/>
      <c r="F780" s="297" t="n"/>
      <c r="G780" s="297" t="n"/>
      <c r="H780" s="297" t="n"/>
      <c r="I780" s="236" t="n"/>
      <c r="J780" s="236" t="n"/>
      <c r="K780" s="236" t="n"/>
      <c r="L780" s="236" t="n"/>
    </row>
    <row r="781" ht="15.75" customHeight="1" s="372">
      <c r="A781" s="297" t="n"/>
      <c r="B781" s="297" t="n"/>
      <c r="C781" s="297" t="n"/>
      <c r="D781" s="297" t="n"/>
      <c r="E781" s="297" t="n"/>
      <c r="F781" s="297" t="n"/>
      <c r="G781" s="297" t="n"/>
      <c r="H781" s="297" t="n"/>
      <c r="I781" s="236" t="n"/>
      <c r="J781" s="236" t="n"/>
      <c r="K781" s="236" t="n"/>
      <c r="L781" s="236" t="n"/>
    </row>
    <row r="782" ht="15.75" customHeight="1" s="372">
      <c r="A782" s="297" t="n"/>
      <c r="B782" s="297" t="n"/>
      <c r="C782" s="297" t="n"/>
      <c r="D782" s="297" t="n"/>
      <c r="E782" s="297" t="n"/>
      <c r="F782" s="297" t="n"/>
      <c r="G782" s="297" t="n"/>
      <c r="H782" s="297" t="n"/>
      <c r="I782" s="236" t="n"/>
      <c r="J782" s="236" t="n"/>
      <c r="K782" s="236" t="n"/>
      <c r="L782" s="236" t="n"/>
    </row>
    <row r="783" ht="15.75" customHeight="1" s="372">
      <c r="A783" s="297" t="n"/>
      <c r="B783" s="297" t="n"/>
      <c r="C783" s="297" t="n"/>
      <c r="D783" s="297" t="n"/>
      <c r="E783" s="297" t="n"/>
      <c r="F783" s="297" t="n"/>
      <c r="G783" s="297" t="n"/>
      <c r="H783" s="297" t="n"/>
      <c r="I783" s="236" t="n"/>
      <c r="J783" s="236" t="n"/>
      <c r="K783" s="236" t="n"/>
      <c r="L783" s="236" t="n"/>
    </row>
    <row r="784" ht="15.75" customHeight="1" s="372">
      <c r="A784" s="297" t="n"/>
      <c r="B784" s="297" t="n"/>
      <c r="C784" s="297" t="n"/>
      <c r="D784" s="297" t="n"/>
      <c r="E784" s="297" t="n"/>
      <c r="F784" s="297" t="n"/>
      <c r="G784" s="297" t="n"/>
      <c r="H784" s="297" t="n"/>
      <c r="I784" s="236" t="n"/>
      <c r="J784" s="236" t="n"/>
      <c r="K784" s="236" t="n"/>
      <c r="L784" s="236" t="n"/>
    </row>
    <row r="785" ht="15.75" customHeight="1" s="372">
      <c r="A785" s="297" t="n"/>
      <c r="B785" s="297" t="n"/>
      <c r="C785" s="297" t="n"/>
      <c r="D785" s="297" t="n"/>
      <c r="E785" s="297" t="n"/>
      <c r="F785" s="297" t="n"/>
      <c r="G785" s="297" t="n"/>
      <c r="H785" s="297" t="n"/>
      <c r="I785" s="236" t="n"/>
      <c r="J785" s="236" t="n"/>
      <c r="K785" s="236" t="n"/>
      <c r="L785" s="236" t="n"/>
    </row>
    <row r="786" ht="15.75" customHeight="1" s="372">
      <c r="A786" s="297" t="n"/>
      <c r="B786" s="297" t="n"/>
      <c r="C786" s="297" t="n"/>
      <c r="D786" s="297" t="n"/>
      <c r="E786" s="297" t="n"/>
      <c r="F786" s="297" t="n"/>
      <c r="G786" s="297" t="n"/>
      <c r="H786" s="297" t="n"/>
      <c r="I786" s="236" t="n"/>
      <c r="J786" s="236" t="n"/>
      <c r="K786" s="236" t="n"/>
      <c r="L786" s="236" t="n"/>
    </row>
    <row r="787" ht="15.75" customHeight="1" s="372">
      <c r="A787" s="297" t="n"/>
      <c r="B787" s="297" t="n"/>
      <c r="C787" s="297" t="n"/>
      <c r="D787" s="297" t="n"/>
      <c r="E787" s="297" t="n"/>
      <c r="F787" s="297" t="n"/>
      <c r="G787" s="297" t="n"/>
      <c r="H787" s="297" t="n"/>
      <c r="I787" s="236" t="n"/>
      <c r="J787" s="236" t="n"/>
      <c r="K787" s="236" t="n"/>
      <c r="L787" s="236" t="n"/>
    </row>
    <row r="788" ht="15.75" customHeight="1" s="372">
      <c r="A788" s="297" t="n"/>
      <c r="B788" s="297" t="n"/>
      <c r="C788" s="297" t="n"/>
      <c r="D788" s="297" t="n"/>
      <c r="E788" s="297" t="n"/>
      <c r="F788" s="297" t="n"/>
      <c r="G788" s="297" t="n"/>
      <c r="H788" s="297" t="n"/>
      <c r="I788" s="236" t="n"/>
      <c r="J788" s="236" t="n"/>
      <c r="K788" s="236" t="n"/>
      <c r="L788" s="236" t="n"/>
    </row>
    <row r="789" ht="15.75" customHeight="1" s="372">
      <c r="A789" s="297" t="n"/>
      <c r="B789" s="297" t="n"/>
      <c r="C789" s="297" t="n"/>
      <c r="D789" s="297" t="n"/>
      <c r="E789" s="297" t="n"/>
      <c r="F789" s="297" t="n"/>
      <c r="G789" s="297" t="n"/>
      <c r="H789" s="297" t="n"/>
      <c r="I789" s="236" t="n"/>
      <c r="J789" s="236" t="n"/>
      <c r="K789" s="236" t="n"/>
      <c r="L789" s="236" t="n"/>
    </row>
    <row r="790" ht="15.75" customHeight="1" s="372">
      <c r="A790" s="297" t="n"/>
      <c r="B790" s="297" t="n"/>
      <c r="C790" s="297" t="n"/>
      <c r="D790" s="297" t="n"/>
      <c r="E790" s="297" t="n"/>
      <c r="F790" s="297" t="n"/>
      <c r="G790" s="297" t="n"/>
      <c r="H790" s="297" t="n"/>
      <c r="I790" s="236" t="n"/>
      <c r="J790" s="236" t="n"/>
      <c r="K790" s="236" t="n"/>
      <c r="L790" s="236" t="n"/>
    </row>
    <row r="791" ht="15.75" customHeight="1" s="372">
      <c r="A791" s="297" t="n"/>
      <c r="B791" s="297" t="n"/>
      <c r="C791" s="297" t="n"/>
      <c r="D791" s="297" t="n"/>
      <c r="E791" s="297" t="n"/>
      <c r="F791" s="297" t="n"/>
      <c r="G791" s="297" t="n"/>
      <c r="H791" s="297" t="n"/>
      <c r="I791" s="236" t="n"/>
      <c r="J791" s="236" t="n"/>
      <c r="K791" s="236" t="n"/>
      <c r="L791" s="236" t="n"/>
    </row>
    <row r="792" ht="15.75" customHeight="1" s="372">
      <c r="A792" s="297" t="n"/>
      <c r="B792" s="297" t="n"/>
      <c r="C792" s="297" t="n"/>
      <c r="D792" s="297" t="n"/>
      <c r="E792" s="297" t="n"/>
      <c r="F792" s="297" t="n"/>
      <c r="G792" s="297" t="n"/>
      <c r="H792" s="297" t="n"/>
      <c r="I792" s="236" t="n"/>
      <c r="J792" s="236" t="n"/>
      <c r="K792" s="236" t="n"/>
      <c r="L792" s="236" t="n"/>
    </row>
    <row r="793" ht="15.75" customHeight="1" s="372">
      <c r="A793" s="297" t="n"/>
      <c r="B793" s="297" t="n"/>
      <c r="C793" s="297" t="n"/>
      <c r="D793" s="297" t="n"/>
      <c r="E793" s="297" t="n"/>
      <c r="F793" s="297" t="n"/>
      <c r="G793" s="297" t="n"/>
      <c r="H793" s="297" t="n"/>
      <c r="I793" s="236" t="n"/>
      <c r="J793" s="236" t="n"/>
      <c r="K793" s="236" t="n"/>
      <c r="L793" s="236" t="n"/>
    </row>
    <row r="794" ht="15.75" customHeight="1" s="372">
      <c r="A794" s="297" t="n"/>
      <c r="B794" s="297" t="n"/>
      <c r="C794" s="297" t="n"/>
      <c r="D794" s="297" t="n"/>
      <c r="E794" s="297" t="n"/>
      <c r="F794" s="297" t="n"/>
      <c r="G794" s="297" t="n"/>
      <c r="H794" s="297" t="n"/>
      <c r="I794" s="236" t="n"/>
      <c r="J794" s="236" t="n"/>
      <c r="K794" s="236" t="n"/>
      <c r="L794" s="236" t="n"/>
    </row>
    <row r="795" ht="15.75" customHeight="1" s="372">
      <c r="A795" s="297" t="n"/>
      <c r="B795" s="297" t="n"/>
      <c r="C795" s="297" t="n"/>
      <c r="D795" s="297" t="n"/>
      <c r="E795" s="297" t="n"/>
      <c r="F795" s="297" t="n"/>
      <c r="G795" s="297" t="n"/>
      <c r="H795" s="297" t="n"/>
      <c r="I795" s="236" t="n"/>
      <c r="J795" s="236" t="n"/>
      <c r="K795" s="236" t="n"/>
      <c r="L795" s="236" t="n"/>
    </row>
    <row r="796" ht="15.75" customHeight="1" s="372">
      <c r="A796" s="297" t="n"/>
      <c r="B796" s="297" t="n"/>
      <c r="C796" s="297" t="n"/>
      <c r="D796" s="297" t="n"/>
      <c r="E796" s="297" t="n"/>
      <c r="F796" s="297" t="n"/>
      <c r="G796" s="297" t="n"/>
      <c r="H796" s="297" t="n"/>
      <c r="I796" s="236" t="n"/>
      <c r="J796" s="236" t="n"/>
      <c r="K796" s="236" t="n"/>
      <c r="L796" s="236" t="n"/>
    </row>
    <row r="797" ht="15.75" customHeight="1" s="372">
      <c r="A797" s="297" t="n"/>
      <c r="B797" s="297" t="n"/>
      <c r="C797" s="297" t="n"/>
      <c r="D797" s="297" t="n"/>
      <c r="E797" s="297" t="n"/>
      <c r="F797" s="297" t="n"/>
      <c r="G797" s="297" t="n"/>
      <c r="H797" s="297" t="n"/>
      <c r="I797" s="236" t="n"/>
      <c r="J797" s="236" t="n"/>
      <c r="K797" s="236" t="n"/>
      <c r="L797" s="236" t="n"/>
    </row>
    <row r="798" ht="15.75" customHeight="1" s="372">
      <c r="A798" s="297" t="n"/>
      <c r="B798" s="297" t="n"/>
      <c r="C798" s="297" t="n"/>
      <c r="D798" s="297" t="n"/>
      <c r="E798" s="297" t="n"/>
      <c r="F798" s="297" t="n"/>
      <c r="G798" s="297" t="n"/>
      <c r="H798" s="297" t="n"/>
      <c r="I798" s="236" t="n"/>
      <c r="J798" s="236" t="n"/>
      <c r="K798" s="236" t="n"/>
      <c r="L798" s="236" t="n"/>
    </row>
    <row r="799" ht="15.75" customHeight="1" s="372">
      <c r="A799" s="297" t="n"/>
      <c r="B799" s="297" t="n"/>
      <c r="C799" s="297" t="n"/>
      <c r="D799" s="297" t="n"/>
      <c r="E799" s="297" t="n"/>
      <c r="F799" s="297" t="n"/>
      <c r="G799" s="297" t="n"/>
      <c r="H799" s="297" t="n"/>
      <c r="I799" s="236" t="n"/>
      <c r="J799" s="236" t="n"/>
      <c r="K799" s="236" t="n"/>
      <c r="L799" s="236" t="n"/>
    </row>
    <row r="800" ht="15.75" customHeight="1" s="372">
      <c r="A800" s="297" t="n"/>
      <c r="B800" s="297" t="n"/>
      <c r="C800" s="297" t="n"/>
      <c r="D800" s="297" t="n"/>
      <c r="E800" s="297" t="n"/>
      <c r="F800" s="297" t="n"/>
      <c r="G800" s="297" t="n"/>
      <c r="H800" s="297" t="n"/>
      <c r="I800" s="236" t="n"/>
      <c r="J800" s="236" t="n"/>
      <c r="K800" s="236" t="n"/>
      <c r="L800" s="236" t="n"/>
    </row>
    <row r="801" ht="15.75" customHeight="1" s="372">
      <c r="A801" s="297" t="n"/>
      <c r="B801" s="297" t="n"/>
      <c r="C801" s="297" t="n"/>
      <c r="D801" s="297" t="n"/>
      <c r="E801" s="297" t="n"/>
      <c r="F801" s="297" t="n"/>
      <c r="G801" s="297" t="n"/>
      <c r="H801" s="297" t="n"/>
      <c r="I801" s="236" t="n"/>
      <c r="J801" s="236" t="n"/>
      <c r="K801" s="236" t="n"/>
      <c r="L801" s="236" t="n"/>
    </row>
    <row r="802" ht="15.75" customHeight="1" s="372">
      <c r="A802" s="297" t="n"/>
      <c r="B802" s="297" t="n"/>
      <c r="C802" s="297" t="n"/>
      <c r="D802" s="297" t="n"/>
      <c r="E802" s="297" t="n"/>
      <c r="F802" s="297" t="n"/>
      <c r="G802" s="297" t="n"/>
      <c r="H802" s="297" t="n"/>
      <c r="I802" s="236" t="n"/>
      <c r="J802" s="236" t="n"/>
      <c r="K802" s="236" t="n"/>
      <c r="L802" s="236" t="n"/>
    </row>
    <row r="803" ht="15.75" customHeight="1" s="372">
      <c r="A803" s="297" t="n"/>
      <c r="B803" s="297" t="n"/>
      <c r="C803" s="297" t="n"/>
      <c r="D803" s="297" t="n"/>
      <c r="E803" s="297" t="n"/>
      <c r="F803" s="297" t="n"/>
      <c r="G803" s="297" t="n"/>
      <c r="H803" s="297" t="n"/>
      <c r="I803" s="236" t="n"/>
      <c r="J803" s="236" t="n"/>
      <c r="K803" s="236" t="n"/>
      <c r="L803" s="236" t="n"/>
    </row>
    <row r="804" ht="15.75" customHeight="1" s="372">
      <c r="A804" s="297" t="n"/>
      <c r="B804" s="297" t="n"/>
      <c r="C804" s="297" t="n"/>
      <c r="D804" s="297" t="n"/>
      <c r="E804" s="297" t="n"/>
      <c r="F804" s="297" t="n"/>
      <c r="G804" s="297" t="n"/>
      <c r="H804" s="297" t="n"/>
      <c r="I804" s="236" t="n"/>
      <c r="J804" s="236" t="n"/>
      <c r="K804" s="236" t="n"/>
      <c r="L804" s="236" t="n"/>
    </row>
    <row r="805" ht="15.75" customHeight="1" s="372">
      <c r="A805" s="297" t="n"/>
      <c r="B805" s="297" t="n"/>
      <c r="C805" s="297" t="n"/>
      <c r="D805" s="297" t="n"/>
      <c r="E805" s="297" t="n"/>
      <c r="F805" s="297" t="n"/>
      <c r="G805" s="297" t="n"/>
      <c r="H805" s="297" t="n"/>
      <c r="I805" s="236" t="n"/>
      <c r="J805" s="236" t="n"/>
      <c r="K805" s="236" t="n"/>
      <c r="L805" s="236" t="n"/>
    </row>
    <row r="806" ht="15.75" customHeight="1" s="372">
      <c r="A806" s="297" t="n"/>
      <c r="B806" s="297" t="n"/>
      <c r="C806" s="297" t="n"/>
      <c r="D806" s="297" t="n"/>
      <c r="E806" s="297" t="n"/>
      <c r="F806" s="297" t="n"/>
      <c r="G806" s="297" t="n"/>
      <c r="H806" s="297" t="n"/>
      <c r="I806" s="236" t="n"/>
      <c r="J806" s="236" t="n"/>
      <c r="K806" s="236" t="n"/>
      <c r="L806" s="236" t="n"/>
    </row>
    <row r="807" ht="15.75" customHeight="1" s="372">
      <c r="A807" s="297" t="n"/>
      <c r="B807" s="297" t="n"/>
      <c r="C807" s="297" t="n"/>
      <c r="D807" s="297" t="n"/>
      <c r="E807" s="297" t="n"/>
      <c r="F807" s="297" t="n"/>
      <c r="G807" s="297" t="n"/>
      <c r="H807" s="297" t="n"/>
      <c r="I807" s="236" t="n"/>
      <c r="J807" s="236" t="n"/>
      <c r="K807" s="236" t="n"/>
      <c r="L807" s="236" t="n"/>
    </row>
    <row r="808" ht="15.75" customHeight="1" s="372">
      <c r="A808" s="297" t="n"/>
      <c r="B808" s="297" t="n"/>
      <c r="C808" s="297" t="n"/>
      <c r="D808" s="297" t="n"/>
      <c r="E808" s="297" t="n"/>
      <c r="F808" s="297" t="n"/>
      <c r="G808" s="297" t="n"/>
      <c r="H808" s="297" t="n"/>
      <c r="I808" s="236" t="n"/>
      <c r="J808" s="236" t="n"/>
      <c r="K808" s="236" t="n"/>
      <c r="L808" s="236" t="n"/>
    </row>
    <row r="809" ht="15.75" customHeight="1" s="372">
      <c r="A809" s="297" t="n"/>
      <c r="B809" s="297" t="n"/>
      <c r="C809" s="297" t="n"/>
      <c r="D809" s="297" t="n"/>
      <c r="E809" s="297" t="n"/>
      <c r="F809" s="297" t="n"/>
      <c r="G809" s="297" t="n"/>
      <c r="H809" s="297" t="n"/>
      <c r="I809" s="236" t="n"/>
      <c r="J809" s="236" t="n"/>
      <c r="K809" s="236" t="n"/>
      <c r="L809" s="236" t="n"/>
    </row>
    <row r="810" ht="15.75" customHeight="1" s="372">
      <c r="A810" s="297" t="n"/>
      <c r="B810" s="297" t="n"/>
      <c r="C810" s="297" t="n"/>
      <c r="D810" s="297" t="n"/>
      <c r="E810" s="297" t="n"/>
      <c r="F810" s="297" t="n"/>
      <c r="G810" s="297" t="n"/>
      <c r="H810" s="297" t="n"/>
      <c r="I810" s="236" t="n"/>
      <c r="J810" s="236" t="n"/>
      <c r="K810" s="236" t="n"/>
      <c r="L810" s="236" t="n"/>
    </row>
    <row r="811" ht="15.75" customHeight="1" s="372">
      <c r="A811" s="297" t="n"/>
      <c r="B811" s="297" t="n"/>
      <c r="C811" s="297" t="n"/>
      <c r="D811" s="297" t="n"/>
      <c r="E811" s="297" t="n"/>
      <c r="F811" s="297" t="n"/>
      <c r="G811" s="297" t="n"/>
      <c r="H811" s="297" t="n"/>
      <c r="I811" s="236" t="n"/>
      <c r="J811" s="236" t="n"/>
      <c r="K811" s="236" t="n"/>
      <c r="L811" s="236" t="n"/>
    </row>
    <row r="812" ht="15.75" customHeight="1" s="372">
      <c r="A812" s="297" t="n"/>
      <c r="B812" s="297" t="n"/>
      <c r="C812" s="297" t="n"/>
      <c r="D812" s="297" t="n"/>
      <c r="E812" s="297" t="n"/>
      <c r="F812" s="297" t="n"/>
      <c r="G812" s="297" t="n"/>
      <c r="H812" s="297" t="n"/>
      <c r="I812" s="236" t="n"/>
      <c r="J812" s="236" t="n"/>
      <c r="K812" s="236" t="n"/>
      <c r="L812" s="236" t="n"/>
    </row>
    <row r="813" ht="15.75" customHeight="1" s="372">
      <c r="A813" s="297" t="n"/>
      <c r="B813" s="297" t="n"/>
      <c r="C813" s="297" t="n"/>
      <c r="D813" s="297" t="n"/>
      <c r="E813" s="297" t="n"/>
      <c r="F813" s="297" t="n"/>
      <c r="G813" s="297" t="n"/>
      <c r="H813" s="297" t="n"/>
      <c r="I813" s="236" t="n"/>
      <c r="J813" s="236" t="n"/>
      <c r="K813" s="236" t="n"/>
      <c r="L813" s="236" t="n"/>
    </row>
    <row r="814" ht="15.75" customHeight="1" s="372">
      <c r="A814" s="297" t="n"/>
      <c r="B814" s="297" t="n"/>
      <c r="C814" s="297" t="n"/>
      <c r="D814" s="297" t="n"/>
      <c r="E814" s="297" t="n"/>
      <c r="F814" s="297" t="n"/>
      <c r="G814" s="297" t="n"/>
      <c r="H814" s="297" t="n"/>
      <c r="I814" s="236" t="n"/>
      <c r="J814" s="236" t="n"/>
      <c r="K814" s="236" t="n"/>
      <c r="L814" s="236" t="n"/>
    </row>
    <row r="815" ht="15.75" customHeight="1" s="372">
      <c r="A815" s="297" t="n"/>
      <c r="B815" s="297" t="n"/>
      <c r="C815" s="297" t="n"/>
      <c r="D815" s="297" t="n"/>
      <c r="E815" s="297" t="n"/>
      <c r="F815" s="297" t="n"/>
      <c r="G815" s="297" t="n"/>
      <c r="H815" s="297" t="n"/>
      <c r="I815" s="236" t="n"/>
      <c r="J815" s="236" t="n"/>
      <c r="K815" s="236" t="n"/>
      <c r="L815" s="236" t="n"/>
    </row>
    <row r="816" ht="15.75" customHeight="1" s="372">
      <c r="A816" s="297" t="n"/>
      <c r="B816" s="297" t="n"/>
      <c r="C816" s="297" t="n"/>
      <c r="D816" s="297" t="n"/>
      <c r="E816" s="297" t="n"/>
      <c r="F816" s="297" t="n"/>
      <c r="G816" s="297" t="n"/>
      <c r="H816" s="297" t="n"/>
      <c r="I816" s="236" t="n"/>
      <c r="J816" s="236" t="n"/>
      <c r="K816" s="236" t="n"/>
      <c r="L816" s="236" t="n"/>
    </row>
    <row r="817" ht="15.75" customHeight="1" s="372">
      <c r="A817" s="297" t="n"/>
      <c r="B817" s="297" t="n"/>
      <c r="C817" s="297" t="n"/>
      <c r="D817" s="297" t="n"/>
      <c r="E817" s="297" t="n"/>
      <c r="F817" s="297" t="n"/>
      <c r="G817" s="297" t="n"/>
      <c r="H817" s="297" t="n"/>
      <c r="I817" s="236" t="n"/>
      <c r="J817" s="236" t="n"/>
      <c r="K817" s="236" t="n"/>
      <c r="L817" s="236" t="n"/>
    </row>
    <row r="818" ht="15.75" customHeight="1" s="372">
      <c r="A818" s="297" t="n"/>
      <c r="B818" s="297" t="n"/>
      <c r="C818" s="297" t="n"/>
      <c r="D818" s="297" t="n"/>
      <c r="E818" s="297" t="n"/>
      <c r="F818" s="297" t="n"/>
      <c r="G818" s="297" t="n"/>
      <c r="H818" s="297" t="n"/>
      <c r="I818" s="236" t="n"/>
      <c r="J818" s="236" t="n"/>
      <c r="K818" s="236" t="n"/>
      <c r="L818" s="236" t="n"/>
    </row>
    <row r="819" ht="15.75" customHeight="1" s="372">
      <c r="A819" s="297" t="n"/>
      <c r="B819" s="297" t="n"/>
      <c r="C819" s="297" t="n"/>
      <c r="D819" s="297" t="n"/>
      <c r="E819" s="297" t="n"/>
      <c r="F819" s="297" t="n"/>
      <c r="G819" s="297" t="n"/>
      <c r="H819" s="297" t="n"/>
      <c r="I819" s="236" t="n"/>
      <c r="J819" s="236" t="n"/>
      <c r="K819" s="236" t="n"/>
      <c r="L819" s="236" t="n"/>
    </row>
    <row r="820" ht="15.75" customHeight="1" s="372">
      <c r="A820" s="297" t="n"/>
      <c r="B820" s="297" t="n"/>
      <c r="C820" s="297" t="n"/>
      <c r="D820" s="297" t="n"/>
      <c r="E820" s="297" t="n"/>
      <c r="F820" s="297" t="n"/>
      <c r="G820" s="297" t="n"/>
      <c r="H820" s="297" t="n"/>
      <c r="I820" s="236" t="n"/>
      <c r="J820" s="236" t="n"/>
      <c r="K820" s="236" t="n"/>
      <c r="L820" s="236" t="n"/>
    </row>
    <row r="821" ht="15.75" customHeight="1" s="372">
      <c r="A821" s="297" t="n"/>
      <c r="B821" s="297" t="n"/>
      <c r="C821" s="297" t="n"/>
      <c r="D821" s="297" t="n"/>
      <c r="E821" s="297" t="n"/>
      <c r="F821" s="297" t="n"/>
      <c r="G821" s="297" t="n"/>
      <c r="H821" s="297" t="n"/>
      <c r="I821" s="236" t="n"/>
      <c r="J821" s="236" t="n"/>
      <c r="K821" s="236" t="n"/>
      <c r="L821" s="236" t="n"/>
    </row>
    <row r="822" ht="15.75" customHeight="1" s="372">
      <c r="A822" s="297" t="n"/>
      <c r="B822" s="297" t="n"/>
      <c r="C822" s="297" t="n"/>
      <c r="D822" s="297" t="n"/>
      <c r="E822" s="297" t="n"/>
      <c r="F822" s="297" t="n"/>
      <c r="G822" s="297" t="n"/>
      <c r="H822" s="297" t="n"/>
      <c r="I822" s="236" t="n"/>
      <c r="J822" s="236" t="n"/>
      <c r="K822" s="236" t="n"/>
      <c r="L822" s="236" t="n"/>
    </row>
    <row r="823" ht="15.75" customHeight="1" s="372">
      <c r="A823" s="297" t="n"/>
      <c r="B823" s="297" t="n"/>
      <c r="C823" s="297" t="n"/>
      <c r="D823" s="297" t="n"/>
      <c r="E823" s="297" t="n"/>
      <c r="F823" s="297" t="n"/>
      <c r="G823" s="297" t="n"/>
      <c r="H823" s="297" t="n"/>
      <c r="I823" s="236" t="n"/>
      <c r="J823" s="236" t="n"/>
      <c r="K823" s="236" t="n"/>
      <c r="L823" s="236" t="n"/>
    </row>
    <row r="824" ht="15.75" customHeight="1" s="372">
      <c r="A824" s="297" t="n"/>
      <c r="B824" s="297" t="n"/>
      <c r="C824" s="297" t="n"/>
      <c r="D824" s="297" t="n"/>
      <c r="E824" s="297" t="n"/>
      <c r="F824" s="297" t="n"/>
      <c r="G824" s="297" t="n"/>
      <c r="H824" s="297" t="n"/>
      <c r="I824" s="236" t="n"/>
      <c r="J824" s="236" t="n"/>
      <c r="K824" s="236" t="n"/>
      <c r="L824" s="236" t="n"/>
    </row>
    <row r="825" ht="15.75" customHeight="1" s="372">
      <c r="A825" s="297" t="n"/>
      <c r="B825" s="297" t="n"/>
      <c r="C825" s="297" t="n"/>
      <c r="D825" s="297" t="n"/>
      <c r="E825" s="297" t="n"/>
      <c r="F825" s="297" t="n"/>
      <c r="G825" s="297" t="n"/>
      <c r="H825" s="297" t="n"/>
      <c r="I825" s="236" t="n"/>
      <c r="J825" s="236" t="n"/>
      <c r="K825" s="236" t="n"/>
      <c r="L825" s="236" t="n"/>
    </row>
    <row r="826" ht="15.75" customHeight="1" s="372">
      <c r="A826" s="297" t="n"/>
      <c r="B826" s="297" t="n"/>
      <c r="C826" s="297" t="n"/>
      <c r="D826" s="297" t="n"/>
      <c r="E826" s="297" t="n"/>
      <c r="F826" s="297" t="n"/>
      <c r="G826" s="297" t="n"/>
      <c r="H826" s="297" t="n"/>
      <c r="I826" s="236" t="n"/>
      <c r="J826" s="236" t="n"/>
      <c r="K826" s="236" t="n"/>
      <c r="L826" s="236" t="n"/>
    </row>
    <row r="827" ht="15.75" customHeight="1" s="372">
      <c r="A827" s="297" t="n"/>
      <c r="B827" s="297" t="n"/>
      <c r="C827" s="297" t="n"/>
      <c r="D827" s="297" t="n"/>
      <c r="E827" s="297" t="n"/>
      <c r="F827" s="297" t="n"/>
      <c r="G827" s="297" t="n"/>
      <c r="H827" s="297" t="n"/>
      <c r="I827" s="236" t="n"/>
      <c r="J827" s="236" t="n"/>
      <c r="K827" s="236" t="n"/>
      <c r="L827" s="236" t="n"/>
    </row>
    <row r="828" ht="15.75" customHeight="1" s="372">
      <c r="A828" s="297" t="n"/>
      <c r="B828" s="297" t="n"/>
      <c r="C828" s="297" t="n"/>
      <c r="D828" s="297" t="n"/>
      <c r="E828" s="297" t="n"/>
      <c r="F828" s="297" t="n"/>
      <c r="G828" s="297" t="n"/>
      <c r="H828" s="297" t="n"/>
      <c r="I828" s="236" t="n"/>
      <c r="J828" s="236" t="n"/>
      <c r="K828" s="236" t="n"/>
      <c r="L828" s="236" t="n"/>
    </row>
    <row r="829" ht="15.75" customHeight="1" s="372">
      <c r="A829" s="297" t="n"/>
      <c r="B829" s="297" t="n"/>
      <c r="C829" s="297" t="n"/>
      <c r="D829" s="297" t="n"/>
      <c r="E829" s="297" t="n"/>
      <c r="F829" s="297" t="n"/>
      <c r="G829" s="297" t="n"/>
      <c r="H829" s="297" t="n"/>
      <c r="I829" s="236" t="n"/>
      <c r="J829" s="236" t="n"/>
      <c r="K829" s="236" t="n"/>
      <c r="L829" s="236" t="n"/>
    </row>
    <row r="830" ht="15.75" customHeight="1" s="372">
      <c r="A830" s="297" t="n"/>
      <c r="B830" s="297" t="n"/>
      <c r="C830" s="297" t="n"/>
      <c r="D830" s="297" t="n"/>
      <c r="E830" s="297" t="n"/>
      <c r="F830" s="297" t="n"/>
      <c r="G830" s="297" t="n"/>
      <c r="H830" s="297" t="n"/>
      <c r="I830" s="236" t="n"/>
      <c r="J830" s="236" t="n"/>
      <c r="K830" s="236" t="n"/>
      <c r="L830" s="236" t="n"/>
    </row>
    <row r="831" ht="15.75" customHeight="1" s="372">
      <c r="A831" s="297" t="n"/>
      <c r="B831" s="297" t="n"/>
      <c r="C831" s="297" t="n"/>
      <c r="D831" s="297" t="n"/>
      <c r="E831" s="297" t="n"/>
      <c r="F831" s="297" t="n"/>
      <c r="G831" s="297" t="n"/>
      <c r="H831" s="297" t="n"/>
      <c r="I831" s="236" t="n"/>
      <c r="J831" s="236" t="n"/>
      <c r="K831" s="236" t="n"/>
      <c r="L831" s="236" t="n"/>
    </row>
    <row r="832" ht="15.75" customHeight="1" s="372">
      <c r="A832" s="297" t="n"/>
      <c r="B832" s="297" t="n"/>
      <c r="C832" s="297" t="n"/>
      <c r="D832" s="297" t="n"/>
      <c r="E832" s="297" t="n"/>
      <c r="F832" s="297" t="n"/>
      <c r="G832" s="297" t="n"/>
      <c r="H832" s="297" t="n"/>
      <c r="I832" s="236" t="n"/>
      <c r="J832" s="236" t="n"/>
      <c r="K832" s="236" t="n"/>
      <c r="L832" s="236" t="n"/>
    </row>
    <row r="833" ht="15.75" customHeight="1" s="372">
      <c r="A833" s="297" t="n"/>
      <c r="B833" s="297" t="n"/>
      <c r="C833" s="297" t="n"/>
      <c r="D833" s="297" t="n"/>
      <c r="E833" s="297" t="n"/>
      <c r="F833" s="297" t="n"/>
      <c r="G833" s="297" t="n"/>
      <c r="H833" s="297" t="n"/>
      <c r="I833" s="236" t="n"/>
      <c r="J833" s="236" t="n"/>
      <c r="K833" s="236" t="n"/>
      <c r="L833" s="236" t="n"/>
    </row>
    <row r="834" ht="15.75" customHeight="1" s="372">
      <c r="A834" s="297" t="n"/>
      <c r="B834" s="297" t="n"/>
      <c r="C834" s="297" t="n"/>
      <c r="D834" s="297" t="n"/>
      <c r="E834" s="297" t="n"/>
      <c r="F834" s="297" t="n"/>
      <c r="G834" s="297" t="n"/>
      <c r="H834" s="297" t="n"/>
      <c r="I834" s="236" t="n"/>
      <c r="J834" s="236" t="n"/>
      <c r="K834" s="236" t="n"/>
      <c r="L834" s="236" t="n"/>
    </row>
    <row r="835" ht="15.75" customHeight="1" s="372">
      <c r="A835" s="297" t="n"/>
      <c r="B835" s="297" t="n"/>
      <c r="C835" s="297" t="n"/>
      <c r="D835" s="297" t="n"/>
      <c r="E835" s="297" t="n"/>
      <c r="F835" s="297" t="n"/>
      <c r="G835" s="297" t="n"/>
      <c r="H835" s="297" t="n"/>
      <c r="I835" s="236" t="n"/>
      <c r="J835" s="236" t="n"/>
      <c r="K835" s="236" t="n"/>
      <c r="L835" s="236" t="n"/>
    </row>
    <row r="836" ht="15.75" customHeight="1" s="372">
      <c r="A836" s="297" t="n"/>
      <c r="B836" s="297" t="n"/>
      <c r="C836" s="297" t="n"/>
      <c r="D836" s="297" t="n"/>
      <c r="E836" s="297" t="n"/>
      <c r="F836" s="297" t="n"/>
      <c r="G836" s="297" t="n"/>
      <c r="H836" s="297" t="n"/>
      <c r="I836" s="236" t="n"/>
      <c r="J836" s="236" t="n"/>
      <c r="K836" s="236" t="n"/>
      <c r="L836" s="236" t="n"/>
    </row>
    <row r="837" ht="15.75" customHeight="1" s="372">
      <c r="A837" s="297" t="n"/>
      <c r="B837" s="297" t="n"/>
      <c r="C837" s="297" t="n"/>
      <c r="D837" s="297" t="n"/>
      <c r="E837" s="297" t="n"/>
      <c r="F837" s="297" t="n"/>
      <c r="G837" s="297" t="n"/>
      <c r="H837" s="297" t="n"/>
      <c r="I837" s="236" t="n"/>
      <c r="J837" s="236" t="n"/>
      <c r="K837" s="236" t="n"/>
      <c r="L837" s="236" t="n"/>
    </row>
    <row r="838" ht="15.75" customHeight="1" s="372">
      <c r="A838" s="297" t="n"/>
      <c r="B838" s="297" t="n"/>
      <c r="C838" s="297" t="n"/>
      <c r="D838" s="297" t="n"/>
      <c r="E838" s="297" t="n"/>
      <c r="F838" s="297" t="n"/>
      <c r="G838" s="297" t="n"/>
      <c r="H838" s="297" t="n"/>
      <c r="I838" s="236" t="n"/>
      <c r="J838" s="236" t="n"/>
      <c r="K838" s="236" t="n"/>
      <c r="L838" s="236" t="n"/>
    </row>
    <row r="839" ht="15.75" customHeight="1" s="372">
      <c r="A839" s="297" t="n"/>
      <c r="B839" s="297" t="n"/>
      <c r="C839" s="297" t="n"/>
      <c r="D839" s="297" t="n"/>
      <c r="E839" s="297" t="n"/>
      <c r="F839" s="297" t="n"/>
      <c r="G839" s="297" t="n"/>
      <c r="H839" s="297" t="n"/>
      <c r="I839" s="236" t="n"/>
      <c r="J839" s="236" t="n"/>
      <c r="K839" s="236" t="n"/>
      <c r="L839" s="236" t="n"/>
    </row>
    <row r="840" ht="15.75" customHeight="1" s="372">
      <c r="A840" s="297" t="n"/>
      <c r="B840" s="297" t="n"/>
      <c r="C840" s="297" t="n"/>
      <c r="D840" s="297" t="n"/>
      <c r="E840" s="297" t="n"/>
      <c r="F840" s="297" t="n"/>
      <c r="G840" s="297" t="n"/>
      <c r="H840" s="297" t="n"/>
      <c r="I840" s="236" t="n"/>
      <c r="J840" s="236" t="n"/>
      <c r="K840" s="236" t="n"/>
      <c r="L840" s="236" t="n"/>
    </row>
    <row r="841" ht="15.75" customHeight="1" s="372">
      <c r="A841" s="297" t="n"/>
      <c r="B841" s="297" t="n"/>
      <c r="C841" s="297" t="n"/>
      <c r="D841" s="297" t="n"/>
      <c r="E841" s="297" t="n"/>
      <c r="F841" s="297" t="n"/>
      <c r="G841" s="297" t="n"/>
      <c r="H841" s="297" t="n"/>
      <c r="I841" s="236" t="n"/>
      <c r="J841" s="236" t="n"/>
      <c r="K841" s="236" t="n"/>
      <c r="L841" s="236" t="n"/>
    </row>
    <row r="842" ht="15.75" customHeight="1" s="372">
      <c r="A842" s="297" t="n"/>
      <c r="B842" s="297" t="n"/>
      <c r="C842" s="297" t="n"/>
      <c r="D842" s="297" t="n"/>
      <c r="E842" s="297" t="n"/>
      <c r="F842" s="297" t="n"/>
      <c r="G842" s="297" t="n"/>
      <c r="H842" s="297" t="n"/>
      <c r="I842" s="236" t="n"/>
      <c r="J842" s="236" t="n"/>
      <c r="K842" s="236" t="n"/>
      <c r="L842" s="236" t="n"/>
    </row>
    <row r="843" ht="15.75" customHeight="1" s="372">
      <c r="A843" s="297" t="n"/>
      <c r="B843" s="297" t="n"/>
      <c r="C843" s="297" t="n"/>
      <c r="D843" s="297" t="n"/>
      <c r="E843" s="297" t="n"/>
      <c r="F843" s="297" t="n"/>
      <c r="G843" s="297" t="n"/>
      <c r="H843" s="297" t="n"/>
      <c r="I843" s="236" t="n"/>
      <c r="J843" s="236" t="n"/>
      <c r="K843" s="236" t="n"/>
      <c r="L843" s="236" t="n"/>
    </row>
    <row r="844" ht="15.75" customHeight="1" s="372">
      <c r="A844" s="297" t="n"/>
      <c r="B844" s="297" t="n"/>
      <c r="C844" s="297" t="n"/>
      <c r="D844" s="297" t="n"/>
      <c r="E844" s="297" t="n"/>
      <c r="F844" s="297" t="n"/>
      <c r="G844" s="297" t="n"/>
      <c r="H844" s="297" t="n"/>
      <c r="I844" s="236" t="n"/>
      <c r="J844" s="236" t="n"/>
      <c r="K844" s="236" t="n"/>
      <c r="L844" s="236" t="n"/>
    </row>
    <row r="845" ht="15.75" customHeight="1" s="372">
      <c r="A845" s="297" t="n"/>
      <c r="B845" s="297" t="n"/>
      <c r="C845" s="297" t="n"/>
      <c r="D845" s="297" t="n"/>
      <c r="E845" s="297" t="n"/>
      <c r="F845" s="297" t="n"/>
      <c r="G845" s="297" t="n"/>
      <c r="H845" s="297" t="n"/>
      <c r="I845" s="236" t="n"/>
      <c r="J845" s="236" t="n"/>
      <c r="K845" s="236" t="n"/>
      <c r="L845" s="236" t="n"/>
    </row>
    <row r="846" ht="15.75" customHeight="1" s="372">
      <c r="A846" s="297" t="n"/>
      <c r="B846" s="297" t="n"/>
      <c r="C846" s="297" t="n"/>
      <c r="D846" s="297" t="n"/>
      <c r="E846" s="297" t="n"/>
      <c r="F846" s="297" t="n"/>
      <c r="G846" s="297" t="n"/>
      <c r="H846" s="297" t="n"/>
      <c r="I846" s="236" t="n"/>
      <c r="J846" s="236" t="n"/>
      <c r="K846" s="236" t="n"/>
      <c r="L846" s="236" t="n"/>
    </row>
    <row r="847" ht="15.75" customHeight="1" s="372">
      <c r="A847" s="297" t="n"/>
      <c r="B847" s="297" t="n"/>
      <c r="C847" s="297" t="n"/>
      <c r="D847" s="297" t="n"/>
      <c r="E847" s="297" t="n"/>
      <c r="F847" s="297" t="n"/>
      <c r="G847" s="297" t="n"/>
      <c r="H847" s="297" t="n"/>
      <c r="I847" s="236" t="n"/>
      <c r="J847" s="236" t="n"/>
      <c r="K847" s="236" t="n"/>
      <c r="L847" s="236" t="n"/>
    </row>
    <row r="848" ht="15.75" customHeight="1" s="372">
      <c r="A848" s="297" t="n"/>
      <c r="B848" s="297" t="n"/>
      <c r="C848" s="297" t="n"/>
      <c r="D848" s="297" t="n"/>
      <c r="E848" s="297" t="n"/>
      <c r="F848" s="297" t="n"/>
      <c r="G848" s="297" t="n"/>
      <c r="H848" s="297" t="n"/>
      <c r="I848" s="236" t="n"/>
      <c r="J848" s="236" t="n"/>
      <c r="K848" s="236" t="n"/>
      <c r="L848" s="236" t="n"/>
    </row>
    <row r="849" ht="15.75" customHeight="1" s="372">
      <c r="A849" s="297" t="n"/>
      <c r="B849" s="297" t="n"/>
      <c r="C849" s="297" t="n"/>
      <c r="D849" s="297" t="n"/>
      <c r="E849" s="297" t="n"/>
      <c r="F849" s="297" t="n"/>
      <c r="G849" s="297" t="n"/>
      <c r="H849" s="297" t="n"/>
      <c r="I849" s="236" t="n"/>
      <c r="J849" s="236" t="n"/>
      <c r="K849" s="236" t="n"/>
      <c r="L849" s="236" t="n"/>
    </row>
    <row r="850" ht="15.75" customHeight="1" s="372">
      <c r="A850" s="297" t="n"/>
      <c r="B850" s="297" t="n"/>
      <c r="C850" s="297" t="n"/>
      <c r="D850" s="297" t="n"/>
      <c r="E850" s="297" t="n"/>
      <c r="F850" s="297" t="n"/>
      <c r="G850" s="297" t="n"/>
      <c r="H850" s="297" t="n"/>
      <c r="I850" s="236" t="n"/>
      <c r="J850" s="236" t="n"/>
      <c r="K850" s="236" t="n"/>
      <c r="L850" s="236" t="n"/>
    </row>
    <row r="851" ht="15.75" customHeight="1" s="372">
      <c r="A851" s="297" t="n"/>
      <c r="B851" s="297" t="n"/>
      <c r="C851" s="297" t="n"/>
      <c r="D851" s="297" t="n"/>
      <c r="E851" s="297" t="n"/>
      <c r="F851" s="297" t="n"/>
      <c r="G851" s="297" t="n"/>
      <c r="H851" s="297" t="n"/>
      <c r="I851" s="236" t="n"/>
      <c r="J851" s="236" t="n"/>
      <c r="K851" s="236" t="n"/>
      <c r="L851" s="236" t="n"/>
    </row>
    <row r="852" ht="15.75" customHeight="1" s="372">
      <c r="A852" s="297" t="n"/>
      <c r="B852" s="297" t="n"/>
      <c r="C852" s="297" t="n"/>
      <c r="D852" s="297" t="n"/>
      <c r="E852" s="297" t="n"/>
      <c r="F852" s="297" t="n"/>
      <c r="G852" s="297" t="n"/>
      <c r="H852" s="297" t="n"/>
      <c r="I852" s="236" t="n"/>
      <c r="J852" s="236" t="n"/>
      <c r="K852" s="236" t="n"/>
      <c r="L852" s="236" t="n"/>
    </row>
    <row r="853" ht="15.75" customHeight="1" s="372">
      <c r="A853" s="297" t="n"/>
      <c r="B853" s="297" t="n"/>
      <c r="C853" s="297" t="n"/>
      <c r="D853" s="297" t="n"/>
      <c r="E853" s="297" t="n"/>
      <c r="F853" s="297" t="n"/>
      <c r="G853" s="297" t="n"/>
      <c r="H853" s="297" t="n"/>
      <c r="I853" s="236" t="n"/>
      <c r="J853" s="236" t="n"/>
      <c r="K853" s="236" t="n"/>
      <c r="L853" s="236" t="n"/>
    </row>
    <row r="854" ht="15.75" customHeight="1" s="372">
      <c r="A854" s="297" t="n"/>
      <c r="B854" s="297" t="n"/>
      <c r="C854" s="297" t="n"/>
      <c r="D854" s="297" t="n"/>
      <c r="E854" s="297" t="n"/>
      <c r="F854" s="297" t="n"/>
      <c r="G854" s="297" t="n"/>
      <c r="H854" s="297" t="n"/>
      <c r="I854" s="236" t="n"/>
      <c r="J854" s="236" t="n"/>
      <c r="K854" s="236" t="n"/>
      <c r="L854" s="236" t="n"/>
    </row>
    <row r="855" ht="15.75" customHeight="1" s="372">
      <c r="A855" s="297" t="n"/>
      <c r="B855" s="297" t="n"/>
      <c r="C855" s="297" t="n"/>
      <c r="D855" s="297" t="n"/>
      <c r="E855" s="297" t="n"/>
      <c r="F855" s="297" t="n"/>
      <c r="G855" s="297" t="n"/>
      <c r="H855" s="297" t="n"/>
      <c r="I855" s="236" t="n"/>
      <c r="J855" s="236" t="n"/>
      <c r="K855" s="236" t="n"/>
      <c r="L855" s="236" t="n"/>
    </row>
    <row r="856" ht="15.75" customHeight="1" s="372">
      <c r="A856" s="297" t="n"/>
      <c r="B856" s="297" t="n"/>
      <c r="C856" s="297" t="n"/>
      <c r="D856" s="297" t="n"/>
      <c r="E856" s="297" t="n"/>
      <c r="F856" s="297" t="n"/>
      <c r="G856" s="297" t="n"/>
      <c r="H856" s="297" t="n"/>
      <c r="I856" s="236" t="n"/>
      <c r="J856" s="236" t="n"/>
      <c r="K856" s="236" t="n"/>
      <c r="L856" s="236" t="n"/>
    </row>
    <row r="857" ht="15.75" customHeight="1" s="372">
      <c r="A857" s="297" t="n"/>
      <c r="B857" s="297" t="n"/>
      <c r="C857" s="297" t="n"/>
      <c r="D857" s="297" t="n"/>
      <c r="E857" s="297" t="n"/>
      <c r="F857" s="297" t="n"/>
      <c r="G857" s="297" t="n"/>
      <c r="H857" s="297" t="n"/>
      <c r="I857" s="236" t="n"/>
      <c r="J857" s="236" t="n"/>
      <c r="K857" s="236" t="n"/>
      <c r="L857" s="236" t="n"/>
    </row>
    <row r="858" ht="15.75" customHeight="1" s="372">
      <c r="A858" s="297" t="n"/>
      <c r="B858" s="297" t="n"/>
      <c r="C858" s="297" t="n"/>
      <c r="D858" s="297" t="n"/>
      <c r="E858" s="297" t="n"/>
      <c r="F858" s="297" t="n"/>
      <c r="G858" s="297" t="n"/>
      <c r="H858" s="297" t="n"/>
      <c r="I858" s="236" t="n"/>
      <c r="J858" s="236" t="n"/>
      <c r="K858" s="236" t="n"/>
      <c r="L858" s="236" t="n"/>
    </row>
    <row r="859" ht="15.75" customHeight="1" s="372">
      <c r="A859" s="297" t="n"/>
      <c r="B859" s="297" t="n"/>
      <c r="C859" s="297" t="n"/>
      <c r="D859" s="297" t="n"/>
      <c r="E859" s="297" t="n"/>
      <c r="F859" s="297" t="n"/>
      <c r="G859" s="297" t="n"/>
      <c r="H859" s="297" t="n"/>
      <c r="I859" s="236" t="n"/>
      <c r="J859" s="236" t="n"/>
      <c r="K859" s="236" t="n"/>
      <c r="L859" s="236" t="n"/>
    </row>
    <row r="860" ht="15.75" customHeight="1" s="372">
      <c r="A860" s="297" t="n"/>
      <c r="B860" s="297" t="n"/>
      <c r="C860" s="297" t="n"/>
      <c r="D860" s="297" t="n"/>
      <c r="E860" s="297" t="n"/>
      <c r="F860" s="297" t="n"/>
      <c r="G860" s="297" t="n"/>
      <c r="H860" s="297" t="n"/>
      <c r="I860" s="236" t="n"/>
      <c r="J860" s="236" t="n"/>
      <c r="K860" s="236" t="n"/>
      <c r="L860" s="236" t="n"/>
    </row>
    <row r="861" ht="15.75" customHeight="1" s="372">
      <c r="A861" s="297" t="n"/>
      <c r="B861" s="297" t="n"/>
      <c r="C861" s="297" t="n"/>
      <c r="D861" s="297" t="n"/>
      <c r="E861" s="297" t="n"/>
      <c r="F861" s="297" t="n"/>
      <c r="G861" s="297" t="n"/>
      <c r="H861" s="297" t="n"/>
      <c r="I861" s="236" t="n"/>
      <c r="J861" s="236" t="n"/>
      <c r="K861" s="236" t="n"/>
      <c r="L861" s="236" t="n"/>
    </row>
    <row r="862" ht="15.75" customHeight="1" s="372">
      <c r="A862" s="297" t="n"/>
      <c r="B862" s="297" t="n"/>
      <c r="C862" s="297" t="n"/>
      <c r="D862" s="297" t="n"/>
      <c r="E862" s="297" t="n"/>
      <c r="F862" s="297" t="n"/>
      <c r="G862" s="297" t="n"/>
      <c r="H862" s="297" t="n"/>
      <c r="I862" s="236" t="n"/>
      <c r="J862" s="236" t="n"/>
      <c r="K862" s="236" t="n"/>
      <c r="L862" s="236" t="n"/>
    </row>
    <row r="863" ht="15.75" customHeight="1" s="372">
      <c r="A863" s="297" t="n"/>
      <c r="B863" s="297" t="n"/>
      <c r="C863" s="297" t="n"/>
      <c r="D863" s="297" t="n"/>
      <c r="E863" s="297" t="n"/>
      <c r="F863" s="297" t="n"/>
      <c r="G863" s="297" t="n"/>
      <c r="H863" s="297" t="n"/>
      <c r="I863" s="236" t="n"/>
      <c r="J863" s="236" t="n"/>
      <c r="K863" s="236" t="n"/>
      <c r="L863" s="236" t="n"/>
    </row>
    <row r="864" ht="15.75" customHeight="1" s="372">
      <c r="A864" s="297" t="n"/>
      <c r="B864" s="297" t="n"/>
      <c r="C864" s="297" t="n"/>
      <c r="D864" s="297" t="n"/>
      <c r="E864" s="297" t="n"/>
      <c r="F864" s="297" t="n"/>
      <c r="G864" s="297" t="n"/>
      <c r="H864" s="297" t="n"/>
      <c r="I864" s="236" t="n"/>
      <c r="J864" s="236" t="n"/>
      <c r="K864" s="236" t="n"/>
      <c r="L864" s="236" t="n"/>
    </row>
    <row r="865" ht="15.75" customHeight="1" s="372">
      <c r="A865" s="297" t="n"/>
      <c r="B865" s="297" t="n"/>
      <c r="C865" s="297" t="n"/>
      <c r="D865" s="297" t="n"/>
      <c r="E865" s="297" t="n"/>
      <c r="F865" s="297" t="n"/>
      <c r="G865" s="297" t="n"/>
      <c r="H865" s="297" t="n"/>
      <c r="I865" s="236" t="n"/>
      <c r="J865" s="236" t="n"/>
      <c r="K865" s="236" t="n"/>
      <c r="L865" s="236" t="n"/>
    </row>
    <row r="866" ht="15.75" customHeight="1" s="372">
      <c r="A866" s="297" t="n"/>
      <c r="B866" s="297" t="n"/>
      <c r="C866" s="297" t="n"/>
      <c r="D866" s="297" t="n"/>
      <c r="E866" s="297" t="n"/>
      <c r="F866" s="297" t="n"/>
      <c r="G866" s="297" t="n"/>
      <c r="H866" s="297" t="n"/>
      <c r="I866" s="236" t="n"/>
      <c r="J866" s="236" t="n"/>
      <c r="K866" s="236" t="n"/>
      <c r="L866" s="236" t="n"/>
    </row>
    <row r="867" ht="15.75" customHeight="1" s="372">
      <c r="A867" s="297" t="n"/>
      <c r="B867" s="297" t="n"/>
      <c r="C867" s="297" t="n"/>
      <c r="D867" s="297" t="n"/>
      <c r="E867" s="297" t="n"/>
      <c r="F867" s="297" t="n"/>
      <c r="G867" s="297" t="n"/>
      <c r="H867" s="297" t="n"/>
      <c r="I867" s="236" t="n"/>
      <c r="J867" s="236" t="n"/>
      <c r="K867" s="236" t="n"/>
      <c r="L867" s="236" t="n"/>
    </row>
    <row r="868" ht="15.75" customHeight="1" s="372">
      <c r="A868" s="297" t="n"/>
      <c r="B868" s="297" t="n"/>
      <c r="C868" s="297" t="n"/>
      <c r="D868" s="297" t="n"/>
      <c r="E868" s="297" t="n"/>
      <c r="F868" s="297" t="n"/>
      <c r="G868" s="297" t="n"/>
      <c r="H868" s="297" t="n"/>
      <c r="I868" s="236" t="n"/>
      <c r="J868" s="236" t="n"/>
      <c r="K868" s="236" t="n"/>
      <c r="L868" s="236" t="n"/>
    </row>
    <row r="869" ht="15.75" customHeight="1" s="372">
      <c r="A869" s="297" t="n"/>
      <c r="B869" s="297" t="n"/>
      <c r="C869" s="297" t="n"/>
      <c r="D869" s="297" t="n"/>
      <c r="E869" s="297" t="n"/>
      <c r="F869" s="297" t="n"/>
      <c r="G869" s="297" t="n"/>
      <c r="H869" s="297" t="n"/>
      <c r="I869" s="236" t="n"/>
      <c r="J869" s="236" t="n"/>
      <c r="K869" s="236" t="n"/>
      <c r="L869" s="236" t="n"/>
    </row>
    <row r="870" ht="15.75" customHeight="1" s="372">
      <c r="A870" s="297" t="n"/>
      <c r="B870" s="297" t="n"/>
      <c r="C870" s="297" t="n"/>
      <c r="D870" s="297" t="n"/>
      <c r="E870" s="297" t="n"/>
      <c r="F870" s="297" t="n"/>
      <c r="G870" s="297" t="n"/>
      <c r="H870" s="297" t="n"/>
      <c r="I870" s="236" t="n"/>
      <c r="J870" s="236" t="n"/>
      <c r="K870" s="236" t="n"/>
      <c r="L870" s="236" t="n"/>
    </row>
    <row r="871" ht="15.75" customHeight="1" s="372">
      <c r="A871" s="297" t="n"/>
      <c r="B871" s="297" t="n"/>
      <c r="C871" s="297" t="n"/>
      <c r="D871" s="297" t="n"/>
      <c r="E871" s="297" t="n"/>
      <c r="F871" s="297" t="n"/>
      <c r="G871" s="297" t="n"/>
      <c r="H871" s="297" t="n"/>
      <c r="I871" s="236" t="n"/>
      <c r="J871" s="236" t="n"/>
      <c r="K871" s="236" t="n"/>
      <c r="L871" s="236" t="n"/>
    </row>
    <row r="872" ht="15.75" customHeight="1" s="372">
      <c r="A872" s="297" t="n"/>
      <c r="B872" s="297" t="n"/>
      <c r="C872" s="297" t="n"/>
      <c r="D872" s="297" t="n"/>
      <c r="E872" s="297" t="n"/>
      <c r="F872" s="297" t="n"/>
      <c r="G872" s="297" t="n"/>
      <c r="H872" s="297" t="n"/>
      <c r="I872" s="236" t="n"/>
      <c r="J872" s="236" t="n"/>
      <c r="K872" s="236" t="n"/>
      <c r="L872" s="236" t="n"/>
    </row>
    <row r="873" ht="15.75" customHeight="1" s="372">
      <c r="A873" s="297" t="n"/>
      <c r="B873" s="297" t="n"/>
      <c r="C873" s="297" t="n"/>
      <c r="D873" s="297" t="n"/>
      <c r="E873" s="297" t="n"/>
      <c r="F873" s="297" t="n"/>
      <c r="G873" s="297" t="n"/>
      <c r="H873" s="297" t="n"/>
      <c r="I873" s="236" t="n"/>
      <c r="J873" s="236" t="n"/>
      <c r="K873" s="236" t="n"/>
      <c r="L873" s="236" t="n"/>
    </row>
    <row r="874" ht="15.75" customHeight="1" s="372">
      <c r="A874" s="297" t="n"/>
      <c r="B874" s="297" t="n"/>
      <c r="C874" s="297" t="n"/>
      <c r="D874" s="297" t="n"/>
      <c r="E874" s="297" t="n"/>
      <c r="F874" s="297" t="n"/>
      <c r="G874" s="297" t="n"/>
      <c r="H874" s="297" t="n"/>
      <c r="I874" s="236" t="n"/>
      <c r="J874" s="236" t="n"/>
      <c r="K874" s="236" t="n"/>
      <c r="L874" s="236" t="n"/>
    </row>
    <row r="875" ht="15.75" customHeight="1" s="372">
      <c r="A875" s="297" t="n"/>
      <c r="B875" s="297" t="n"/>
      <c r="C875" s="297" t="n"/>
      <c r="D875" s="297" t="n"/>
      <c r="E875" s="297" t="n"/>
      <c r="F875" s="297" t="n"/>
      <c r="G875" s="297" t="n"/>
      <c r="H875" s="297" t="n"/>
      <c r="I875" s="236" t="n"/>
      <c r="J875" s="236" t="n"/>
      <c r="K875" s="236" t="n"/>
      <c r="L875" s="236" t="n"/>
    </row>
    <row r="876" ht="15.75" customHeight="1" s="372">
      <c r="A876" s="297" t="n"/>
      <c r="B876" s="297" t="n"/>
      <c r="C876" s="297" t="n"/>
      <c r="D876" s="297" t="n"/>
      <c r="E876" s="297" t="n"/>
      <c r="F876" s="297" t="n"/>
      <c r="G876" s="297" t="n"/>
      <c r="H876" s="297" t="n"/>
      <c r="I876" s="236" t="n"/>
      <c r="J876" s="236" t="n"/>
      <c r="K876" s="236" t="n"/>
      <c r="L876" s="236" t="n"/>
    </row>
    <row r="877" ht="15.75" customHeight="1" s="372">
      <c r="A877" s="297" t="n"/>
      <c r="B877" s="297" t="n"/>
      <c r="C877" s="297" t="n"/>
      <c r="D877" s="297" t="n"/>
      <c r="E877" s="297" t="n"/>
      <c r="F877" s="297" t="n"/>
      <c r="G877" s="297" t="n"/>
      <c r="H877" s="297" t="n"/>
      <c r="I877" s="236" t="n"/>
      <c r="J877" s="236" t="n"/>
      <c r="K877" s="236" t="n"/>
      <c r="L877" s="236" t="n"/>
    </row>
    <row r="878" ht="15.75" customHeight="1" s="372">
      <c r="A878" s="297" t="n"/>
      <c r="B878" s="297" t="n"/>
      <c r="C878" s="297" t="n"/>
      <c r="D878" s="297" t="n"/>
      <c r="E878" s="297" t="n"/>
      <c r="F878" s="297" t="n"/>
      <c r="G878" s="297" t="n"/>
      <c r="H878" s="297" t="n"/>
      <c r="I878" s="236" t="n"/>
      <c r="J878" s="236" t="n"/>
      <c r="K878" s="236" t="n"/>
      <c r="L878" s="236" t="n"/>
    </row>
    <row r="879" ht="15.75" customHeight="1" s="372">
      <c r="A879" s="297" t="n"/>
      <c r="B879" s="297" t="n"/>
      <c r="C879" s="297" t="n"/>
      <c r="D879" s="297" t="n"/>
      <c r="E879" s="297" t="n"/>
      <c r="F879" s="297" t="n"/>
      <c r="G879" s="297" t="n"/>
      <c r="H879" s="297" t="n"/>
      <c r="I879" s="236" t="n"/>
      <c r="J879" s="236" t="n"/>
      <c r="K879" s="236" t="n"/>
      <c r="L879" s="236" t="n"/>
    </row>
    <row r="880" ht="15.75" customHeight="1" s="372">
      <c r="A880" s="297" t="n"/>
      <c r="B880" s="297" t="n"/>
      <c r="C880" s="297" t="n"/>
      <c r="D880" s="297" t="n"/>
      <c r="E880" s="297" t="n"/>
      <c r="F880" s="297" t="n"/>
      <c r="G880" s="297" t="n"/>
      <c r="H880" s="297" t="n"/>
      <c r="I880" s="236" t="n"/>
      <c r="J880" s="236" t="n"/>
      <c r="K880" s="236" t="n"/>
      <c r="L880" s="236" t="n"/>
    </row>
    <row r="881" ht="15.75" customHeight="1" s="372">
      <c r="A881" s="297" t="n"/>
      <c r="B881" s="297" t="n"/>
      <c r="C881" s="297" t="n"/>
      <c r="D881" s="297" t="n"/>
      <c r="E881" s="297" t="n"/>
      <c r="F881" s="297" t="n"/>
      <c r="G881" s="297" t="n"/>
      <c r="H881" s="297" t="n"/>
      <c r="I881" s="236" t="n"/>
      <c r="J881" s="236" t="n"/>
      <c r="K881" s="236" t="n"/>
      <c r="L881" s="236" t="n"/>
    </row>
    <row r="882" ht="15.75" customHeight="1" s="372">
      <c r="A882" s="297" t="n"/>
      <c r="B882" s="297" t="n"/>
      <c r="C882" s="297" t="n"/>
      <c r="D882" s="297" t="n"/>
      <c r="E882" s="297" t="n"/>
      <c r="F882" s="297" t="n"/>
      <c r="G882" s="297" t="n"/>
      <c r="H882" s="297" t="n"/>
      <c r="I882" s="236" t="n"/>
      <c r="J882" s="236" t="n"/>
      <c r="K882" s="236" t="n"/>
      <c r="L882" s="236" t="n"/>
    </row>
    <row r="883" ht="15.75" customHeight="1" s="372">
      <c r="A883" s="297" t="n"/>
      <c r="B883" s="297" t="n"/>
      <c r="C883" s="297" t="n"/>
      <c r="D883" s="297" t="n"/>
      <c r="E883" s="297" t="n"/>
      <c r="F883" s="297" t="n"/>
      <c r="G883" s="297" t="n"/>
      <c r="H883" s="297" t="n"/>
      <c r="I883" s="236" t="n"/>
      <c r="J883" s="236" t="n"/>
      <c r="K883" s="236" t="n"/>
      <c r="L883" s="236" t="n"/>
    </row>
    <row r="884" ht="15.75" customHeight="1" s="372">
      <c r="A884" s="297" t="n"/>
      <c r="B884" s="297" t="n"/>
      <c r="C884" s="297" t="n"/>
      <c r="D884" s="297" t="n"/>
      <c r="E884" s="297" t="n"/>
      <c r="F884" s="297" t="n"/>
      <c r="G884" s="297" t="n"/>
      <c r="H884" s="297" t="n"/>
      <c r="I884" s="236" t="n"/>
      <c r="J884" s="236" t="n"/>
      <c r="K884" s="236" t="n"/>
      <c r="L884" s="236" t="n"/>
    </row>
    <row r="885" ht="15.75" customHeight="1" s="372">
      <c r="A885" s="297" t="n"/>
      <c r="B885" s="297" t="n"/>
      <c r="C885" s="297" t="n"/>
      <c r="D885" s="297" t="n"/>
      <c r="E885" s="297" t="n"/>
      <c r="F885" s="297" t="n"/>
      <c r="G885" s="297" t="n"/>
      <c r="H885" s="297" t="n"/>
      <c r="I885" s="236" t="n"/>
      <c r="J885" s="236" t="n"/>
      <c r="K885" s="236" t="n"/>
      <c r="L885" s="236" t="n"/>
    </row>
    <row r="886" ht="15.75" customHeight="1" s="372">
      <c r="A886" s="297" t="n"/>
      <c r="B886" s="297" t="n"/>
      <c r="C886" s="297" t="n"/>
      <c r="D886" s="297" t="n"/>
      <c r="E886" s="297" t="n"/>
      <c r="F886" s="297" t="n"/>
      <c r="G886" s="297" t="n"/>
      <c r="H886" s="297" t="n"/>
      <c r="I886" s="236" t="n"/>
      <c r="J886" s="236" t="n"/>
      <c r="K886" s="236" t="n"/>
      <c r="L886" s="236" t="n"/>
    </row>
    <row r="887" ht="15.75" customHeight="1" s="372">
      <c r="A887" s="297" t="n"/>
      <c r="B887" s="297" t="n"/>
      <c r="C887" s="297" t="n"/>
      <c r="D887" s="297" t="n"/>
      <c r="E887" s="297" t="n"/>
      <c r="F887" s="297" t="n"/>
      <c r="G887" s="297" t="n"/>
      <c r="H887" s="297" t="n"/>
      <c r="I887" s="236" t="n"/>
      <c r="J887" s="236" t="n"/>
      <c r="K887" s="236" t="n"/>
      <c r="L887" s="236" t="n"/>
    </row>
    <row r="888" ht="15.75" customHeight="1" s="372">
      <c r="A888" s="297" t="n"/>
      <c r="B888" s="297" t="n"/>
      <c r="C888" s="297" t="n"/>
      <c r="D888" s="297" t="n"/>
      <c r="E888" s="297" t="n"/>
      <c r="F888" s="297" t="n"/>
      <c r="G888" s="297" t="n"/>
      <c r="H888" s="297" t="n"/>
      <c r="I888" s="236" t="n"/>
      <c r="J888" s="236" t="n"/>
      <c r="K888" s="236" t="n"/>
      <c r="L888" s="236" t="n"/>
    </row>
    <row r="889" ht="15.75" customHeight="1" s="372">
      <c r="A889" s="297" t="n"/>
      <c r="B889" s="297" t="n"/>
      <c r="C889" s="297" t="n"/>
      <c r="D889" s="297" t="n"/>
      <c r="E889" s="297" t="n"/>
      <c r="F889" s="297" t="n"/>
      <c r="G889" s="297" t="n"/>
      <c r="H889" s="297" t="n"/>
      <c r="I889" s="236" t="n"/>
      <c r="J889" s="236" t="n"/>
      <c r="K889" s="236" t="n"/>
      <c r="L889" s="236" t="n"/>
    </row>
    <row r="890" ht="15.75" customHeight="1" s="372">
      <c r="A890" s="297" t="n"/>
      <c r="B890" s="297" t="n"/>
      <c r="C890" s="297" t="n"/>
      <c r="D890" s="297" t="n"/>
      <c r="E890" s="297" t="n"/>
      <c r="F890" s="297" t="n"/>
      <c r="G890" s="297" t="n"/>
      <c r="H890" s="297" t="n"/>
      <c r="I890" s="236" t="n"/>
      <c r="J890" s="236" t="n"/>
      <c r="K890" s="236" t="n"/>
      <c r="L890" s="236" t="n"/>
    </row>
    <row r="891" ht="15.75" customHeight="1" s="372">
      <c r="A891" s="297" t="n"/>
      <c r="B891" s="297" t="n"/>
      <c r="C891" s="297" t="n"/>
      <c r="D891" s="297" t="n"/>
      <c r="E891" s="297" t="n"/>
      <c r="F891" s="297" t="n"/>
      <c r="G891" s="297" t="n"/>
      <c r="H891" s="297" t="n"/>
      <c r="I891" s="236" t="n"/>
      <c r="J891" s="236" t="n"/>
      <c r="K891" s="236" t="n"/>
      <c r="L891" s="236" t="n"/>
    </row>
    <row r="892" ht="15.75" customHeight="1" s="372">
      <c r="A892" s="297" t="n"/>
      <c r="B892" s="297" t="n"/>
      <c r="C892" s="297" t="n"/>
      <c r="D892" s="297" t="n"/>
      <c r="E892" s="297" t="n"/>
      <c r="F892" s="297" t="n"/>
      <c r="G892" s="297" t="n"/>
      <c r="H892" s="297" t="n"/>
      <c r="I892" s="236" t="n"/>
      <c r="J892" s="236" t="n"/>
      <c r="K892" s="236" t="n"/>
      <c r="L892" s="236" t="n"/>
    </row>
    <row r="893" ht="15.75" customHeight="1" s="372">
      <c r="A893" s="297" t="n"/>
      <c r="B893" s="297" t="n"/>
      <c r="C893" s="297" t="n"/>
      <c r="D893" s="297" t="n"/>
      <c r="E893" s="297" t="n"/>
      <c r="F893" s="297" t="n"/>
      <c r="G893" s="297" t="n"/>
      <c r="H893" s="297" t="n"/>
      <c r="I893" s="236" t="n"/>
      <c r="J893" s="236" t="n"/>
      <c r="K893" s="236" t="n"/>
      <c r="L893" s="236" t="n"/>
    </row>
    <row r="894" ht="15.75" customHeight="1" s="372">
      <c r="A894" s="297" t="n"/>
      <c r="B894" s="297" t="n"/>
      <c r="C894" s="297" t="n"/>
      <c r="D894" s="297" t="n"/>
      <c r="E894" s="297" t="n"/>
      <c r="F894" s="297" t="n"/>
      <c r="G894" s="297" t="n"/>
      <c r="H894" s="297" t="n"/>
      <c r="I894" s="236" t="n"/>
      <c r="J894" s="236" t="n"/>
      <c r="K894" s="236" t="n"/>
      <c r="L894" s="236" t="n"/>
    </row>
    <row r="895" ht="15.75" customHeight="1" s="372">
      <c r="A895" s="297" t="n"/>
      <c r="B895" s="297" t="n"/>
      <c r="C895" s="297" t="n"/>
      <c r="D895" s="297" t="n"/>
      <c r="E895" s="297" t="n"/>
      <c r="F895" s="297" t="n"/>
      <c r="G895" s="297" t="n"/>
      <c r="H895" s="297" t="n"/>
      <c r="I895" s="236" t="n"/>
      <c r="J895" s="236" t="n"/>
      <c r="K895" s="236" t="n"/>
      <c r="L895" s="236" t="n"/>
    </row>
    <row r="896" ht="15.75" customHeight="1" s="372">
      <c r="A896" s="297" t="n"/>
      <c r="B896" s="297" t="n"/>
      <c r="C896" s="297" t="n"/>
      <c r="D896" s="297" t="n"/>
      <c r="E896" s="297" t="n"/>
      <c r="F896" s="297" t="n"/>
      <c r="G896" s="297" t="n"/>
      <c r="H896" s="297" t="n"/>
      <c r="I896" s="236" t="n"/>
      <c r="J896" s="236" t="n"/>
      <c r="K896" s="236" t="n"/>
      <c r="L896" s="236" t="n"/>
    </row>
    <row r="897" ht="15.75" customHeight="1" s="372">
      <c r="A897" s="297" t="n"/>
      <c r="B897" s="297" t="n"/>
      <c r="C897" s="297" t="n"/>
      <c r="D897" s="297" t="n"/>
      <c r="E897" s="297" t="n"/>
      <c r="F897" s="297" t="n"/>
      <c r="G897" s="297" t="n"/>
      <c r="H897" s="297" t="n"/>
      <c r="I897" s="236" t="n"/>
      <c r="J897" s="236" t="n"/>
      <c r="K897" s="236" t="n"/>
      <c r="L897" s="236" t="n"/>
    </row>
    <row r="898" ht="15.75" customHeight="1" s="372">
      <c r="A898" s="297" t="n"/>
      <c r="B898" s="297" t="n"/>
      <c r="C898" s="297" t="n"/>
      <c r="D898" s="297" t="n"/>
      <c r="E898" s="297" t="n"/>
      <c r="F898" s="297" t="n"/>
      <c r="G898" s="297" t="n"/>
      <c r="H898" s="297" t="n"/>
      <c r="I898" s="236" t="n"/>
      <c r="J898" s="236" t="n"/>
      <c r="K898" s="236" t="n"/>
      <c r="L898" s="236" t="n"/>
    </row>
    <row r="899" ht="15.75" customHeight="1" s="372">
      <c r="A899" s="297" t="n"/>
      <c r="B899" s="297" t="n"/>
      <c r="C899" s="297" t="n"/>
      <c r="D899" s="297" t="n"/>
      <c r="E899" s="297" t="n"/>
      <c r="F899" s="297" t="n"/>
      <c r="G899" s="297" t="n"/>
      <c r="H899" s="297" t="n"/>
      <c r="I899" s="236" t="n"/>
      <c r="J899" s="236" t="n"/>
      <c r="K899" s="236" t="n"/>
      <c r="L899" s="236" t="n"/>
    </row>
    <row r="900" ht="15.75" customHeight="1" s="372">
      <c r="A900" s="297" t="n"/>
      <c r="B900" s="297" t="n"/>
      <c r="C900" s="297" t="n"/>
      <c r="D900" s="297" t="n"/>
      <c r="E900" s="297" t="n"/>
      <c r="F900" s="297" t="n"/>
      <c r="G900" s="297" t="n"/>
      <c r="H900" s="297" t="n"/>
      <c r="I900" s="236" t="n"/>
      <c r="J900" s="236" t="n"/>
      <c r="K900" s="236" t="n"/>
      <c r="L900" s="236" t="n"/>
    </row>
    <row r="901" ht="15.75" customHeight="1" s="372">
      <c r="A901" s="297" t="n"/>
      <c r="B901" s="297" t="n"/>
      <c r="C901" s="297" t="n"/>
      <c r="D901" s="297" t="n"/>
      <c r="E901" s="297" t="n"/>
      <c r="F901" s="297" t="n"/>
      <c r="G901" s="297" t="n"/>
      <c r="H901" s="297" t="n"/>
      <c r="I901" s="236" t="n"/>
      <c r="J901" s="236" t="n"/>
      <c r="K901" s="236" t="n"/>
      <c r="L901" s="236" t="n"/>
    </row>
    <row r="902" ht="15.75" customHeight="1" s="372">
      <c r="A902" s="297" t="n"/>
      <c r="B902" s="297" t="n"/>
      <c r="C902" s="297" t="n"/>
      <c r="D902" s="297" t="n"/>
      <c r="E902" s="297" t="n"/>
      <c r="F902" s="297" t="n"/>
      <c r="G902" s="297" t="n"/>
      <c r="H902" s="297" t="n"/>
      <c r="I902" s="236" t="n"/>
      <c r="J902" s="236" t="n"/>
      <c r="K902" s="236" t="n"/>
      <c r="L902" s="236" t="n"/>
    </row>
    <row r="903" ht="15.75" customHeight="1" s="372">
      <c r="A903" s="297" t="n"/>
      <c r="B903" s="297" t="n"/>
      <c r="C903" s="297" t="n"/>
      <c r="D903" s="297" t="n"/>
      <c r="E903" s="297" t="n"/>
      <c r="F903" s="297" t="n"/>
      <c r="G903" s="297" t="n"/>
      <c r="H903" s="297" t="n"/>
      <c r="I903" s="236" t="n"/>
      <c r="J903" s="236" t="n"/>
      <c r="K903" s="236" t="n"/>
      <c r="L903" s="236" t="n"/>
    </row>
    <row r="904" ht="15.75" customHeight="1" s="372">
      <c r="A904" s="297" t="n"/>
      <c r="B904" s="297" t="n"/>
      <c r="C904" s="297" t="n"/>
      <c r="D904" s="297" t="n"/>
      <c r="E904" s="297" t="n"/>
      <c r="F904" s="297" t="n"/>
      <c r="G904" s="297" t="n"/>
      <c r="H904" s="297" t="n"/>
      <c r="I904" s="236" t="n"/>
      <c r="J904" s="236" t="n"/>
      <c r="K904" s="236" t="n"/>
      <c r="L904" s="236" t="n"/>
    </row>
    <row r="905" ht="15.75" customHeight="1" s="372">
      <c r="A905" s="297" t="n"/>
      <c r="B905" s="297" t="n"/>
      <c r="C905" s="297" t="n"/>
      <c r="D905" s="297" t="n"/>
      <c r="E905" s="297" t="n"/>
      <c r="F905" s="297" t="n"/>
      <c r="G905" s="297" t="n"/>
      <c r="H905" s="297" t="n"/>
      <c r="I905" s="236" t="n"/>
      <c r="J905" s="236" t="n"/>
      <c r="K905" s="236" t="n"/>
      <c r="L905" s="236" t="n"/>
    </row>
    <row r="906" ht="15.75" customHeight="1" s="372">
      <c r="A906" s="297" t="n"/>
      <c r="B906" s="297" t="n"/>
      <c r="C906" s="297" t="n"/>
      <c r="D906" s="297" t="n"/>
      <c r="E906" s="297" t="n"/>
      <c r="F906" s="297" t="n"/>
      <c r="G906" s="297" t="n"/>
      <c r="H906" s="297" t="n"/>
      <c r="I906" s="236" t="n"/>
      <c r="J906" s="236" t="n"/>
      <c r="K906" s="236" t="n"/>
      <c r="L906" s="236" t="n"/>
    </row>
    <row r="907" ht="15.75" customHeight="1" s="372">
      <c r="A907" s="297" t="n"/>
      <c r="B907" s="297" t="n"/>
      <c r="C907" s="297" t="n"/>
      <c r="D907" s="297" t="n"/>
      <c r="E907" s="297" t="n"/>
      <c r="F907" s="297" t="n"/>
      <c r="G907" s="297" t="n"/>
      <c r="H907" s="297" t="n"/>
      <c r="I907" s="236" t="n"/>
      <c r="J907" s="236" t="n"/>
      <c r="K907" s="236" t="n"/>
      <c r="L907" s="236" t="n"/>
    </row>
    <row r="908" ht="15.75" customHeight="1" s="372">
      <c r="A908" s="297" t="n"/>
      <c r="B908" s="297" t="n"/>
      <c r="C908" s="297" t="n"/>
      <c r="D908" s="297" t="n"/>
      <c r="E908" s="297" t="n"/>
      <c r="F908" s="297" t="n"/>
      <c r="G908" s="297" t="n"/>
      <c r="H908" s="297" t="n"/>
      <c r="I908" s="236" t="n"/>
      <c r="J908" s="236" t="n"/>
      <c r="K908" s="236" t="n"/>
      <c r="L908" s="236" t="n"/>
    </row>
    <row r="909" ht="15.75" customHeight="1" s="372">
      <c r="A909" s="297" t="n"/>
      <c r="B909" s="297" t="n"/>
      <c r="C909" s="297" t="n"/>
      <c r="D909" s="297" t="n"/>
      <c r="E909" s="297" t="n"/>
      <c r="F909" s="297" t="n"/>
      <c r="G909" s="297" t="n"/>
      <c r="H909" s="297" t="n"/>
      <c r="I909" s="236" t="n"/>
      <c r="J909" s="236" t="n"/>
      <c r="K909" s="236" t="n"/>
      <c r="L909" s="236" t="n"/>
    </row>
    <row r="910" ht="15.75" customHeight="1" s="372">
      <c r="A910" s="297" t="n"/>
      <c r="B910" s="297" t="n"/>
      <c r="C910" s="297" t="n"/>
      <c r="D910" s="297" t="n"/>
      <c r="E910" s="297" t="n"/>
      <c r="F910" s="297" t="n"/>
      <c r="G910" s="297" t="n"/>
      <c r="H910" s="297" t="n"/>
      <c r="I910" s="236" t="n"/>
      <c r="J910" s="236" t="n"/>
      <c r="K910" s="236" t="n"/>
      <c r="L910" s="236" t="n"/>
    </row>
    <row r="911" ht="15.75" customHeight="1" s="372">
      <c r="A911" s="297" t="n"/>
      <c r="B911" s="297" t="n"/>
      <c r="C911" s="297" t="n"/>
      <c r="D911" s="297" t="n"/>
      <c r="E911" s="297" t="n"/>
      <c r="F911" s="297" t="n"/>
      <c r="G911" s="297" t="n"/>
      <c r="H911" s="297" t="n"/>
      <c r="I911" s="236" t="n"/>
      <c r="J911" s="236" t="n"/>
      <c r="K911" s="236" t="n"/>
      <c r="L911" s="236" t="n"/>
    </row>
    <row r="912" ht="15.75" customHeight="1" s="372">
      <c r="A912" s="297" t="n"/>
      <c r="B912" s="297" t="n"/>
      <c r="C912" s="297" t="n"/>
      <c r="D912" s="297" t="n"/>
      <c r="E912" s="297" t="n"/>
      <c r="F912" s="297" t="n"/>
      <c r="G912" s="297" t="n"/>
      <c r="H912" s="297" t="n"/>
      <c r="I912" s="236" t="n"/>
      <c r="J912" s="236" t="n"/>
      <c r="K912" s="236" t="n"/>
      <c r="L912" s="236" t="n"/>
    </row>
    <row r="913" ht="15.75" customHeight="1" s="372">
      <c r="A913" s="297" t="n"/>
      <c r="B913" s="297" t="n"/>
      <c r="C913" s="297" t="n"/>
      <c r="D913" s="297" t="n"/>
      <c r="E913" s="297" t="n"/>
      <c r="F913" s="297" t="n"/>
      <c r="G913" s="297" t="n"/>
      <c r="H913" s="297" t="n"/>
      <c r="I913" s="236" t="n"/>
      <c r="J913" s="236" t="n"/>
      <c r="K913" s="236" t="n"/>
      <c r="L913" s="236" t="n"/>
    </row>
    <row r="914" ht="15.75" customHeight="1" s="372">
      <c r="A914" s="297" t="n"/>
      <c r="B914" s="297" t="n"/>
      <c r="C914" s="297" t="n"/>
      <c r="D914" s="297" t="n"/>
      <c r="E914" s="297" t="n"/>
      <c r="F914" s="297" t="n"/>
      <c r="G914" s="297" t="n"/>
      <c r="H914" s="297" t="n"/>
      <c r="I914" s="236" t="n"/>
      <c r="J914" s="236" t="n"/>
      <c r="K914" s="236" t="n"/>
      <c r="L914" s="236" t="n"/>
    </row>
    <row r="915" ht="15.75" customHeight="1" s="372">
      <c r="A915" s="297" t="n"/>
      <c r="B915" s="297" t="n"/>
      <c r="C915" s="297" t="n"/>
      <c r="D915" s="297" t="n"/>
      <c r="E915" s="297" t="n"/>
      <c r="F915" s="297" t="n"/>
      <c r="G915" s="297" t="n"/>
      <c r="H915" s="297" t="n"/>
      <c r="I915" s="236" t="n"/>
      <c r="J915" s="236" t="n"/>
      <c r="K915" s="236" t="n"/>
      <c r="L915" s="236" t="n"/>
    </row>
    <row r="916" ht="15.75" customHeight="1" s="372">
      <c r="A916" s="297" t="n"/>
      <c r="B916" s="297" t="n"/>
      <c r="C916" s="297" t="n"/>
      <c r="D916" s="297" t="n"/>
      <c r="E916" s="297" t="n"/>
      <c r="F916" s="297" t="n"/>
      <c r="G916" s="297" t="n"/>
      <c r="H916" s="297" t="n"/>
      <c r="I916" s="236" t="n"/>
      <c r="J916" s="236" t="n"/>
      <c r="K916" s="236" t="n"/>
      <c r="L916" s="236" t="n"/>
    </row>
    <row r="917" ht="15.75" customHeight="1" s="372">
      <c r="A917" s="297" t="n"/>
      <c r="B917" s="297" t="n"/>
      <c r="C917" s="297" t="n"/>
      <c r="D917" s="297" t="n"/>
      <c r="E917" s="297" t="n"/>
      <c r="F917" s="297" t="n"/>
      <c r="G917" s="297" t="n"/>
      <c r="H917" s="297" t="n"/>
      <c r="I917" s="236" t="n"/>
      <c r="J917" s="236" t="n"/>
      <c r="K917" s="236" t="n"/>
      <c r="L917" s="236" t="n"/>
    </row>
    <row r="918" ht="15.75" customHeight="1" s="372">
      <c r="A918" s="297" t="n"/>
      <c r="B918" s="297" t="n"/>
      <c r="C918" s="297" t="n"/>
      <c r="D918" s="297" t="n"/>
      <c r="E918" s="297" t="n"/>
      <c r="F918" s="297" t="n"/>
      <c r="G918" s="297" t="n"/>
      <c r="H918" s="297" t="n"/>
      <c r="I918" s="236" t="n"/>
      <c r="J918" s="236" t="n"/>
      <c r="K918" s="236" t="n"/>
      <c r="L918" s="236" t="n"/>
    </row>
    <row r="919" ht="15.75" customHeight="1" s="372">
      <c r="A919" s="297" t="n"/>
      <c r="B919" s="297" t="n"/>
      <c r="C919" s="297" t="n"/>
      <c r="D919" s="297" t="n"/>
      <c r="E919" s="297" t="n"/>
      <c r="F919" s="297" t="n"/>
      <c r="G919" s="297" t="n"/>
      <c r="H919" s="297" t="n"/>
      <c r="I919" s="236" t="n"/>
      <c r="J919" s="236" t="n"/>
      <c r="K919" s="236" t="n"/>
      <c r="L919" s="236" t="n"/>
    </row>
    <row r="920" ht="15.75" customHeight="1" s="372">
      <c r="A920" s="297" t="n"/>
      <c r="B920" s="297" t="n"/>
      <c r="C920" s="297" t="n"/>
      <c r="D920" s="297" t="n"/>
      <c r="E920" s="297" t="n"/>
      <c r="F920" s="297" t="n"/>
      <c r="G920" s="297" t="n"/>
      <c r="H920" s="297" t="n"/>
      <c r="I920" s="236" t="n"/>
      <c r="J920" s="236" t="n"/>
      <c r="K920" s="236" t="n"/>
      <c r="L920" s="236" t="n"/>
    </row>
    <row r="921" ht="15.75" customHeight="1" s="372">
      <c r="A921" s="297" t="n"/>
      <c r="B921" s="297" t="n"/>
      <c r="C921" s="297" t="n"/>
      <c r="D921" s="297" t="n"/>
      <c r="E921" s="297" t="n"/>
      <c r="F921" s="297" t="n"/>
      <c r="G921" s="297" t="n"/>
      <c r="H921" s="297" t="n"/>
      <c r="I921" s="236" t="n"/>
      <c r="J921" s="236" t="n"/>
      <c r="K921" s="236" t="n"/>
      <c r="L921" s="236" t="n"/>
    </row>
    <row r="922" ht="15.75" customHeight="1" s="372">
      <c r="A922" s="297" t="n"/>
      <c r="B922" s="297" t="n"/>
      <c r="C922" s="297" t="n"/>
      <c r="D922" s="297" t="n"/>
      <c r="E922" s="297" t="n"/>
      <c r="F922" s="297" t="n"/>
      <c r="G922" s="297" t="n"/>
      <c r="H922" s="297" t="n"/>
      <c r="I922" s="236" t="n"/>
      <c r="J922" s="236" t="n"/>
      <c r="K922" s="236" t="n"/>
      <c r="L922" s="236" t="n"/>
    </row>
    <row r="923" ht="15.75" customHeight="1" s="372">
      <c r="A923" s="297" t="n"/>
      <c r="B923" s="297" t="n"/>
      <c r="C923" s="297" t="n"/>
      <c r="D923" s="297" t="n"/>
      <c r="E923" s="297" t="n"/>
      <c r="F923" s="297" t="n"/>
      <c r="G923" s="297" t="n"/>
      <c r="H923" s="297" t="n"/>
      <c r="I923" s="236" t="n"/>
      <c r="J923" s="236" t="n"/>
      <c r="K923" s="236" t="n"/>
      <c r="L923" s="236" t="n"/>
    </row>
    <row r="924" ht="15.75" customHeight="1" s="372">
      <c r="A924" s="297" t="n"/>
      <c r="B924" s="297" t="n"/>
      <c r="C924" s="297" t="n"/>
      <c r="D924" s="297" t="n"/>
      <c r="E924" s="297" t="n"/>
      <c r="F924" s="297" t="n"/>
      <c r="G924" s="297" t="n"/>
      <c r="H924" s="297" t="n"/>
      <c r="I924" s="236" t="n"/>
      <c r="J924" s="236" t="n"/>
      <c r="K924" s="236" t="n"/>
      <c r="L924" s="236" t="n"/>
    </row>
    <row r="925" ht="15.75" customHeight="1" s="372">
      <c r="A925" s="297" t="n"/>
      <c r="B925" s="297" t="n"/>
      <c r="C925" s="297" t="n"/>
      <c r="D925" s="297" t="n"/>
      <c r="E925" s="297" t="n"/>
      <c r="F925" s="297" t="n"/>
      <c r="G925" s="297" t="n"/>
      <c r="H925" s="297" t="n"/>
      <c r="I925" s="236" t="n"/>
      <c r="J925" s="236" t="n"/>
      <c r="K925" s="236" t="n"/>
      <c r="L925" s="236" t="n"/>
    </row>
    <row r="926" ht="15.75" customHeight="1" s="372">
      <c r="A926" s="297" t="n"/>
      <c r="B926" s="297" t="n"/>
      <c r="C926" s="297" t="n"/>
      <c r="D926" s="297" t="n"/>
      <c r="E926" s="297" t="n"/>
      <c r="F926" s="297" t="n"/>
      <c r="G926" s="297" t="n"/>
      <c r="H926" s="297" t="n"/>
      <c r="I926" s="236" t="n"/>
      <c r="J926" s="236" t="n"/>
      <c r="K926" s="236" t="n"/>
      <c r="L926" s="236" t="n"/>
    </row>
    <row r="927" ht="15.75" customHeight="1" s="372">
      <c r="A927" s="297" t="n"/>
      <c r="B927" s="297" t="n"/>
      <c r="C927" s="297" t="n"/>
      <c r="D927" s="297" t="n"/>
      <c r="E927" s="297" t="n"/>
      <c r="F927" s="297" t="n"/>
      <c r="G927" s="297" t="n"/>
      <c r="H927" s="297" t="n"/>
      <c r="I927" s="236" t="n"/>
      <c r="J927" s="236" t="n"/>
      <c r="K927" s="236" t="n"/>
      <c r="L927" s="236" t="n"/>
    </row>
    <row r="928" ht="15.75" customHeight="1" s="372">
      <c r="A928" s="297" t="n"/>
      <c r="B928" s="297" t="n"/>
      <c r="C928" s="297" t="n"/>
      <c r="D928" s="297" t="n"/>
      <c r="E928" s="297" t="n"/>
      <c r="F928" s="297" t="n"/>
      <c r="G928" s="297" t="n"/>
      <c r="H928" s="297" t="n"/>
      <c r="I928" s="236" t="n"/>
      <c r="J928" s="236" t="n"/>
      <c r="K928" s="236" t="n"/>
      <c r="L928" s="236" t="n"/>
    </row>
    <row r="929" ht="15.75" customHeight="1" s="372">
      <c r="A929" s="297" t="n"/>
      <c r="B929" s="297" t="n"/>
      <c r="C929" s="297" t="n"/>
      <c r="D929" s="297" t="n"/>
      <c r="E929" s="297" t="n"/>
      <c r="F929" s="297" t="n"/>
      <c r="G929" s="297" t="n"/>
      <c r="H929" s="297" t="n"/>
      <c r="I929" s="236" t="n"/>
      <c r="J929" s="236" t="n"/>
      <c r="K929" s="236" t="n"/>
      <c r="L929" s="236" t="n"/>
    </row>
    <row r="930" ht="15.75" customHeight="1" s="372">
      <c r="A930" s="297" t="n"/>
      <c r="B930" s="297" t="n"/>
      <c r="C930" s="297" t="n"/>
      <c r="D930" s="297" t="n"/>
      <c r="E930" s="297" t="n"/>
      <c r="F930" s="297" t="n"/>
      <c r="G930" s="297" t="n"/>
      <c r="H930" s="297" t="n"/>
      <c r="I930" s="236" t="n"/>
      <c r="J930" s="236" t="n"/>
      <c r="K930" s="236" t="n"/>
      <c r="L930" s="236" t="n"/>
    </row>
    <row r="931" ht="15.75" customHeight="1" s="372">
      <c r="A931" s="297" t="n"/>
      <c r="B931" s="297" t="n"/>
      <c r="C931" s="297" t="n"/>
      <c r="D931" s="297" t="n"/>
      <c r="E931" s="297" t="n"/>
      <c r="F931" s="297" t="n"/>
      <c r="G931" s="297" t="n"/>
      <c r="H931" s="297" t="n"/>
      <c r="I931" s="236" t="n"/>
      <c r="J931" s="236" t="n"/>
      <c r="K931" s="236" t="n"/>
      <c r="L931" s="236" t="n"/>
    </row>
    <row r="932" ht="15.75" customHeight="1" s="372">
      <c r="A932" s="297" t="n"/>
      <c r="B932" s="297" t="n"/>
      <c r="C932" s="297" t="n"/>
      <c r="D932" s="297" t="n"/>
      <c r="E932" s="297" t="n"/>
      <c r="F932" s="297" t="n"/>
      <c r="G932" s="297" t="n"/>
      <c r="H932" s="297" t="n"/>
      <c r="I932" s="236" t="n"/>
      <c r="J932" s="236" t="n"/>
      <c r="K932" s="236" t="n"/>
      <c r="L932" s="236" t="n"/>
    </row>
    <row r="933" ht="15.75" customHeight="1" s="372">
      <c r="A933" s="297" t="n"/>
      <c r="B933" s="297" t="n"/>
      <c r="C933" s="297" t="n"/>
      <c r="D933" s="297" t="n"/>
      <c r="E933" s="297" t="n"/>
      <c r="F933" s="297" t="n"/>
      <c r="G933" s="297" t="n"/>
      <c r="H933" s="297" t="n"/>
      <c r="I933" s="236" t="n"/>
      <c r="J933" s="236" t="n"/>
      <c r="K933" s="236" t="n"/>
      <c r="L933" s="236" t="n"/>
    </row>
    <row r="934" ht="15.75" customHeight="1" s="372">
      <c r="A934" s="297" t="n"/>
      <c r="B934" s="297" t="n"/>
      <c r="C934" s="297" t="n"/>
      <c r="D934" s="297" t="n"/>
      <c r="E934" s="297" t="n"/>
      <c r="F934" s="297" t="n"/>
      <c r="G934" s="297" t="n"/>
      <c r="H934" s="297" t="n"/>
      <c r="I934" s="236" t="n"/>
      <c r="J934" s="236" t="n"/>
      <c r="K934" s="236" t="n"/>
      <c r="L934" s="236" t="n"/>
    </row>
    <row r="935" ht="15.75" customHeight="1" s="372">
      <c r="A935" s="297" t="n"/>
      <c r="B935" s="297" t="n"/>
      <c r="C935" s="297" t="n"/>
      <c r="D935" s="297" t="n"/>
      <c r="E935" s="297" t="n"/>
      <c r="F935" s="297" t="n"/>
      <c r="G935" s="297" t="n"/>
      <c r="H935" s="297" t="n"/>
      <c r="I935" s="236" t="n"/>
      <c r="J935" s="236" t="n"/>
      <c r="K935" s="236" t="n"/>
      <c r="L935" s="236" t="n"/>
    </row>
    <row r="936" ht="15.75" customHeight="1" s="372">
      <c r="A936" s="297" t="n"/>
      <c r="B936" s="297" t="n"/>
      <c r="C936" s="297" t="n"/>
      <c r="D936" s="297" t="n"/>
      <c r="E936" s="297" t="n"/>
      <c r="F936" s="297" t="n"/>
      <c r="G936" s="297" t="n"/>
      <c r="H936" s="297" t="n"/>
      <c r="I936" s="236" t="n"/>
      <c r="J936" s="236" t="n"/>
      <c r="K936" s="236" t="n"/>
      <c r="L936" s="236" t="n"/>
    </row>
    <row r="937" ht="15.75" customHeight="1" s="372">
      <c r="A937" s="297" t="n"/>
      <c r="B937" s="297" t="n"/>
      <c r="C937" s="297" t="n"/>
      <c r="D937" s="297" t="n"/>
      <c r="E937" s="297" t="n"/>
      <c r="F937" s="297" t="n"/>
      <c r="G937" s="297" t="n"/>
      <c r="H937" s="297" t="n"/>
      <c r="I937" s="236" t="n"/>
      <c r="J937" s="236" t="n"/>
      <c r="K937" s="236" t="n"/>
      <c r="L937" s="236" t="n"/>
    </row>
    <row r="938" ht="15.75" customHeight="1" s="372">
      <c r="A938" s="297" t="n"/>
      <c r="B938" s="297" t="n"/>
      <c r="C938" s="297" t="n"/>
      <c r="D938" s="297" t="n"/>
      <c r="E938" s="297" t="n"/>
      <c r="F938" s="297" t="n"/>
      <c r="G938" s="297" t="n"/>
      <c r="H938" s="297" t="n"/>
      <c r="I938" s="236" t="n"/>
      <c r="J938" s="236" t="n"/>
      <c r="K938" s="236" t="n"/>
      <c r="L938" s="236" t="n"/>
    </row>
    <row r="939" ht="15.75" customHeight="1" s="372">
      <c r="A939" s="297" t="n"/>
      <c r="B939" s="297" t="n"/>
      <c r="C939" s="297" t="n"/>
      <c r="D939" s="297" t="n"/>
      <c r="E939" s="297" t="n"/>
      <c r="F939" s="297" t="n"/>
      <c r="G939" s="297" t="n"/>
      <c r="H939" s="297" t="n"/>
      <c r="I939" s="236" t="n"/>
      <c r="J939" s="236" t="n"/>
      <c r="K939" s="236" t="n"/>
      <c r="L939" s="236" t="n"/>
    </row>
    <row r="940" ht="15.75" customHeight="1" s="372">
      <c r="A940" s="297" t="n"/>
      <c r="B940" s="297" t="n"/>
      <c r="C940" s="297" t="n"/>
      <c r="D940" s="297" t="n"/>
      <c r="E940" s="297" t="n"/>
      <c r="F940" s="297" t="n"/>
      <c r="G940" s="297" t="n"/>
      <c r="H940" s="297" t="n"/>
      <c r="I940" s="236" t="n"/>
      <c r="J940" s="236" t="n"/>
      <c r="K940" s="236" t="n"/>
      <c r="L940" s="236" t="n"/>
    </row>
    <row r="941" ht="15.75" customHeight="1" s="372">
      <c r="A941" s="297" t="n"/>
      <c r="B941" s="297" t="n"/>
      <c r="C941" s="297" t="n"/>
      <c r="D941" s="297" t="n"/>
      <c r="E941" s="297" t="n"/>
      <c r="F941" s="297" t="n"/>
      <c r="G941" s="297" t="n"/>
      <c r="H941" s="297" t="n"/>
      <c r="I941" s="236" t="n"/>
      <c r="J941" s="236" t="n"/>
      <c r="K941" s="236" t="n"/>
      <c r="L941" s="236" t="n"/>
    </row>
    <row r="942" ht="15.75" customHeight="1" s="372">
      <c r="A942" s="297" t="n"/>
      <c r="B942" s="297" t="n"/>
      <c r="C942" s="297" t="n"/>
      <c r="D942" s="297" t="n"/>
      <c r="E942" s="297" t="n"/>
      <c r="F942" s="297" t="n"/>
      <c r="G942" s="297" t="n"/>
      <c r="H942" s="297" t="n"/>
      <c r="I942" s="236" t="n"/>
      <c r="J942" s="236" t="n"/>
      <c r="K942" s="236" t="n"/>
      <c r="L942" s="236" t="n"/>
    </row>
    <row r="943" ht="15.75" customHeight="1" s="372">
      <c r="A943" s="297" t="n"/>
      <c r="B943" s="297" t="n"/>
      <c r="C943" s="297" t="n"/>
      <c r="D943" s="297" t="n"/>
      <c r="E943" s="297" t="n"/>
      <c r="F943" s="297" t="n"/>
      <c r="G943" s="297" t="n"/>
      <c r="H943" s="297" t="n"/>
      <c r="I943" s="236" t="n"/>
      <c r="J943" s="236" t="n"/>
      <c r="K943" s="236" t="n"/>
      <c r="L943" s="236" t="n"/>
    </row>
    <row r="944" ht="15.75" customHeight="1" s="372">
      <c r="A944" s="297" t="n"/>
      <c r="B944" s="297" t="n"/>
      <c r="C944" s="297" t="n"/>
      <c r="D944" s="297" t="n"/>
      <c r="E944" s="297" t="n"/>
      <c r="F944" s="297" t="n"/>
      <c r="G944" s="297" t="n"/>
      <c r="H944" s="297" t="n"/>
      <c r="I944" s="236" t="n"/>
      <c r="J944" s="236" t="n"/>
      <c r="K944" s="236" t="n"/>
      <c r="L944" s="236" t="n"/>
    </row>
    <row r="945" ht="15.75" customHeight="1" s="372">
      <c r="A945" s="297" t="n"/>
      <c r="B945" s="297" t="n"/>
      <c r="C945" s="297" t="n"/>
      <c r="D945" s="297" t="n"/>
      <c r="E945" s="297" t="n"/>
      <c r="F945" s="297" t="n"/>
      <c r="G945" s="297" t="n"/>
      <c r="H945" s="297" t="n"/>
      <c r="I945" s="236" t="n"/>
      <c r="J945" s="236" t="n"/>
      <c r="K945" s="236" t="n"/>
      <c r="L945" s="236" t="n"/>
    </row>
    <row r="946" ht="15.75" customHeight="1" s="372">
      <c r="A946" s="297" t="n"/>
      <c r="B946" s="297" t="n"/>
      <c r="C946" s="297" t="n"/>
      <c r="D946" s="297" t="n"/>
      <c r="E946" s="297" t="n"/>
      <c r="F946" s="297" t="n"/>
      <c r="G946" s="297" t="n"/>
      <c r="H946" s="297" t="n"/>
      <c r="I946" s="236" t="n"/>
      <c r="J946" s="236" t="n"/>
      <c r="K946" s="236" t="n"/>
      <c r="L946" s="236" t="n"/>
    </row>
    <row r="947" ht="15.75" customHeight="1" s="372">
      <c r="A947" s="297" t="n"/>
      <c r="B947" s="297" t="n"/>
      <c r="C947" s="297" t="n"/>
      <c r="D947" s="297" t="n"/>
      <c r="E947" s="297" t="n"/>
      <c r="F947" s="297" t="n"/>
      <c r="G947" s="297" t="n"/>
      <c r="H947" s="297" t="n"/>
      <c r="I947" s="236" t="n"/>
      <c r="J947" s="236" t="n"/>
      <c r="K947" s="236" t="n"/>
      <c r="L947" s="236" t="n"/>
    </row>
    <row r="948" ht="15.75" customHeight="1" s="372">
      <c r="A948" s="297" t="n"/>
      <c r="B948" s="297" t="n"/>
      <c r="C948" s="297" t="n"/>
      <c r="D948" s="297" t="n"/>
      <c r="E948" s="297" t="n"/>
      <c r="F948" s="297" t="n"/>
      <c r="G948" s="297" t="n"/>
      <c r="H948" s="297" t="n"/>
      <c r="I948" s="236" t="n"/>
      <c r="J948" s="236" t="n"/>
      <c r="K948" s="236" t="n"/>
      <c r="L948" s="236" t="n"/>
    </row>
    <row r="949" ht="15.75" customHeight="1" s="372">
      <c r="A949" s="297" t="n"/>
      <c r="B949" s="297" t="n"/>
      <c r="C949" s="297" t="n"/>
      <c r="D949" s="297" t="n"/>
      <c r="E949" s="297" t="n"/>
      <c r="F949" s="297" t="n"/>
      <c r="G949" s="297" t="n"/>
      <c r="H949" s="297" t="n"/>
      <c r="I949" s="236" t="n"/>
      <c r="J949" s="236" t="n"/>
      <c r="K949" s="236" t="n"/>
      <c r="L949" s="236" t="n"/>
    </row>
    <row r="950" ht="15.75" customHeight="1" s="372">
      <c r="A950" s="297" t="n"/>
      <c r="B950" s="297" t="n"/>
      <c r="C950" s="297" t="n"/>
      <c r="D950" s="297" t="n"/>
      <c r="E950" s="297" t="n"/>
      <c r="F950" s="297" t="n"/>
      <c r="G950" s="297" t="n"/>
      <c r="H950" s="297" t="n"/>
      <c r="I950" s="236" t="n"/>
      <c r="J950" s="236" t="n"/>
      <c r="K950" s="236" t="n"/>
      <c r="L950" s="236" t="n"/>
    </row>
    <row r="951" ht="15.75" customHeight="1" s="372">
      <c r="A951" s="297" t="n"/>
      <c r="B951" s="297" t="n"/>
      <c r="C951" s="297" t="n"/>
      <c r="D951" s="297" t="n"/>
      <c r="E951" s="297" t="n"/>
      <c r="F951" s="297" t="n"/>
      <c r="G951" s="297" t="n"/>
      <c r="H951" s="297" t="n"/>
      <c r="I951" s="236" t="n"/>
      <c r="J951" s="236" t="n"/>
      <c r="K951" s="236" t="n"/>
      <c r="L951" s="236" t="n"/>
    </row>
    <row r="952" ht="15.75" customHeight="1" s="372">
      <c r="A952" s="297" t="n"/>
      <c r="B952" s="297" t="n"/>
      <c r="C952" s="297" t="n"/>
      <c r="D952" s="297" t="n"/>
      <c r="E952" s="297" t="n"/>
      <c r="F952" s="297" t="n"/>
      <c r="G952" s="297" t="n"/>
      <c r="H952" s="297" t="n"/>
      <c r="I952" s="236" t="n"/>
      <c r="J952" s="236" t="n"/>
      <c r="K952" s="236" t="n"/>
      <c r="L952" s="236" t="n"/>
    </row>
    <row r="953" ht="15.75" customHeight="1" s="372">
      <c r="A953" s="297" t="n"/>
      <c r="B953" s="297" t="n"/>
      <c r="C953" s="297" t="n"/>
      <c r="D953" s="297" t="n"/>
      <c r="E953" s="297" t="n"/>
      <c r="F953" s="297" t="n"/>
      <c r="G953" s="297" t="n"/>
      <c r="H953" s="297" t="n"/>
      <c r="I953" s="236" t="n"/>
      <c r="J953" s="236" t="n"/>
      <c r="K953" s="236" t="n"/>
      <c r="L953" s="236" t="n"/>
    </row>
    <row r="954" ht="15.75" customHeight="1" s="372">
      <c r="A954" s="297" t="n"/>
      <c r="B954" s="297" t="n"/>
      <c r="C954" s="297" t="n"/>
      <c r="D954" s="297" t="n"/>
      <c r="E954" s="297" t="n"/>
      <c r="F954" s="297" t="n"/>
      <c r="G954" s="297" t="n"/>
      <c r="H954" s="297" t="n"/>
      <c r="I954" s="236" t="n"/>
      <c r="J954" s="236" t="n"/>
      <c r="K954" s="236" t="n"/>
      <c r="L954" s="236" t="n"/>
    </row>
    <row r="955" ht="15.75" customHeight="1" s="372">
      <c r="A955" s="297" t="n"/>
      <c r="B955" s="297" t="n"/>
      <c r="C955" s="297" t="n"/>
      <c r="D955" s="297" t="n"/>
      <c r="E955" s="297" t="n"/>
      <c r="F955" s="297" t="n"/>
      <c r="G955" s="297" t="n"/>
      <c r="H955" s="297" t="n"/>
      <c r="I955" s="236" t="n"/>
      <c r="J955" s="236" t="n"/>
      <c r="K955" s="236" t="n"/>
      <c r="L955" s="236" t="n"/>
    </row>
    <row r="956" ht="15.75" customHeight="1" s="372">
      <c r="A956" s="297" t="n"/>
      <c r="B956" s="297" t="n"/>
      <c r="C956" s="297" t="n"/>
      <c r="D956" s="297" t="n"/>
      <c r="E956" s="297" t="n"/>
      <c r="F956" s="297" t="n"/>
      <c r="G956" s="297" t="n"/>
      <c r="H956" s="297" t="n"/>
      <c r="I956" s="236" t="n"/>
      <c r="J956" s="236" t="n"/>
      <c r="K956" s="236" t="n"/>
      <c r="L956" s="236" t="n"/>
    </row>
    <row r="957" ht="15.75" customHeight="1" s="372">
      <c r="A957" s="297" t="n"/>
      <c r="B957" s="297" t="n"/>
      <c r="C957" s="297" t="n"/>
      <c r="D957" s="297" t="n"/>
      <c r="E957" s="297" t="n"/>
      <c r="F957" s="297" t="n"/>
      <c r="G957" s="297" t="n"/>
      <c r="H957" s="297" t="n"/>
      <c r="I957" s="236" t="n"/>
      <c r="J957" s="236" t="n"/>
      <c r="K957" s="236" t="n"/>
      <c r="L957" s="236" t="n"/>
    </row>
    <row r="958" ht="15.75" customHeight="1" s="372">
      <c r="A958" s="297" t="n"/>
      <c r="B958" s="297" t="n"/>
      <c r="C958" s="297" t="n"/>
      <c r="D958" s="297" t="n"/>
      <c r="E958" s="297" t="n"/>
      <c r="F958" s="297" t="n"/>
      <c r="G958" s="297" t="n"/>
      <c r="H958" s="297" t="n"/>
      <c r="I958" s="236" t="n"/>
      <c r="J958" s="236" t="n"/>
      <c r="K958" s="236" t="n"/>
      <c r="L958" s="236" t="n"/>
    </row>
    <row r="959" ht="15.75" customHeight="1" s="372">
      <c r="A959" s="297" t="n"/>
      <c r="B959" s="297" t="n"/>
      <c r="C959" s="297" t="n"/>
      <c r="D959" s="297" t="n"/>
      <c r="E959" s="297" t="n"/>
      <c r="F959" s="297" t="n"/>
      <c r="G959" s="297" t="n"/>
      <c r="H959" s="297" t="n"/>
      <c r="I959" s="236" t="n"/>
      <c r="J959" s="236" t="n"/>
      <c r="K959" s="236" t="n"/>
      <c r="L959" s="236" t="n"/>
    </row>
    <row r="960" ht="15.75" customHeight="1" s="372">
      <c r="A960" s="297" t="n"/>
      <c r="B960" s="297" t="n"/>
      <c r="C960" s="297" t="n"/>
      <c r="D960" s="297" t="n"/>
      <c r="E960" s="297" t="n"/>
      <c r="F960" s="297" t="n"/>
      <c r="G960" s="297" t="n"/>
      <c r="H960" s="297" t="n"/>
      <c r="I960" s="236" t="n"/>
      <c r="J960" s="236" t="n"/>
      <c r="K960" s="236" t="n"/>
      <c r="L960" s="236" t="n"/>
    </row>
    <row r="961" ht="15.75" customHeight="1" s="372">
      <c r="A961" s="297" t="n"/>
      <c r="B961" s="297" t="n"/>
      <c r="C961" s="297" t="n"/>
      <c r="D961" s="297" t="n"/>
      <c r="E961" s="297" t="n"/>
      <c r="F961" s="297" t="n"/>
      <c r="G961" s="297" t="n"/>
      <c r="H961" s="297" t="n"/>
      <c r="I961" s="236" t="n"/>
      <c r="J961" s="236" t="n"/>
      <c r="K961" s="236" t="n"/>
      <c r="L961" s="236" t="n"/>
    </row>
    <row r="962" ht="15.75" customHeight="1" s="372">
      <c r="A962" s="297" t="n"/>
      <c r="B962" s="297" t="n"/>
      <c r="C962" s="297" t="n"/>
      <c r="D962" s="297" t="n"/>
      <c r="E962" s="297" t="n"/>
      <c r="F962" s="297" t="n"/>
      <c r="G962" s="297" t="n"/>
      <c r="H962" s="297" t="n"/>
      <c r="I962" s="236" t="n"/>
      <c r="J962" s="236" t="n"/>
      <c r="K962" s="236" t="n"/>
      <c r="L962" s="236" t="n"/>
    </row>
    <row r="963" ht="15.75" customHeight="1" s="372">
      <c r="A963" s="297" t="n"/>
      <c r="B963" s="297" t="n"/>
      <c r="C963" s="297" t="n"/>
      <c r="D963" s="297" t="n"/>
      <c r="E963" s="297" t="n"/>
      <c r="F963" s="297" t="n"/>
      <c r="G963" s="297" t="n"/>
      <c r="H963" s="297" t="n"/>
      <c r="I963" s="236" t="n"/>
      <c r="J963" s="236" t="n"/>
      <c r="K963" s="236" t="n"/>
      <c r="L963" s="236" t="n"/>
    </row>
    <row r="964" ht="15.75" customHeight="1" s="372">
      <c r="A964" s="297" t="n"/>
      <c r="B964" s="297" t="n"/>
      <c r="C964" s="297" t="n"/>
      <c r="D964" s="297" t="n"/>
      <c r="E964" s="297" t="n"/>
      <c r="F964" s="297" t="n"/>
      <c r="G964" s="297" t="n"/>
      <c r="H964" s="297" t="n"/>
      <c r="I964" s="236" t="n"/>
      <c r="J964" s="236" t="n"/>
      <c r="K964" s="236" t="n"/>
      <c r="L964" s="236" t="n"/>
    </row>
    <row r="965" ht="15.75" customHeight="1" s="372">
      <c r="A965" s="297" t="n"/>
      <c r="B965" s="297" t="n"/>
      <c r="C965" s="297" t="n"/>
      <c r="D965" s="297" t="n"/>
      <c r="E965" s="297" t="n"/>
      <c r="F965" s="297" t="n"/>
      <c r="G965" s="297" t="n"/>
      <c r="H965" s="297" t="n"/>
      <c r="I965" s="236" t="n"/>
      <c r="J965" s="236" t="n"/>
      <c r="K965" s="236" t="n"/>
      <c r="L965" s="236" t="n"/>
    </row>
    <row r="966" ht="15.75" customHeight="1" s="372">
      <c r="A966" s="297" t="n"/>
      <c r="B966" s="297" t="n"/>
      <c r="C966" s="297" t="n"/>
      <c r="D966" s="297" t="n"/>
      <c r="E966" s="297" t="n"/>
      <c r="F966" s="297" t="n"/>
      <c r="G966" s="297" t="n"/>
      <c r="H966" s="297" t="n"/>
      <c r="I966" s="236" t="n"/>
      <c r="J966" s="236" t="n"/>
      <c r="K966" s="236" t="n"/>
      <c r="L966" s="236" t="n"/>
    </row>
    <row r="967" ht="15.75" customHeight="1" s="372">
      <c r="A967" s="297" t="n"/>
      <c r="B967" s="297" t="n"/>
      <c r="C967" s="297" t="n"/>
      <c r="D967" s="297" t="n"/>
      <c r="E967" s="297" t="n"/>
      <c r="F967" s="297" t="n"/>
      <c r="G967" s="297" t="n"/>
      <c r="H967" s="297" t="n"/>
      <c r="I967" s="236" t="n"/>
      <c r="J967" s="236" t="n"/>
      <c r="K967" s="236" t="n"/>
      <c r="L967" s="236" t="n"/>
    </row>
    <row r="968" ht="15.75" customHeight="1" s="372">
      <c r="A968" s="297" t="n"/>
      <c r="B968" s="297" t="n"/>
      <c r="C968" s="297" t="n"/>
      <c r="D968" s="297" t="n"/>
      <c r="E968" s="297" t="n"/>
      <c r="F968" s="297" t="n"/>
      <c r="G968" s="297" t="n"/>
      <c r="H968" s="297" t="n"/>
      <c r="I968" s="236" t="n"/>
      <c r="J968" s="236" t="n"/>
      <c r="K968" s="236" t="n"/>
      <c r="L968" s="236" t="n"/>
    </row>
    <row r="969" ht="15.75" customHeight="1" s="372">
      <c r="A969" s="297" t="n"/>
      <c r="B969" s="297" t="n"/>
      <c r="C969" s="297" t="n"/>
      <c r="D969" s="297" t="n"/>
      <c r="E969" s="297" t="n"/>
      <c r="F969" s="297" t="n"/>
      <c r="G969" s="297" t="n"/>
      <c r="H969" s="297" t="n"/>
      <c r="I969" s="236" t="n"/>
      <c r="J969" s="236" t="n"/>
      <c r="K969" s="236" t="n"/>
      <c r="L969" s="236" t="n"/>
    </row>
    <row r="970" ht="15.75" customHeight="1" s="372">
      <c r="A970" s="297" t="n"/>
      <c r="B970" s="297" t="n"/>
      <c r="C970" s="297" t="n"/>
      <c r="D970" s="297" t="n"/>
      <c r="E970" s="297" t="n"/>
      <c r="F970" s="297" t="n"/>
      <c r="G970" s="297" t="n"/>
      <c r="H970" s="297" t="n"/>
      <c r="I970" s="236" t="n"/>
      <c r="J970" s="236" t="n"/>
      <c r="K970" s="236" t="n"/>
      <c r="L970" s="236" t="n"/>
    </row>
    <row r="971" ht="15.75" customHeight="1" s="372">
      <c r="A971" s="297" t="n"/>
      <c r="B971" s="297" t="n"/>
      <c r="C971" s="297" t="n"/>
      <c r="D971" s="297" t="n"/>
      <c r="E971" s="297" t="n"/>
      <c r="F971" s="297" t="n"/>
      <c r="G971" s="297" t="n"/>
      <c r="H971" s="297" t="n"/>
      <c r="I971" s="236" t="n"/>
      <c r="J971" s="236" t="n"/>
      <c r="K971" s="236" t="n"/>
      <c r="L971" s="236" t="n"/>
    </row>
    <row r="972" ht="15.75" customHeight="1" s="372">
      <c r="A972" s="297" t="n"/>
      <c r="B972" s="297" t="n"/>
      <c r="C972" s="297" t="n"/>
      <c r="D972" s="297" t="n"/>
      <c r="E972" s="297" t="n"/>
      <c r="F972" s="297" t="n"/>
      <c r="G972" s="297" t="n"/>
      <c r="H972" s="297" t="n"/>
      <c r="I972" s="236" t="n"/>
      <c r="J972" s="236" t="n"/>
      <c r="K972" s="236" t="n"/>
      <c r="L972" s="236" t="n"/>
    </row>
    <row r="973" ht="15.75" customHeight="1" s="372">
      <c r="A973" s="297" t="n"/>
      <c r="B973" s="297" t="n"/>
      <c r="C973" s="297" t="n"/>
      <c r="D973" s="297" t="n"/>
      <c r="E973" s="297" t="n"/>
      <c r="F973" s="297" t="n"/>
      <c r="G973" s="297" t="n"/>
      <c r="H973" s="297" t="n"/>
      <c r="I973" s="236" t="n"/>
      <c r="J973" s="236" t="n"/>
      <c r="K973" s="236" t="n"/>
      <c r="L973" s="236" t="n"/>
    </row>
    <row r="974" ht="15.75" customHeight="1" s="372">
      <c r="A974" s="297" t="n"/>
      <c r="B974" s="297" t="n"/>
      <c r="C974" s="297" t="n"/>
      <c r="D974" s="297" t="n"/>
      <c r="E974" s="297" t="n"/>
      <c r="F974" s="297" t="n"/>
      <c r="G974" s="297" t="n"/>
      <c r="H974" s="297" t="n"/>
      <c r="I974" s="236" t="n"/>
      <c r="J974" s="236" t="n"/>
      <c r="K974" s="236" t="n"/>
      <c r="L974" s="236" t="n"/>
    </row>
    <row r="975" ht="15.75" customHeight="1" s="372">
      <c r="A975" s="297" t="n"/>
      <c r="B975" s="297" t="n"/>
      <c r="C975" s="297" t="n"/>
      <c r="D975" s="297" t="n"/>
      <c r="E975" s="297" t="n"/>
      <c r="F975" s="297" t="n"/>
      <c r="G975" s="297" t="n"/>
      <c r="H975" s="297" t="n"/>
      <c r="I975" s="236" t="n"/>
      <c r="J975" s="236" t="n"/>
      <c r="K975" s="236" t="n"/>
      <c r="L975" s="236" t="n"/>
    </row>
    <row r="976" ht="15.75" customHeight="1" s="372">
      <c r="A976" s="297" t="n"/>
      <c r="B976" s="297" t="n"/>
      <c r="C976" s="297" t="n"/>
      <c r="D976" s="297" t="n"/>
      <c r="E976" s="297" t="n"/>
      <c r="F976" s="297" t="n"/>
      <c r="G976" s="297" t="n"/>
      <c r="H976" s="297" t="n"/>
      <c r="I976" s="236" t="n"/>
      <c r="J976" s="236" t="n"/>
      <c r="K976" s="236" t="n"/>
      <c r="L976" s="236" t="n"/>
    </row>
    <row r="977" ht="15.75" customHeight="1" s="372">
      <c r="A977" s="297" t="n"/>
      <c r="B977" s="297" t="n"/>
      <c r="C977" s="297" t="n"/>
      <c r="D977" s="297" t="n"/>
      <c r="E977" s="297" t="n"/>
      <c r="F977" s="297" t="n"/>
      <c r="G977" s="297" t="n"/>
      <c r="H977" s="297" t="n"/>
      <c r="I977" s="236" t="n"/>
      <c r="J977" s="236" t="n"/>
      <c r="K977" s="236" t="n"/>
      <c r="L977" s="236" t="n"/>
    </row>
    <row r="978" ht="15.75" customHeight="1" s="372">
      <c r="A978" s="297" t="n"/>
      <c r="B978" s="297" t="n"/>
      <c r="C978" s="297" t="n"/>
      <c r="D978" s="297" t="n"/>
      <c r="E978" s="297" t="n"/>
      <c r="F978" s="297" t="n"/>
      <c r="G978" s="297" t="n"/>
      <c r="H978" s="297" t="n"/>
      <c r="I978" s="236" t="n"/>
      <c r="J978" s="236" t="n"/>
      <c r="K978" s="236" t="n"/>
      <c r="L978" s="236" t="n"/>
    </row>
    <row r="979" ht="15.75" customHeight="1" s="372">
      <c r="A979" s="297" t="n"/>
      <c r="B979" s="297" t="n"/>
      <c r="C979" s="297" t="n"/>
      <c r="D979" s="297" t="n"/>
      <c r="E979" s="297" t="n"/>
      <c r="F979" s="297" t="n"/>
      <c r="G979" s="297" t="n"/>
      <c r="H979" s="297" t="n"/>
      <c r="I979" s="236" t="n"/>
      <c r="J979" s="236" t="n"/>
      <c r="K979" s="236" t="n"/>
      <c r="L979" s="236" t="n"/>
    </row>
    <row r="980" ht="15.75" customHeight="1" s="372">
      <c r="A980" s="297" t="n"/>
      <c r="B980" s="297" t="n"/>
      <c r="C980" s="297" t="n"/>
      <c r="D980" s="297" t="n"/>
      <c r="E980" s="297" t="n"/>
      <c r="F980" s="297" t="n"/>
      <c r="G980" s="297" t="n"/>
      <c r="H980" s="297" t="n"/>
      <c r="I980" s="236" t="n"/>
      <c r="J980" s="236" t="n"/>
      <c r="K980" s="236" t="n"/>
      <c r="L980" s="236" t="n"/>
    </row>
    <row r="981" ht="15.75" customHeight="1" s="372">
      <c r="A981" s="297" t="n"/>
      <c r="B981" s="297" t="n"/>
      <c r="C981" s="297" t="n"/>
      <c r="D981" s="297" t="n"/>
      <c r="E981" s="297" t="n"/>
      <c r="F981" s="297" t="n"/>
      <c r="G981" s="297" t="n"/>
      <c r="H981" s="297" t="n"/>
      <c r="I981" s="236" t="n"/>
      <c r="J981" s="236" t="n"/>
      <c r="K981" s="236" t="n"/>
      <c r="L981" s="236" t="n"/>
    </row>
    <row r="982" ht="15.75" customHeight="1" s="372">
      <c r="A982" s="297" t="n"/>
      <c r="B982" s="297" t="n"/>
      <c r="C982" s="297" t="n"/>
      <c r="D982" s="297" t="n"/>
      <c r="E982" s="297" t="n"/>
      <c r="F982" s="297" t="n"/>
      <c r="G982" s="297" t="n"/>
      <c r="H982" s="297" t="n"/>
      <c r="I982" s="236" t="n"/>
      <c r="J982" s="236" t="n"/>
      <c r="K982" s="236" t="n"/>
      <c r="L982" s="236" t="n"/>
    </row>
    <row r="983" ht="15.75" customHeight="1" s="372">
      <c r="A983" s="297" t="n"/>
      <c r="B983" s="297" t="n"/>
      <c r="C983" s="297" t="n"/>
      <c r="D983" s="297" t="n"/>
      <c r="E983" s="297" t="n"/>
      <c r="F983" s="297" t="n"/>
      <c r="G983" s="297" t="n"/>
      <c r="H983" s="297" t="n"/>
      <c r="I983" s="236" t="n"/>
      <c r="J983" s="236" t="n"/>
      <c r="K983" s="236" t="n"/>
      <c r="L983" s="236" t="n"/>
    </row>
    <row r="984" ht="15.75" customHeight="1" s="372">
      <c r="A984" s="297" t="n"/>
      <c r="B984" s="297" t="n"/>
      <c r="C984" s="297" t="n"/>
      <c r="D984" s="297" t="n"/>
      <c r="E984" s="297" t="n"/>
      <c r="F984" s="297" t="n"/>
      <c r="G984" s="297" t="n"/>
      <c r="H984" s="297" t="n"/>
      <c r="I984" s="236" t="n"/>
      <c r="J984" s="236" t="n"/>
      <c r="K984" s="236" t="n"/>
      <c r="L984" s="236" t="n"/>
    </row>
    <row r="985" ht="15.75" customHeight="1" s="372">
      <c r="A985" s="297" t="n"/>
      <c r="B985" s="297" t="n"/>
      <c r="C985" s="297" t="n"/>
      <c r="D985" s="297" t="n"/>
      <c r="E985" s="297" t="n"/>
      <c r="F985" s="297" t="n"/>
      <c r="G985" s="297" t="n"/>
      <c r="H985" s="297" t="n"/>
      <c r="I985" s="236" t="n"/>
      <c r="J985" s="236" t="n"/>
      <c r="K985" s="236" t="n"/>
      <c r="L985" s="236" t="n"/>
    </row>
    <row r="986" ht="15.75" customHeight="1" s="372">
      <c r="A986" s="297" t="n"/>
      <c r="B986" s="297" t="n"/>
      <c r="C986" s="297" t="n"/>
      <c r="D986" s="297" t="n"/>
      <c r="E986" s="297" t="n"/>
      <c r="F986" s="297" t="n"/>
      <c r="G986" s="297" t="n"/>
      <c r="H986" s="297" t="n"/>
      <c r="I986" s="236" t="n"/>
      <c r="J986" s="236" t="n"/>
      <c r="K986" s="236" t="n"/>
      <c r="L986" s="236" t="n"/>
    </row>
    <row r="987" ht="15.75" customHeight="1" s="372">
      <c r="A987" s="297" t="n"/>
      <c r="B987" s="297" t="n"/>
      <c r="C987" s="297" t="n"/>
      <c r="D987" s="297" t="n"/>
      <c r="E987" s="297" t="n"/>
      <c r="F987" s="297" t="n"/>
      <c r="G987" s="297" t="n"/>
      <c r="H987" s="297" t="n"/>
      <c r="I987" s="236" t="n"/>
      <c r="J987" s="236" t="n"/>
      <c r="K987" s="236" t="n"/>
      <c r="L987" s="236" t="n"/>
    </row>
    <row r="988" ht="15.75" customHeight="1" s="372">
      <c r="A988" s="297" t="n"/>
      <c r="B988" s="297" t="n"/>
      <c r="C988" s="297" t="n"/>
      <c r="D988" s="297" t="n"/>
      <c r="E988" s="297" t="n"/>
      <c r="F988" s="297" t="n"/>
      <c r="G988" s="297" t="n"/>
      <c r="H988" s="297" t="n"/>
      <c r="I988" s="236" t="n"/>
      <c r="J988" s="236" t="n"/>
      <c r="K988" s="236" t="n"/>
      <c r="L988" s="236" t="n"/>
    </row>
    <row r="989" ht="15.75" customHeight="1" s="372">
      <c r="A989" s="297" t="n"/>
      <c r="B989" s="297" t="n"/>
      <c r="C989" s="297" t="n"/>
      <c r="D989" s="297" t="n"/>
      <c r="E989" s="297" t="n"/>
      <c r="F989" s="297" t="n"/>
      <c r="G989" s="297" t="n"/>
      <c r="H989" s="297" t="n"/>
      <c r="I989" s="236" t="n"/>
      <c r="J989" s="236" t="n"/>
      <c r="K989" s="236" t="n"/>
      <c r="L989" s="236" t="n"/>
    </row>
    <row r="990" ht="15.75" customHeight="1" s="372">
      <c r="A990" s="297" t="n"/>
      <c r="B990" s="297" t="n"/>
      <c r="C990" s="297" t="n"/>
      <c r="D990" s="297" t="n"/>
      <c r="E990" s="297" t="n"/>
      <c r="F990" s="297" t="n"/>
      <c r="G990" s="297" t="n"/>
      <c r="H990" s="297" t="n"/>
      <c r="I990" s="236" t="n"/>
      <c r="J990" s="236" t="n"/>
      <c r="K990" s="236" t="n"/>
      <c r="L990" s="236" t="n"/>
    </row>
    <row r="991" ht="15.75" customHeight="1" s="372">
      <c r="A991" s="297" t="n"/>
      <c r="B991" s="297" t="n"/>
      <c r="C991" s="297" t="n"/>
      <c r="D991" s="297" t="n"/>
      <c r="E991" s="297" t="n"/>
      <c r="F991" s="297" t="n"/>
      <c r="G991" s="297" t="n"/>
      <c r="H991" s="297" t="n"/>
      <c r="I991" s="236" t="n"/>
      <c r="J991" s="236" t="n"/>
      <c r="K991" s="236" t="n"/>
      <c r="L991" s="236" t="n"/>
    </row>
    <row r="992" ht="15.75" customHeight="1" s="372">
      <c r="A992" s="297" t="n"/>
      <c r="B992" s="297" t="n"/>
      <c r="C992" s="297" t="n"/>
      <c r="D992" s="297" t="n"/>
      <c r="E992" s="297" t="n"/>
      <c r="F992" s="297" t="n"/>
      <c r="G992" s="297" t="n"/>
      <c r="H992" s="297" t="n"/>
      <c r="I992" s="236" t="n"/>
      <c r="J992" s="236" t="n"/>
      <c r="K992" s="236" t="n"/>
      <c r="L992" s="236" t="n"/>
    </row>
    <row r="993" ht="15.75" customHeight="1" s="372">
      <c r="A993" s="297" t="n"/>
      <c r="B993" s="297" t="n"/>
      <c r="C993" s="297" t="n"/>
      <c r="D993" s="297" t="n"/>
      <c r="E993" s="297" t="n"/>
      <c r="F993" s="297" t="n"/>
      <c r="G993" s="297" t="n"/>
      <c r="H993" s="297" t="n"/>
      <c r="I993" s="236" t="n"/>
      <c r="J993" s="236" t="n"/>
      <c r="K993" s="236" t="n"/>
      <c r="L993" s="236" t="n"/>
    </row>
    <row r="994" ht="15.75" customHeight="1" s="372">
      <c r="A994" s="297" t="n"/>
      <c r="B994" s="297" t="n"/>
      <c r="C994" s="297" t="n"/>
      <c r="D994" s="297" t="n"/>
      <c r="E994" s="297" t="n"/>
      <c r="F994" s="297" t="n"/>
      <c r="G994" s="297" t="n"/>
      <c r="H994" s="297" t="n"/>
      <c r="I994" s="236" t="n"/>
      <c r="J994" s="236" t="n"/>
      <c r="K994" s="236" t="n"/>
      <c r="L994" s="236" t="n"/>
    </row>
    <row r="995" ht="15.75" customHeight="1" s="372">
      <c r="A995" s="297" t="n"/>
      <c r="B995" s="297" t="n"/>
      <c r="C995" s="297" t="n"/>
      <c r="D995" s="297" t="n"/>
      <c r="E995" s="297" t="n"/>
      <c r="F995" s="297" t="n"/>
      <c r="G995" s="297" t="n"/>
      <c r="H995" s="297" t="n"/>
      <c r="I995" s="236" t="n"/>
      <c r="J995" s="236" t="n"/>
      <c r="K995" s="236" t="n"/>
      <c r="L995" s="236" t="n"/>
    </row>
    <row r="996" ht="15.75" customHeight="1" s="372">
      <c r="A996" s="297" t="n"/>
      <c r="B996" s="297" t="n"/>
      <c r="C996" s="297" t="n"/>
      <c r="D996" s="297" t="n"/>
      <c r="E996" s="297" t="n"/>
      <c r="F996" s="297" t="n"/>
      <c r="G996" s="297" t="n"/>
      <c r="H996" s="297" t="n"/>
      <c r="I996" s="236" t="n"/>
      <c r="J996" s="236" t="n"/>
      <c r="K996" s="236" t="n"/>
      <c r="L996" s="236" t="n"/>
    </row>
    <row r="997" ht="15.75" customHeight="1" s="372">
      <c r="A997" s="297" t="n"/>
      <c r="B997" s="297" t="n"/>
      <c r="C997" s="297" t="n"/>
      <c r="D997" s="297" t="n"/>
      <c r="E997" s="297" t="n"/>
      <c r="F997" s="297" t="n"/>
      <c r="G997" s="297" t="n"/>
      <c r="H997" s="297" t="n"/>
      <c r="I997" s="236" t="n"/>
      <c r="J997" s="236" t="n"/>
      <c r="K997" s="236" t="n"/>
      <c r="L997" s="236" t="n"/>
    </row>
  </sheetData>
  <mergeCells count="6">
    <mergeCell ref="M8:T13"/>
    <mergeCell ref="A1:D2"/>
    <mergeCell ref="H1:H3"/>
    <mergeCell ref="A3:G4"/>
    <mergeCell ref="I6:L6"/>
    <mergeCell ref="E1:E2"/>
  </mergeCells>
  <conditionalFormatting sqref="G2">
    <cfRule type="cellIs" priority="1" operator="lessThanOrEqual" dxfId="0">
      <formula>0</formula>
    </cfRule>
    <cfRule type="cellIs" priority="2" operator="lessThanOrEqual" dxfId="1">
      <formula>75</formula>
    </cfRule>
    <cfRule type="cellIs" priority="3" operator="lessThanOrEqual" dxfId="2">
      <formula>200</formula>
    </cfRule>
  </conditionalFormatting>
  <conditionalFormatting sqref="A6:A139">
    <cfRule type="expression" priority="4" dxfId="3" stopIfTrue="0">
      <formula>OR(LEFT($H6,4)="7806",LEFT($H6,4)="7812")</formula>
    </cfRule>
    <cfRule type="expression" priority="5" dxfId="4" stopIfTrue="0">
      <formula>OR(LEFT($H6,4)="7811",LEFT($H6,4)="7807")</formula>
    </cfRule>
    <cfRule type="expression" priority="6" dxfId="5" stopIfTrue="0">
      <formula>OR(LEFT($H6,4)="7810",LEFT($H6,4)="7140")</formula>
    </cfRule>
    <cfRule type="expression" priority="7" dxfId="6" stopIfTrue="0">
      <formula>OR(LEFT($H6,4)="7808",LEFT($H6,4)="7805")</formula>
    </cfRule>
    <cfRule type="expression" priority="8" dxfId="7" stopIfTrue="0">
      <formula>OR(LEFT($H6,4)="7813",LEFT($H6,4)="7815")</formula>
    </cfRule>
  </conditionalFormatting>
  <dataValidations count="3">
    <dataValidation sqref="D6:D997" showDropDown="0" showInputMessage="0" showErrorMessage="1" allowBlank="1" type="list">
      <formula1>"Middle,High,Elementary,Central Office,Agency"</formula1>
    </dataValidation>
    <dataValidation sqref="F6:F8 F11" showDropDown="0" showInputMessage="0" showErrorMessage="0" allowBlank="1" type="list">
      <formula1>"Observer,Participant,Leader"</formula1>
    </dataValidation>
    <dataValidation sqref="F9:F10 F12:F997" showDropDown="0" showInputMessage="0" showErrorMessage="0" allowBlank="1" type="list">
      <formula1>"Leader,Observer,Participant"</formula1>
    </dataValidation>
  </dataValidations>
  <pageMargins left="0" right="0" top="0" bottom="0" header="0" footer="0"/>
  <pageSetup orientation="landscape"/>
  <legacyDrawing xmlns:r="http://schemas.openxmlformats.org/officeDocument/2006/relationships" r:id="anysvml"/>
</worksheet>
</file>

<file path=xl/worksheets/sheet14.xml><?xml version="1.0" encoding="utf-8"?>
<worksheet xmlns="http://schemas.openxmlformats.org/spreadsheetml/2006/main">
  <sheetPr>
    <tabColor rgb="FF555555"/>
    <outlinePr summaryBelow="1" summaryRight="1"/>
    <pageSetUpPr/>
  </sheetPr>
  <dimension ref="A1:B18"/>
  <sheetViews>
    <sheetView workbookViewId="0">
      <selection activeCell="A1" sqref="A1"/>
    </sheetView>
  </sheetViews>
  <sheetFormatPr baseColWidth="8" defaultColWidth="14.43" defaultRowHeight="15" customHeight="1"/>
  <cols>
    <col width="35" customWidth="1" style="372" min="1" max="1"/>
    <col width="90" customWidth="1" style="372" min="2" max="2"/>
    <col width="8.710000000000001" customWidth="1" style="372" min="3" max="6"/>
  </cols>
  <sheetData>
    <row r="1" ht="39.75" customHeight="1" s="372">
      <c r="A1" s="157" t="inlineStr">
        <is>
          <t>📚  VIRGINIA SCHOOL LEADER COMPETENCIES</t>
        </is>
      </c>
    </row>
    <row r="2" ht="25.5" customHeight="1" s="372">
      <c r="A2" s="396" t="inlineStr">
        <is>
          <t>1. Instructional Leadership</t>
        </is>
      </c>
      <c r="B2" s="397" t="n"/>
    </row>
    <row r="3" ht="54.75" customHeight="1" s="372">
      <c r="A3" s="300" t="n"/>
      <c r="B3" s="301" t="inlineStr">
        <is>
          <t>Knowledge, understanding, and application of planning, assessment, and instructional strategies that improve student achievement. Leaders facilitate the development and implementation of a shared vision for learning, promote a positive school culture, and provide coaching and feedback to teachers.</t>
        </is>
      </c>
    </row>
    <row r="4" ht="6" customHeight="1" s="372"/>
    <row r="5" ht="25.5" customHeight="1" s="372">
      <c r="A5" s="398" t="inlineStr">
        <is>
          <t>2. Organizational Management</t>
        </is>
      </c>
      <c r="B5" s="397" t="n"/>
    </row>
    <row r="6" ht="54.75" customHeight="1" s="372">
      <c r="A6" s="303" t="n"/>
      <c r="B6" s="304" t="inlineStr">
        <is>
          <t>Knowledge, understanding, and application of leadership and management skills that promote student achievement. Leaders manage the organization, operations, and resources of a school in a way that promotes a safe, efficient, and effective learning environment.</t>
        </is>
      </c>
    </row>
    <row r="7" ht="6" customHeight="1" s="372"/>
    <row r="8" ht="25.5" customHeight="1" s="372">
      <c r="A8" s="399" t="inlineStr">
        <is>
          <t>3. Operational Management</t>
        </is>
      </c>
      <c r="B8" s="397" t="n"/>
    </row>
    <row r="9" ht="54.75" customHeight="1" s="372">
      <c r="A9" s="306" t="n"/>
      <c r="B9" s="307" t="inlineStr">
        <is>
          <t>Knowledge, understanding, and application of management and organizational theories. Leaders manage human resources including recruitment, hiring, induction, professional development, evaluation, and dismissal of personnel in a fair, equitable, and legal manner.</t>
        </is>
      </c>
    </row>
    <row r="10" ht="6" customHeight="1" s="372"/>
    <row r="11" ht="25.5" customHeight="1" s="372">
      <c r="A11" s="400" t="inlineStr">
        <is>
          <t>4. Systemic Equity &amp; Community Engagement</t>
        </is>
      </c>
      <c r="B11" s="397" t="n"/>
    </row>
    <row r="12" ht="54.75" customHeight="1" s="372">
      <c r="A12" s="309" t="n"/>
      <c r="B12" s="310" t="inlineStr">
        <is>
          <t>Knowledge, understanding, and application of the conditions required to ensure equitable access and opportunity for all students. Leaders foster inclusive school communities by engaging families, caregivers, and community partners in meaningful and culturally responsive ways.</t>
        </is>
      </c>
    </row>
    <row r="13" ht="6" customHeight="1" s="372"/>
    <row r="14" ht="25.5" customHeight="1" s="372">
      <c r="A14" s="401" t="inlineStr">
        <is>
          <t>5. Professionalism</t>
        </is>
      </c>
      <c r="B14" s="397" t="n"/>
    </row>
    <row r="15" ht="54.75" customHeight="1" s="372">
      <c r="A15" s="138" t="n"/>
      <c r="B15" s="312" t="inlineStr">
        <is>
          <t>Knowledge, understanding, and application of the conditions that lead to professional growth. Leaders demonstrate ethical behavior, model continuous learning, and create a culture of reflection and professional inquiry. They communicate effectively and build positive, collaborative relationships.</t>
        </is>
      </c>
    </row>
    <row r="16" ht="6" customHeight="1" s="372"/>
    <row r="17" ht="25.5" customHeight="1" s="372">
      <c r="A17" s="402" t="inlineStr">
        <is>
          <t>6. Advocacy</t>
        </is>
      </c>
      <c r="B17" s="397" t="n"/>
    </row>
    <row r="18" ht="54.75" customHeight="1" s="372">
      <c r="A18" s="314" t="n"/>
      <c r="B18" s="315" t="inlineStr">
        <is>
          <t>Knowledge, understanding, and application of basic leadership skills to advocate for students, families, and school communities. Leaders act as advocates for equity and excellence, engage in policy processes, and champion the needs of all learners in public forums.</t>
        </is>
      </c>
    </row>
    <row r="19" ht="6" customHeight="1" s="372"/>
    <row r="21" ht="15.75" customHeight="1" s="372"/>
    <row r="22" ht="15.75" customHeight="1" s="372"/>
    <row r="23" ht="15.75" customHeight="1" s="372"/>
    <row r="24" ht="15.75" customHeight="1" s="372"/>
    <row r="25" ht="15.75" customHeight="1" s="372"/>
    <row r="26" ht="15.75" customHeight="1" s="372"/>
    <row r="27" ht="15.75" customHeight="1" s="372"/>
    <row r="28" ht="15.75" customHeight="1" s="372"/>
    <row r="29" ht="15.75" customHeight="1" s="372"/>
    <row r="30" ht="15.75" customHeight="1" s="372"/>
    <row r="31" ht="15.75" customHeight="1" s="372"/>
    <row r="32" ht="15.75" customHeight="1" s="372"/>
    <row r="33" ht="15.75" customHeight="1" s="372"/>
    <row r="34" ht="15.75" customHeight="1" s="372"/>
    <row r="35" ht="15.75" customHeight="1" s="372"/>
    <row r="36" ht="15.75" customHeight="1" s="372"/>
    <row r="37" ht="15.75" customHeight="1" s="372"/>
    <row r="38" ht="15.75" customHeight="1" s="372"/>
    <row r="39" ht="15.75" customHeight="1" s="372"/>
    <row r="40" ht="15.75" customHeight="1" s="372"/>
    <row r="41" ht="15.75" customHeight="1" s="372"/>
    <row r="42" ht="15.75" customHeight="1" s="372"/>
    <row r="43" ht="15.75" customHeight="1" s="372"/>
    <row r="44" ht="15.75" customHeight="1" s="372"/>
    <row r="45" ht="15.75" customHeight="1" s="372"/>
    <row r="46" ht="15.75" customHeight="1" s="372"/>
    <row r="47" ht="15.75" customHeight="1" s="372"/>
    <row r="48" ht="15.75" customHeight="1" s="372"/>
    <row r="49" ht="15.75" customHeight="1" s="372"/>
    <row r="50" ht="15.75" customHeight="1" s="372"/>
    <row r="51" ht="15.75" customHeight="1" s="372"/>
    <row r="52" ht="15.75" customHeight="1" s="372"/>
    <row r="53" ht="15.75" customHeight="1" s="372"/>
    <row r="54" ht="15.75" customHeight="1" s="372"/>
    <row r="55" ht="15.75" customHeight="1" s="372"/>
    <row r="56" ht="15.75" customHeight="1" s="372"/>
    <row r="57" ht="15.75" customHeight="1" s="372"/>
    <row r="58" ht="15.75" customHeight="1" s="372"/>
    <row r="59" ht="15.75" customHeight="1" s="372"/>
    <row r="60" ht="15.75" customHeight="1" s="372"/>
    <row r="61" ht="15.75" customHeight="1" s="372"/>
    <row r="62" ht="15.75" customHeight="1" s="372"/>
    <row r="63" ht="15.75" customHeight="1" s="372"/>
    <row r="64" ht="15.75" customHeight="1" s="372"/>
    <row r="65" ht="15.75" customHeight="1" s="372"/>
    <row r="66" ht="15.75" customHeight="1" s="372"/>
    <row r="67" ht="15.75" customHeight="1" s="372"/>
    <row r="68" ht="15.75" customHeight="1" s="372"/>
    <row r="69" ht="15.75" customHeight="1" s="372"/>
    <row r="70" ht="15.75" customHeight="1" s="372"/>
    <row r="71" ht="15.75" customHeight="1" s="372"/>
    <row r="72" ht="15.75" customHeight="1" s="372"/>
    <row r="73" ht="15.75" customHeight="1" s="372"/>
    <row r="74" ht="15.75" customHeight="1" s="372"/>
    <row r="75" ht="15.75" customHeight="1" s="372"/>
    <row r="76" ht="15.75" customHeight="1" s="372"/>
    <row r="77" ht="15.75" customHeight="1" s="372"/>
    <row r="78" ht="15.75" customHeight="1" s="372"/>
    <row r="79" ht="15.75" customHeight="1" s="372"/>
    <row r="80" ht="15.75" customHeight="1" s="372"/>
    <row r="81" ht="15.75" customHeight="1" s="372"/>
    <row r="82" ht="15.75" customHeight="1" s="372"/>
    <row r="83" ht="15.75" customHeight="1" s="372"/>
    <row r="84" ht="15.75" customHeight="1" s="372"/>
    <row r="85" ht="15.75" customHeight="1" s="372"/>
    <row r="86" ht="15.75" customHeight="1" s="372"/>
    <row r="87" ht="15.75" customHeight="1" s="372"/>
    <row r="88" ht="15.75" customHeight="1" s="372"/>
    <row r="89" ht="15.75" customHeight="1" s="372"/>
    <row r="90" ht="15.75" customHeight="1" s="372"/>
    <row r="91" ht="15.75" customHeight="1" s="372"/>
    <row r="92" ht="15.75" customHeight="1" s="372"/>
    <row r="93" ht="15.75" customHeight="1" s="372"/>
    <row r="94" ht="15.75" customHeight="1" s="372"/>
    <row r="95" ht="15.75" customHeight="1" s="372"/>
    <row r="96" ht="15.75" customHeight="1" s="372"/>
    <row r="97" ht="15.75" customHeight="1" s="372"/>
    <row r="98" ht="15.75" customHeight="1" s="372"/>
    <row r="99" ht="15.75" customHeight="1" s="372"/>
    <row r="100" ht="15.75" customHeight="1" s="372"/>
    <row r="101" ht="15.75" customHeight="1" s="372"/>
    <row r="102" ht="15.75" customHeight="1" s="372"/>
    <row r="103" ht="15.75" customHeight="1" s="372"/>
    <row r="104" ht="15.75" customHeight="1" s="372"/>
    <row r="105" ht="15.75" customHeight="1" s="372"/>
    <row r="106" ht="15.75" customHeight="1" s="372"/>
    <row r="107" ht="15.75" customHeight="1" s="372"/>
    <row r="108" ht="15.75" customHeight="1" s="372"/>
    <row r="109" ht="15.75" customHeight="1" s="372"/>
    <row r="110" ht="15.75" customHeight="1" s="372"/>
    <row r="111" ht="15.75" customHeight="1" s="372"/>
    <row r="112" ht="15.75" customHeight="1" s="372"/>
    <row r="113" ht="15.75" customHeight="1" s="372"/>
    <row r="114" ht="15.75" customHeight="1" s="372"/>
    <row r="115" ht="15.75" customHeight="1" s="372"/>
    <row r="116" ht="15.75" customHeight="1" s="372"/>
    <row r="117" ht="15.75" customHeight="1" s="372"/>
    <row r="118" ht="15.75" customHeight="1" s="372"/>
    <row r="119" ht="15.75" customHeight="1" s="372"/>
    <row r="120" ht="15.75" customHeight="1" s="372"/>
    <row r="121" ht="15.75" customHeight="1" s="372"/>
    <row r="122" ht="15.75" customHeight="1" s="372"/>
    <row r="123" ht="15.75" customHeight="1" s="372"/>
    <row r="124" ht="15.75" customHeight="1" s="372"/>
    <row r="125" ht="15.75" customHeight="1" s="372"/>
    <row r="126" ht="15.75" customHeight="1" s="372"/>
    <row r="127" ht="15.75" customHeight="1" s="372"/>
    <row r="128" ht="15.75" customHeight="1" s="372"/>
    <row r="129" ht="15.75" customHeight="1" s="372"/>
    <row r="130" ht="15.75" customHeight="1" s="372"/>
    <row r="131" ht="15.75" customHeight="1" s="372"/>
    <row r="132" ht="15.75" customHeight="1" s="372"/>
    <row r="133" ht="15.75" customHeight="1" s="372"/>
    <row r="134" ht="15.75" customHeight="1" s="372"/>
    <row r="135" ht="15.75" customHeight="1" s="372"/>
    <row r="136" ht="15.75" customHeight="1" s="372"/>
    <row r="137" ht="15.75" customHeight="1" s="372"/>
    <row r="138" ht="15.75" customHeight="1" s="372"/>
    <row r="139" ht="15.75" customHeight="1" s="372"/>
    <row r="140" ht="15.75" customHeight="1" s="372"/>
    <row r="141" ht="15.75" customHeight="1" s="372"/>
    <row r="142" ht="15.75" customHeight="1" s="372"/>
    <row r="143" ht="15.75" customHeight="1" s="372"/>
    <row r="144" ht="15.75" customHeight="1" s="372"/>
    <row r="145" ht="15.75" customHeight="1" s="372"/>
    <row r="146" ht="15.75" customHeight="1" s="372"/>
    <row r="147" ht="15.75" customHeight="1" s="372"/>
    <row r="148" ht="15.75" customHeight="1" s="372"/>
    <row r="149" ht="15.75" customHeight="1" s="372"/>
    <row r="150" ht="15.75" customHeight="1" s="372"/>
    <row r="151" ht="15.75" customHeight="1" s="372"/>
    <row r="152" ht="15.75" customHeight="1" s="372"/>
    <row r="153" ht="15.75" customHeight="1" s="372"/>
    <row r="154" ht="15.75" customHeight="1" s="372"/>
    <row r="155" ht="15.75" customHeight="1" s="372"/>
    <row r="156" ht="15.75" customHeight="1" s="372"/>
    <row r="157" ht="15.75" customHeight="1" s="372"/>
    <row r="158" ht="15.75" customHeight="1" s="372"/>
    <row r="159" ht="15.75" customHeight="1" s="372"/>
    <row r="160" ht="15.75" customHeight="1" s="372"/>
    <row r="161" ht="15.75" customHeight="1" s="372"/>
    <row r="162" ht="15.75" customHeight="1" s="372"/>
    <row r="163" ht="15.75" customHeight="1" s="372"/>
    <row r="164" ht="15.75" customHeight="1" s="372"/>
    <row r="165" ht="15.75" customHeight="1" s="372"/>
    <row r="166" ht="15.75" customHeight="1" s="372"/>
    <row r="167" ht="15.75" customHeight="1" s="372"/>
    <row r="168" ht="15.75" customHeight="1" s="372"/>
    <row r="169" ht="15.75" customHeight="1" s="372"/>
    <row r="170" ht="15.75" customHeight="1" s="372"/>
    <row r="171" ht="15.75" customHeight="1" s="372"/>
    <row r="172" ht="15.75" customHeight="1" s="372"/>
    <row r="173" ht="15.75" customHeight="1" s="372"/>
    <row r="174" ht="15.75" customHeight="1" s="372"/>
    <row r="175" ht="15.75" customHeight="1" s="372"/>
    <row r="176" ht="15.75" customHeight="1" s="372"/>
    <row r="177" ht="15.75" customHeight="1" s="372"/>
    <row r="178" ht="15.75" customHeight="1" s="372"/>
    <row r="179" ht="15.75" customHeight="1" s="372"/>
    <row r="180" ht="15.75" customHeight="1" s="372"/>
    <row r="181" ht="15.75" customHeight="1" s="372"/>
    <row r="182" ht="15.75" customHeight="1" s="372"/>
    <row r="183" ht="15.75" customHeight="1" s="372"/>
    <row r="184" ht="15.75" customHeight="1" s="372"/>
    <row r="185" ht="15.75" customHeight="1" s="372"/>
    <row r="186" ht="15.75" customHeight="1" s="372"/>
    <row r="187" ht="15.75" customHeight="1" s="372"/>
    <row r="188" ht="15.75" customHeight="1" s="372"/>
    <row r="189" ht="15.75" customHeight="1" s="372"/>
    <row r="190" ht="15.75" customHeight="1" s="372"/>
    <row r="191" ht="15.75" customHeight="1" s="372"/>
    <row r="192" ht="15.75" customHeight="1" s="372"/>
    <row r="193" ht="15.75" customHeight="1" s="372"/>
    <row r="194" ht="15.75" customHeight="1" s="372"/>
    <row r="195" ht="15.75" customHeight="1" s="372"/>
    <row r="196" ht="15.75" customHeight="1" s="372"/>
    <row r="197" ht="15.75" customHeight="1" s="372"/>
    <row r="198" ht="15.75" customHeight="1" s="372"/>
    <row r="199" ht="15.75" customHeight="1" s="372"/>
    <row r="200" ht="15.75" customHeight="1" s="372"/>
    <row r="201" ht="15.75" customHeight="1" s="372"/>
    <row r="202" ht="15.75" customHeight="1" s="372"/>
    <row r="203" ht="15.75" customHeight="1" s="372"/>
    <row r="204" ht="15.75" customHeight="1" s="372"/>
    <row r="205" ht="15.75" customHeight="1" s="372"/>
    <row r="206" ht="15.75" customHeight="1" s="372"/>
    <row r="207" ht="15.75" customHeight="1" s="372"/>
    <row r="208" ht="15.75" customHeight="1" s="372"/>
    <row r="209" ht="15.75" customHeight="1" s="372"/>
    <row r="210" ht="15.75" customHeight="1" s="372"/>
    <row r="211" ht="15.75" customHeight="1" s="372"/>
    <row r="212" ht="15.75" customHeight="1" s="372"/>
    <row r="213" ht="15.75" customHeight="1" s="372"/>
    <row r="214" ht="15.75" customHeight="1" s="372"/>
    <row r="215" ht="15.75" customHeight="1" s="372"/>
    <row r="216" ht="15.75" customHeight="1" s="372"/>
    <row r="217" ht="15.75" customHeight="1" s="372"/>
    <row r="218" ht="15.75" customHeight="1" s="372"/>
    <row r="219" ht="15.75" customHeight="1" s="372"/>
    <row r="220" ht="15.75" customHeight="1" s="372"/>
    <row r="221" ht="15.75" customHeight="1" s="372"/>
    <row r="222" ht="15.75" customHeight="1" s="372"/>
    <row r="223" ht="15.75" customHeight="1" s="372"/>
    <row r="224" ht="15.75" customHeight="1" s="372"/>
    <row r="225" ht="15.75" customHeight="1" s="372"/>
    <row r="226" ht="15.75" customHeight="1" s="372"/>
    <row r="227" ht="15.75" customHeight="1" s="372"/>
    <row r="228" ht="15.75" customHeight="1" s="372"/>
    <row r="229" ht="15.75" customHeight="1" s="372"/>
    <row r="230" ht="15.75" customHeight="1" s="372"/>
    <row r="231" ht="15.75" customHeight="1" s="372"/>
    <row r="232" ht="15.75" customHeight="1" s="372"/>
    <row r="233" ht="15.75" customHeight="1" s="372"/>
    <row r="234" ht="15.75" customHeight="1" s="372"/>
    <row r="235" ht="15.75" customHeight="1" s="372"/>
    <row r="236" ht="15.75" customHeight="1" s="372"/>
    <row r="237" ht="15.75" customHeight="1" s="372"/>
    <row r="238" ht="15.75" customHeight="1" s="372"/>
    <row r="239" ht="15.75" customHeight="1" s="372"/>
    <row r="240" ht="15.75" customHeight="1" s="372"/>
    <row r="241" ht="15.75" customHeight="1" s="372"/>
    <row r="242" ht="15.75" customHeight="1" s="372"/>
    <row r="243" ht="15.75" customHeight="1" s="372"/>
    <row r="244" ht="15.75" customHeight="1" s="372"/>
    <row r="245" ht="15.75" customHeight="1" s="372"/>
    <row r="246" ht="15.75" customHeight="1" s="372"/>
    <row r="247" ht="15.75" customHeight="1" s="372"/>
    <row r="248" ht="15.75" customHeight="1" s="372"/>
    <row r="249" ht="15.75" customHeight="1" s="372"/>
    <row r="250" ht="15.75" customHeight="1" s="372"/>
    <row r="251" ht="15.75" customHeight="1" s="372"/>
    <row r="252" ht="15.75" customHeight="1" s="372"/>
    <row r="253" ht="15.75" customHeight="1" s="372"/>
    <row r="254" ht="15.75" customHeight="1" s="372"/>
    <row r="255" ht="15.75" customHeight="1" s="372"/>
    <row r="256" ht="15.75" customHeight="1" s="372"/>
    <row r="257" ht="15.75" customHeight="1" s="372"/>
    <row r="258" ht="15.75" customHeight="1" s="372"/>
    <row r="259" ht="15.75" customHeight="1" s="372"/>
    <row r="260" ht="15.75" customHeight="1" s="372"/>
    <row r="261" ht="15.75" customHeight="1" s="372"/>
    <row r="262" ht="15.75" customHeight="1" s="372"/>
    <row r="263" ht="15.75" customHeight="1" s="372"/>
    <row r="264" ht="15.75" customHeight="1" s="372"/>
    <row r="265" ht="15.75" customHeight="1" s="372"/>
    <row r="266" ht="15.75" customHeight="1" s="372"/>
    <row r="267" ht="15.75" customHeight="1" s="372"/>
    <row r="268" ht="15.75" customHeight="1" s="372"/>
    <row r="269" ht="15.75" customHeight="1" s="372"/>
    <row r="270" ht="15.75" customHeight="1" s="372"/>
    <row r="271" ht="15.75" customHeight="1" s="372"/>
    <row r="272" ht="15.75" customHeight="1" s="372"/>
    <row r="273" ht="15.75" customHeight="1" s="372"/>
    <row r="274" ht="15.75" customHeight="1" s="372"/>
    <row r="275" ht="15.75" customHeight="1" s="372"/>
    <row r="276" ht="15.75" customHeight="1" s="372"/>
    <row r="277" ht="15.75" customHeight="1" s="372"/>
    <row r="278" ht="15.75" customHeight="1" s="372"/>
    <row r="279" ht="15.75" customHeight="1" s="372"/>
    <row r="280" ht="15.75" customHeight="1" s="372"/>
    <row r="281" ht="15.75" customHeight="1" s="372"/>
    <row r="282" ht="15.75" customHeight="1" s="372"/>
    <row r="283" ht="15.75" customHeight="1" s="372"/>
    <row r="284" ht="15.75" customHeight="1" s="372"/>
    <row r="285" ht="15.75" customHeight="1" s="372"/>
    <row r="286" ht="15.75" customHeight="1" s="372"/>
    <row r="287" ht="15.75" customHeight="1" s="372"/>
    <row r="288" ht="15.75" customHeight="1" s="372"/>
    <row r="289" ht="15.75" customHeight="1" s="372"/>
    <row r="290" ht="15.75" customHeight="1" s="372"/>
    <row r="291" ht="15.75" customHeight="1" s="372"/>
    <row r="292" ht="15.75" customHeight="1" s="372"/>
    <row r="293" ht="15.75" customHeight="1" s="372"/>
    <row r="294" ht="15.75" customHeight="1" s="372"/>
    <row r="295" ht="15.75" customHeight="1" s="372"/>
    <row r="296" ht="15.75" customHeight="1" s="372"/>
    <row r="297" ht="15.75" customHeight="1" s="372"/>
    <row r="298" ht="15.75" customHeight="1" s="372"/>
    <row r="299" ht="15.75" customHeight="1" s="372"/>
    <row r="300" ht="15.75" customHeight="1" s="372"/>
    <row r="301" ht="15.75" customHeight="1" s="372"/>
    <row r="302" ht="15.75" customHeight="1" s="372"/>
    <row r="303" ht="15.75" customHeight="1" s="372"/>
    <row r="304" ht="15.75" customHeight="1" s="372"/>
    <row r="305" ht="15.75" customHeight="1" s="372"/>
    <row r="306" ht="15.75" customHeight="1" s="372"/>
    <row r="307" ht="15.75" customHeight="1" s="372"/>
    <row r="308" ht="15.75" customHeight="1" s="372"/>
    <row r="309" ht="15.75" customHeight="1" s="372"/>
    <row r="310" ht="15.75" customHeight="1" s="372"/>
    <row r="311" ht="15.75" customHeight="1" s="372"/>
    <row r="312" ht="15.75" customHeight="1" s="372"/>
    <row r="313" ht="15.75" customHeight="1" s="372"/>
    <row r="314" ht="15.75" customHeight="1" s="372"/>
    <row r="315" ht="15.75" customHeight="1" s="372"/>
    <row r="316" ht="15.75" customHeight="1" s="372"/>
    <row r="317" ht="15.75" customHeight="1" s="372"/>
    <row r="318" ht="15.75" customHeight="1" s="372"/>
    <row r="319" ht="15.75" customHeight="1" s="372"/>
    <row r="320" ht="15.75" customHeight="1" s="372"/>
    <row r="321" ht="15.75" customHeight="1" s="372"/>
    <row r="322" ht="15.75" customHeight="1" s="372"/>
    <row r="323" ht="15.75" customHeight="1" s="372"/>
    <row r="324" ht="15.75" customHeight="1" s="372"/>
    <row r="325" ht="15.75" customHeight="1" s="372"/>
    <row r="326" ht="15.75" customHeight="1" s="372"/>
    <row r="327" ht="15.75" customHeight="1" s="372"/>
    <row r="328" ht="15.75" customHeight="1" s="372"/>
    <row r="329" ht="15.75" customHeight="1" s="372"/>
    <row r="330" ht="15.75" customHeight="1" s="372"/>
    <row r="331" ht="15.75" customHeight="1" s="372"/>
    <row r="332" ht="15.75" customHeight="1" s="372"/>
    <row r="333" ht="15.75" customHeight="1" s="372"/>
    <row r="334" ht="15.75" customHeight="1" s="372"/>
    <row r="335" ht="15.75" customHeight="1" s="372"/>
    <row r="336" ht="15.75" customHeight="1" s="372"/>
    <row r="337" ht="15.75" customHeight="1" s="372"/>
    <row r="338" ht="15.75" customHeight="1" s="372"/>
    <row r="339" ht="15.75" customHeight="1" s="372"/>
    <row r="340" ht="15.75" customHeight="1" s="372"/>
    <row r="341" ht="15.75" customHeight="1" s="372"/>
    <row r="342" ht="15.75" customHeight="1" s="372"/>
    <row r="343" ht="15.75" customHeight="1" s="372"/>
    <row r="344" ht="15.75" customHeight="1" s="372"/>
    <row r="345" ht="15.75" customHeight="1" s="372"/>
    <row r="346" ht="15.75" customHeight="1" s="372"/>
    <row r="347" ht="15.75" customHeight="1" s="372"/>
    <row r="348" ht="15.75" customHeight="1" s="372"/>
    <row r="349" ht="15.75" customHeight="1" s="372"/>
    <row r="350" ht="15.75" customHeight="1" s="372"/>
    <row r="351" ht="15.75" customHeight="1" s="372"/>
    <row r="352" ht="15.75" customHeight="1" s="372"/>
    <row r="353" ht="15.75" customHeight="1" s="372"/>
    <row r="354" ht="15.75" customHeight="1" s="372"/>
    <row r="355" ht="15.75" customHeight="1" s="372"/>
    <row r="356" ht="15.75" customHeight="1" s="372"/>
    <row r="357" ht="15.75" customHeight="1" s="372"/>
    <row r="358" ht="15.75" customHeight="1" s="372"/>
    <row r="359" ht="15.75" customHeight="1" s="372"/>
    <row r="360" ht="15.75" customHeight="1" s="372"/>
    <row r="361" ht="15.75" customHeight="1" s="372"/>
    <row r="362" ht="15.75" customHeight="1" s="372"/>
    <row r="363" ht="15.75" customHeight="1" s="372"/>
    <row r="364" ht="15.75" customHeight="1" s="372"/>
    <row r="365" ht="15.75" customHeight="1" s="372"/>
    <row r="366" ht="15.75" customHeight="1" s="372"/>
    <row r="367" ht="15.75" customHeight="1" s="372"/>
    <row r="368" ht="15.75" customHeight="1" s="372"/>
    <row r="369" ht="15.75" customHeight="1" s="372"/>
    <row r="370" ht="15.75" customHeight="1" s="372"/>
    <row r="371" ht="15.75" customHeight="1" s="372"/>
    <row r="372" ht="15.75" customHeight="1" s="372"/>
    <row r="373" ht="15.75" customHeight="1" s="372"/>
    <row r="374" ht="15.75" customHeight="1" s="372"/>
    <row r="375" ht="15.75" customHeight="1" s="372"/>
    <row r="376" ht="15.75" customHeight="1" s="372"/>
    <row r="377" ht="15.75" customHeight="1" s="372"/>
    <row r="378" ht="15.75" customHeight="1" s="372"/>
    <row r="379" ht="15.75" customHeight="1" s="372"/>
    <row r="380" ht="15.75" customHeight="1" s="372"/>
    <row r="381" ht="15.75" customHeight="1" s="372"/>
    <row r="382" ht="15.75" customHeight="1" s="372"/>
    <row r="383" ht="15.75" customHeight="1" s="372"/>
    <row r="384" ht="15.75" customHeight="1" s="372"/>
    <row r="385" ht="15.75" customHeight="1" s="372"/>
    <row r="386" ht="15.75" customHeight="1" s="372"/>
    <row r="387" ht="15.75" customHeight="1" s="372"/>
    <row r="388" ht="15.75" customHeight="1" s="372"/>
    <row r="389" ht="15.75" customHeight="1" s="372"/>
    <row r="390" ht="15.75" customHeight="1" s="372"/>
    <row r="391" ht="15.75" customHeight="1" s="372"/>
    <row r="392" ht="15.75" customHeight="1" s="372"/>
    <row r="393" ht="15.75" customHeight="1" s="372"/>
    <row r="394" ht="15.75" customHeight="1" s="372"/>
    <row r="395" ht="15.75" customHeight="1" s="372"/>
    <row r="396" ht="15.75" customHeight="1" s="372"/>
    <row r="397" ht="15.75" customHeight="1" s="372"/>
    <row r="398" ht="15.75" customHeight="1" s="372"/>
    <row r="399" ht="15.75" customHeight="1" s="372"/>
    <row r="400" ht="15.75" customHeight="1" s="372"/>
    <row r="401" ht="15.75" customHeight="1" s="372"/>
    <row r="402" ht="15.75" customHeight="1" s="372"/>
    <row r="403" ht="15.75" customHeight="1" s="372"/>
    <row r="404" ht="15.75" customHeight="1" s="372"/>
    <row r="405" ht="15.75" customHeight="1" s="372"/>
    <row r="406" ht="15.75" customHeight="1" s="372"/>
    <row r="407" ht="15.75" customHeight="1" s="372"/>
    <row r="408" ht="15.75" customHeight="1" s="372"/>
    <row r="409" ht="15.75" customHeight="1" s="372"/>
    <row r="410" ht="15.75" customHeight="1" s="372"/>
    <row r="411" ht="15.75" customHeight="1" s="372"/>
    <row r="412" ht="15.75" customHeight="1" s="372"/>
    <row r="413" ht="15.75" customHeight="1" s="372"/>
    <row r="414" ht="15.75" customHeight="1" s="372"/>
    <row r="415" ht="15.75" customHeight="1" s="372"/>
    <row r="416" ht="15.75" customHeight="1" s="372"/>
    <row r="417" ht="15.75" customHeight="1" s="372"/>
    <row r="418" ht="15.75" customHeight="1" s="372"/>
    <row r="419" ht="15.75" customHeight="1" s="372"/>
    <row r="420" ht="15.75" customHeight="1" s="372"/>
    <row r="421" ht="15.75" customHeight="1" s="372"/>
    <row r="422" ht="15.75" customHeight="1" s="372"/>
    <row r="423" ht="15.75" customHeight="1" s="372"/>
    <row r="424" ht="15.75" customHeight="1" s="372"/>
    <row r="425" ht="15.75" customHeight="1" s="372"/>
    <row r="426" ht="15.75" customHeight="1" s="372"/>
    <row r="427" ht="15.75" customHeight="1" s="372"/>
    <row r="428" ht="15.75" customHeight="1" s="372"/>
    <row r="429" ht="15.75" customHeight="1" s="372"/>
    <row r="430" ht="15.75" customHeight="1" s="372"/>
    <row r="431" ht="15.75" customHeight="1" s="372"/>
    <row r="432" ht="15.75" customHeight="1" s="372"/>
    <row r="433" ht="15.75" customHeight="1" s="372"/>
    <row r="434" ht="15.75" customHeight="1" s="372"/>
    <row r="435" ht="15.75" customHeight="1" s="372"/>
    <row r="436" ht="15.75" customHeight="1" s="372"/>
    <row r="437" ht="15.75" customHeight="1" s="372"/>
    <row r="438" ht="15.75" customHeight="1" s="372"/>
    <row r="439" ht="15.75" customHeight="1" s="372"/>
    <row r="440" ht="15.75" customHeight="1" s="372"/>
    <row r="441" ht="15.75" customHeight="1" s="372"/>
    <row r="442" ht="15.75" customHeight="1" s="372"/>
    <row r="443" ht="15.75" customHeight="1" s="372"/>
    <row r="444" ht="15.75" customHeight="1" s="372"/>
    <row r="445" ht="15.75" customHeight="1" s="372"/>
    <row r="446" ht="15.75" customHeight="1" s="372"/>
    <row r="447" ht="15.75" customHeight="1" s="372"/>
    <row r="448" ht="15.75" customHeight="1" s="372"/>
    <row r="449" ht="15.75" customHeight="1" s="372"/>
    <row r="450" ht="15.75" customHeight="1" s="372"/>
    <row r="451" ht="15.75" customHeight="1" s="372"/>
    <row r="452" ht="15.75" customHeight="1" s="372"/>
    <row r="453" ht="15.75" customHeight="1" s="372"/>
    <row r="454" ht="15.75" customHeight="1" s="372"/>
    <row r="455" ht="15.75" customHeight="1" s="372"/>
    <row r="456" ht="15.75" customHeight="1" s="372"/>
    <row r="457" ht="15.75" customHeight="1" s="372"/>
    <row r="458" ht="15.75" customHeight="1" s="372"/>
    <row r="459" ht="15.75" customHeight="1" s="372"/>
    <row r="460" ht="15.75" customHeight="1" s="372"/>
    <row r="461" ht="15.75" customHeight="1" s="372"/>
    <row r="462" ht="15.75" customHeight="1" s="372"/>
    <row r="463" ht="15.75" customHeight="1" s="372"/>
    <row r="464" ht="15.75" customHeight="1" s="372"/>
    <row r="465" ht="15.75" customHeight="1" s="372"/>
    <row r="466" ht="15.75" customHeight="1" s="372"/>
    <row r="467" ht="15.75" customHeight="1" s="372"/>
    <row r="468" ht="15.75" customHeight="1" s="372"/>
    <row r="469" ht="15.75" customHeight="1" s="372"/>
    <row r="470" ht="15.75" customHeight="1" s="372"/>
    <row r="471" ht="15.75" customHeight="1" s="372"/>
    <row r="472" ht="15.75" customHeight="1" s="372"/>
    <row r="473" ht="15.75" customHeight="1" s="372"/>
    <row r="474" ht="15.75" customHeight="1" s="372"/>
    <row r="475" ht="15.75" customHeight="1" s="372"/>
    <row r="476" ht="15.75" customHeight="1" s="372"/>
    <row r="477" ht="15.75" customHeight="1" s="372"/>
    <row r="478" ht="15.75" customHeight="1" s="372"/>
    <row r="479" ht="15.75" customHeight="1" s="372"/>
    <row r="480" ht="15.75" customHeight="1" s="372"/>
    <row r="481" ht="15.75" customHeight="1" s="372"/>
    <row r="482" ht="15.75" customHeight="1" s="372"/>
    <row r="483" ht="15.75" customHeight="1" s="372"/>
    <row r="484" ht="15.75" customHeight="1" s="372"/>
    <row r="485" ht="15.75" customHeight="1" s="372"/>
    <row r="486" ht="15.75" customHeight="1" s="372"/>
    <row r="487" ht="15.75" customHeight="1" s="372"/>
    <row r="488" ht="15.75" customHeight="1" s="372"/>
    <row r="489" ht="15.75" customHeight="1" s="372"/>
    <row r="490" ht="15.75" customHeight="1" s="372"/>
    <row r="491" ht="15.75" customHeight="1" s="372"/>
    <row r="492" ht="15.75" customHeight="1" s="372"/>
    <row r="493" ht="15.75" customHeight="1" s="372"/>
    <row r="494" ht="15.75" customHeight="1" s="372"/>
    <row r="495" ht="15.75" customHeight="1" s="372"/>
    <row r="496" ht="15.75" customHeight="1" s="372"/>
    <row r="497" ht="15.75" customHeight="1" s="372"/>
    <row r="498" ht="15.75" customHeight="1" s="372"/>
    <row r="499" ht="15.75" customHeight="1" s="372"/>
    <row r="500" ht="15.75" customHeight="1" s="372"/>
    <row r="501" ht="15.75" customHeight="1" s="372"/>
    <row r="502" ht="15.75" customHeight="1" s="372"/>
    <row r="503" ht="15.75" customHeight="1" s="372"/>
    <row r="504" ht="15.75" customHeight="1" s="372"/>
    <row r="505" ht="15.75" customHeight="1" s="372"/>
    <row r="506" ht="15.75" customHeight="1" s="372"/>
    <row r="507" ht="15.75" customHeight="1" s="372"/>
    <row r="508" ht="15.75" customHeight="1" s="372"/>
    <row r="509" ht="15.75" customHeight="1" s="372"/>
    <row r="510" ht="15.75" customHeight="1" s="372"/>
    <row r="511" ht="15.75" customHeight="1" s="372"/>
    <row r="512" ht="15.75" customHeight="1" s="372"/>
    <row r="513" ht="15.75" customHeight="1" s="372"/>
    <row r="514" ht="15.75" customHeight="1" s="372"/>
    <row r="515" ht="15.75" customHeight="1" s="372"/>
    <row r="516" ht="15.75" customHeight="1" s="372"/>
    <row r="517" ht="15.75" customHeight="1" s="372"/>
    <row r="518" ht="15.75" customHeight="1" s="372"/>
    <row r="519" ht="15.75" customHeight="1" s="372"/>
    <row r="520" ht="15.75" customHeight="1" s="372"/>
    <row r="521" ht="15.75" customHeight="1" s="372"/>
    <row r="522" ht="15.75" customHeight="1" s="372"/>
    <row r="523" ht="15.75" customHeight="1" s="372"/>
    <row r="524" ht="15.75" customHeight="1" s="372"/>
    <row r="525" ht="15.75" customHeight="1" s="372"/>
    <row r="526" ht="15.75" customHeight="1" s="372"/>
    <row r="527" ht="15.75" customHeight="1" s="372"/>
    <row r="528" ht="15.75" customHeight="1" s="372"/>
    <row r="529" ht="15.75" customHeight="1" s="372"/>
    <row r="530" ht="15.75" customHeight="1" s="372"/>
    <row r="531" ht="15.75" customHeight="1" s="372"/>
    <row r="532" ht="15.75" customHeight="1" s="372"/>
    <row r="533" ht="15.75" customHeight="1" s="372"/>
    <row r="534" ht="15.75" customHeight="1" s="372"/>
    <row r="535" ht="15.75" customHeight="1" s="372"/>
    <row r="536" ht="15.75" customHeight="1" s="372"/>
    <row r="537" ht="15.75" customHeight="1" s="372"/>
    <row r="538" ht="15.75" customHeight="1" s="372"/>
    <row r="539" ht="15.75" customHeight="1" s="372"/>
    <row r="540" ht="15.75" customHeight="1" s="372"/>
    <row r="541" ht="15.75" customHeight="1" s="372"/>
    <row r="542" ht="15.75" customHeight="1" s="372"/>
    <row r="543" ht="15.75" customHeight="1" s="372"/>
    <row r="544" ht="15.75" customHeight="1" s="372"/>
    <row r="545" ht="15.75" customHeight="1" s="372"/>
    <row r="546" ht="15.75" customHeight="1" s="372"/>
    <row r="547" ht="15.75" customHeight="1" s="372"/>
    <row r="548" ht="15.75" customHeight="1" s="372"/>
    <row r="549" ht="15.75" customHeight="1" s="372"/>
    <row r="550" ht="15.75" customHeight="1" s="372"/>
    <row r="551" ht="15.75" customHeight="1" s="372"/>
    <row r="552" ht="15.75" customHeight="1" s="372"/>
    <row r="553" ht="15.75" customHeight="1" s="372"/>
    <row r="554" ht="15.75" customHeight="1" s="372"/>
    <row r="555" ht="15.75" customHeight="1" s="372"/>
    <row r="556" ht="15.75" customHeight="1" s="372"/>
    <row r="557" ht="15.75" customHeight="1" s="372"/>
    <row r="558" ht="15.75" customHeight="1" s="372"/>
    <row r="559" ht="15.75" customHeight="1" s="372"/>
    <row r="560" ht="15.75" customHeight="1" s="372"/>
    <row r="561" ht="15.75" customHeight="1" s="372"/>
    <row r="562" ht="15.75" customHeight="1" s="372"/>
    <row r="563" ht="15.75" customHeight="1" s="372"/>
    <row r="564" ht="15.75" customHeight="1" s="372"/>
    <row r="565" ht="15.75" customHeight="1" s="372"/>
    <row r="566" ht="15.75" customHeight="1" s="372"/>
    <row r="567" ht="15.75" customHeight="1" s="372"/>
    <row r="568" ht="15.75" customHeight="1" s="372"/>
    <row r="569" ht="15.75" customHeight="1" s="372"/>
    <row r="570" ht="15.75" customHeight="1" s="372"/>
    <row r="571" ht="15.75" customHeight="1" s="372"/>
    <row r="572" ht="15.75" customHeight="1" s="372"/>
    <row r="573" ht="15.75" customHeight="1" s="372"/>
    <row r="574" ht="15.75" customHeight="1" s="372"/>
    <row r="575" ht="15.75" customHeight="1" s="372"/>
    <row r="576" ht="15.75" customHeight="1" s="372"/>
    <row r="577" ht="15.75" customHeight="1" s="372"/>
    <row r="578" ht="15.75" customHeight="1" s="372"/>
    <row r="579" ht="15.75" customHeight="1" s="372"/>
    <row r="580" ht="15.75" customHeight="1" s="372"/>
    <row r="581" ht="15.75" customHeight="1" s="372"/>
    <row r="582" ht="15.75" customHeight="1" s="372"/>
    <row r="583" ht="15.75" customHeight="1" s="372"/>
    <row r="584" ht="15.75" customHeight="1" s="372"/>
    <row r="585" ht="15.75" customHeight="1" s="372"/>
    <row r="586" ht="15.75" customHeight="1" s="372"/>
    <row r="587" ht="15.75" customHeight="1" s="372"/>
    <row r="588" ht="15.75" customHeight="1" s="372"/>
    <row r="589" ht="15.75" customHeight="1" s="372"/>
    <row r="590" ht="15.75" customHeight="1" s="372"/>
    <row r="591" ht="15.75" customHeight="1" s="372"/>
    <row r="592" ht="15.75" customHeight="1" s="372"/>
    <row r="593" ht="15.75" customHeight="1" s="372"/>
    <row r="594" ht="15.75" customHeight="1" s="372"/>
    <row r="595" ht="15.75" customHeight="1" s="372"/>
    <row r="596" ht="15.75" customHeight="1" s="372"/>
    <row r="597" ht="15.75" customHeight="1" s="372"/>
    <row r="598" ht="15.75" customHeight="1" s="372"/>
    <row r="599" ht="15.75" customHeight="1" s="372"/>
    <row r="600" ht="15.75" customHeight="1" s="372"/>
    <row r="601" ht="15.75" customHeight="1" s="372"/>
    <row r="602" ht="15.75" customHeight="1" s="372"/>
    <row r="603" ht="15.75" customHeight="1" s="372"/>
    <row r="604" ht="15.75" customHeight="1" s="372"/>
    <row r="605" ht="15.75" customHeight="1" s="372"/>
    <row r="606" ht="15.75" customHeight="1" s="372"/>
    <row r="607" ht="15.75" customHeight="1" s="372"/>
    <row r="608" ht="15.75" customHeight="1" s="372"/>
    <row r="609" ht="15.75" customHeight="1" s="372"/>
    <row r="610" ht="15.75" customHeight="1" s="372"/>
    <row r="611" ht="15.75" customHeight="1" s="372"/>
    <row r="612" ht="15.75" customHeight="1" s="372"/>
    <row r="613" ht="15.75" customHeight="1" s="372"/>
    <row r="614" ht="15.75" customHeight="1" s="372"/>
    <row r="615" ht="15.75" customHeight="1" s="372"/>
    <row r="616" ht="15.75" customHeight="1" s="372"/>
    <row r="617" ht="15.75" customHeight="1" s="372"/>
    <row r="618" ht="15.75" customHeight="1" s="372"/>
    <row r="619" ht="15.75" customHeight="1" s="372"/>
    <row r="620" ht="15.75" customHeight="1" s="372"/>
    <row r="621" ht="15.75" customHeight="1" s="372"/>
    <row r="622" ht="15.75" customHeight="1" s="372"/>
    <row r="623" ht="15.75" customHeight="1" s="372"/>
    <row r="624" ht="15.75" customHeight="1" s="372"/>
    <row r="625" ht="15.75" customHeight="1" s="372"/>
    <row r="626" ht="15.75" customHeight="1" s="372"/>
    <row r="627" ht="15.75" customHeight="1" s="372"/>
    <row r="628" ht="15.75" customHeight="1" s="372"/>
    <row r="629" ht="15.75" customHeight="1" s="372"/>
    <row r="630" ht="15.75" customHeight="1" s="372"/>
    <row r="631" ht="15.75" customHeight="1" s="372"/>
    <row r="632" ht="15.75" customHeight="1" s="372"/>
    <row r="633" ht="15.75" customHeight="1" s="372"/>
    <row r="634" ht="15.75" customHeight="1" s="372"/>
    <row r="635" ht="15.75" customHeight="1" s="372"/>
    <row r="636" ht="15.75" customHeight="1" s="372"/>
    <row r="637" ht="15.75" customHeight="1" s="372"/>
    <row r="638" ht="15.75" customHeight="1" s="372"/>
    <row r="639" ht="15.75" customHeight="1" s="372"/>
    <row r="640" ht="15.75" customHeight="1" s="372"/>
    <row r="641" ht="15.75" customHeight="1" s="372"/>
    <row r="642" ht="15.75" customHeight="1" s="372"/>
    <row r="643" ht="15.75" customHeight="1" s="372"/>
    <row r="644" ht="15.75" customHeight="1" s="372"/>
    <row r="645" ht="15.75" customHeight="1" s="372"/>
    <row r="646" ht="15.75" customHeight="1" s="372"/>
    <row r="647" ht="15.75" customHeight="1" s="372"/>
    <row r="648" ht="15.75" customHeight="1" s="372"/>
    <row r="649" ht="15.75" customHeight="1" s="372"/>
    <row r="650" ht="15.75" customHeight="1" s="372"/>
    <row r="651" ht="15.75" customHeight="1" s="372"/>
    <row r="652" ht="15.75" customHeight="1" s="372"/>
    <row r="653" ht="15.75" customHeight="1" s="372"/>
    <row r="654" ht="15.75" customHeight="1" s="372"/>
    <row r="655" ht="15.75" customHeight="1" s="372"/>
    <row r="656" ht="15.75" customHeight="1" s="372"/>
    <row r="657" ht="15.75" customHeight="1" s="372"/>
    <row r="658" ht="15.75" customHeight="1" s="372"/>
    <row r="659" ht="15.75" customHeight="1" s="372"/>
    <row r="660" ht="15.75" customHeight="1" s="372"/>
    <row r="661" ht="15.75" customHeight="1" s="372"/>
    <row r="662" ht="15.75" customHeight="1" s="372"/>
    <row r="663" ht="15.75" customHeight="1" s="372"/>
    <row r="664" ht="15.75" customHeight="1" s="372"/>
    <row r="665" ht="15.75" customHeight="1" s="372"/>
    <row r="666" ht="15.75" customHeight="1" s="372"/>
    <row r="667" ht="15.75" customHeight="1" s="372"/>
    <row r="668" ht="15.75" customHeight="1" s="372"/>
    <row r="669" ht="15.75" customHeight="1" s="372"/>
    <row r="670" ht="15.75" customHeight="1" s="372"/>
    <row r="671" ht="15.75" customHeight="1" s="372"/>
    <row r="672" ht="15.75" customHeight="1" s="372"/>
    <row r="673" ht="15.75" customHeight="1" s="372"/>
    <row r="674" ht="15.75" customHeight="1" s="372"/>
    <row r="675" ht="15.75" customHeight="1" s="372"/>
    <row r="676" ht="15.75" customHeight="1" s="372"/>
    <row r="677" ht="15.75" customHeight="1" s="372"/>
    <row r="678" ht="15.75" customHeight="1" s="372"/>
    <row r="679" ht="15.75" customHeight="1" s="372"/>
    <row r="680" ht="15.75" customHeight="1" s="372"/>
    <row r="681" ht="15.75" customHeight="1" s="372"/>
    <row r="682" ht="15.75" customHeight="1" s="372"/>
    <row r="683" ht="15.75" customHeight="1" s="372"/>
    <row r="684" ht="15.75" customHeight="1" s="372"/>
    <row r="685" ht="15.75" customHeight="1" s="372"/>
    <row r="686" ht="15.75" customHeight="1" s="372"/>
    <row r="687" ht="15.75" customHeight="1" s="372"/>
    <row r="688" ht="15.75" customHeight="1" s="372"/>
    <row r="689" ht="15.75" customHeight="1" s="372"/>
    <row r="690" ht="15.75" customHeight="1" s="372"/>
    <row r="691" ht="15.75" customHeight="1" s="372"/>
    <row r="692" ht="15.75" customHeight="1" s="372"/>
    <row r="693" ht="15.75" customHeight="1" s="372"/>
    <row r="694" ht="15.75" customHeight="1" s="372"/>
    <row r="695" ht="15.75" customHeight="1" s="372"/>
    <row r="696" ht="15.75" customHeight="1" s="372"/>
    <row r="697" ht="15.75" customHeight="1" s="372"/>
    <row r="698" ht="15.75" customHeight="1" s="372"/>
    <row r="699" ht="15.75" customHeight="1" s="372"/>
    <row r="700" ht="15.75" customHeight="1" s="372"/>
    <row r="701" ht="15.75" customHeight="1" s="372"/>
    <row r="702" ht="15.75" customHeight="1" s="372"/>
    <row r="703" ht="15.75" customHeight="1" s="372"/>
    <row r="704" ht="15.75" customHeight="1" s="372"/>
    <row r="705" ht="15.75" customHeight="1" s="372"/>
    <row r="706" ht="15.75" customHeight="1" s="372"/>
    <row r="707" ht="15.75" customHeight="1" s="372"/>
    <row r="708" ht="15.75" customHeight="1" s="372"/>
    <row r="709" ht="15.75" customHeight="1" s="372"/>
    <row r="710" ht="15.75" customHeight="1" s="372"/>
    <row r="711" ht="15.75" customHeight="1" s="372"/>
    <row r="712" ht="15.75" customHeight="1" s="372"/>
    <row r="713" ht="15.75" customHeight="1" s="372"/>
    <row r="714" ht="15.75" customHeight="1" s="372"/>
    <row r="715" ht="15.75" customHeight="1" s="372"/>
    <row r="716" ht="15.75" customHeight="1" s="372"/>
    <row r="717" ht="15.75" customHeight="1" s="372"/>
    <row r="718" ht="15.75" customHeight="1" s="372"/>
    <row r="719" ht="15.75" customHeight="1" s="372"/>
    <row r="720" ht="15.75" customHeight="1" s="372"/>
    <row r="721" ht="15.75" customHeight="1" s="372"/>
    <row r="722" ht="15.75" customHeight="1" s="372"/>
    <row r="723" ht="15.75" customHeight="1" s="372"/>
    <row r="724" ht="15.75" customHeight="1" s="372"/>
    <row r="725" ht="15.75" customHeight="1" s="372"/>
    <row r="726" ht="15.75" customHeight="1" s="372"/>
    <row r="727" ht="15.75" customHeight="1" s="372"/>
    <row r="728" ht="15.75" customHeight="1" s="372"/>
    <row r="729" ht="15.75" customHeight="1" s="372"/>
    <row r="730" ht="15.75" customHeight="1" s="372"/>
    <row r="731" ht="15.75" customHeight="1" s="372"/>
    <row r="732" ht="15.75" customHeight="1" s="372"/>
    <row r="733" ht="15.75" customHeight="1" s="372"/>
    <row r="734" ht="15.75" customHeight="1" s="372"/>
    <row r="735" ht="15.75" customHeight="1" s="372"/>
    <row r="736" ht="15.75" customHeight="1" s="372"/>
    <row r="737" ht="15.75" customHeight="1" s="372"/>
    <row r="738" ht="15.75" customHeight="1" s="372"/>
    <row r="739" ht="15.75" customHeight="1" s="372"/>
    <row r="740" ht="15.75" customHeight="1" s="372"/>
    <row r="741" ht="15.75" customHeight="1" s="372"/>
    <row r="742" ht="15.75" customHeight="1" s="372"/>
    <row r="743" ht="15.75" customHeight="1" s="372"/>
    <row r="744" ht="15.75" customHeight="1" s="372"/>
    <row r="745" ht="15.75" customHeight="1" s="372"/>
    <row r="746" ht="15.75" customHeight="1" s="372"/>
    <row r="747" ht="15.75" customHeight="1" s="372"/>
    <row r="748" ht="15.75" customHeight="1" s="372"/>
    <row r="749" ht="15.75" customHeight="1" s="372"/>
    <row r="750" ht="15.75" customHeight="1" s="372"/>
    <row r="751" ht="15.75" customHeight="1" s="372"/>
    <row r="752" ht="15.75" customHeight="1" s="372"/>
    <row r="753" ht="15.75" customHeight="1" s="372"/>
    <row r="754" ht="15.75" customHeight="1" s="372"/>
    <row r="755" ht="15.75" customHeight="1" s="372"/>
    <row r="756" ht="15.75" customHeight="1" s="372"/>
    <row r="757" ht="15.75" customHeight="1" s="372"/>
    <row r="758" ht="15.75" customHeight="1" s="372"/>
    <row r="759" ht="15.75" customHeight="1" s="372"/>
    <row r="760" ht="15.75" customHeight="1" s="372"/>
    <row r="761" ht="15.75" customHeight="1" s="372"/>
    <row r="762" ht="15.75" customHeight="1" s="372"/>
    <row r="763" ht="15.75" customHeight="1" s="372"/>
    <row r="764" ht="15.75" customHeight="1" s="372"/>
    <row r="765" ht="15.75" customHeight="1" s="372"/>
    <row r="766" ht="15.75" customHeight="1" s="372"/>
    <row r="767" ht="15.75" customHeight="1" s="372"/>
    <row r="768" ht="15.75" customHeight="1" s="372"/>
    <row r="769" ht="15.75" customHeight="1" s="372"/>
    <row r="770" ht="15.75" customHeight="1" s="372"/>
    <row r="771" ht="15.75" customHeight="1" s="372"/>
    <row r="772" ht="15.75" customHeight="1" s="372"/>
    <row r="773" ht="15.75" customHeight="1" s="372"/>
    <row r="774" ht="15.75" customHeight="1" s="372"/>
    <row r="775" ht="15.75" customHeight="1" s="372"/>
    <row r="776" ht="15.75" customHeight="1" s="372"/>
    <row r="777" ht="15.75" customHeight="1" s="372"/>
    <row r="778" ht="15.75" customHeight="1" s="372"/>
    <row r="779" ht="15.75" customHeight="1" s="372"/>
    <row r="780" ht="15.75" customHeight="1" s="372"/>
    <row r="781" ht="15.75" customHeight="1" s="372"/>
    <row r="782" ht="15.75" customHeight="1" s="372"/>
    <row r="783" ht="15.75" customHeight="1" s="372"/>
    <row r="784" ht="15.75" customHeight="1" s="372"/>
    <row r="785" ht="15.75" customHeight="1" s="372"/>
    <row r="786" ht="15.75" customHeight="1" s="372"/>
    <row r="787" ht="15.75" customHeight="1" s="372"/>
    <row r="788" ht="15.75" customHeight="1" s="372"/>
    <row r="789" ht="15.75" customHeight="1" s="372"/>
    <row r="790" ht="15.75" customHeight="1" s="372"/>
    <row r="791" ht="15.75" customHeight="1" s="372"/>
    <row r="792" ht="15.75" customHeight="1" s="372"/>
    <row r="793" ht="15.75" customHeight="1" s="372"/>
    <row r="794" ht="15.75" customHeight="1" s="372"/>
    <row r="795" ht="15.75" customHeight="1" s="372"/>
    <row r="796" ht="15.75" customHeight="1" s="372"/>
    <row r="797" ht="15.75" customHeight="1" s="372"/>
    <row r="798" ht="15.75" customHeight="1" s="372"/>
    <row r="799" ht="15.75" customHeight="1" s="372"/>
    <row r="800" ht="15.75" customHeight="1" s="372"/>
    <row r="801" ht="15.75" customHeight="1" s="372"/>
    <row r="802" ht="15.75" customHeight="1" s="372"/>
    <row r="803" ht="15.75" customHeight="1" s="372"/>
    <row r="804" ht="15.75" customHeight="1" s="372"/>
    <row r="805" ht="15.75" customHeight="1" s="372"/>
    <row r="806" ht="15.75" customHeight="1" s="372"/>
    <row r="807" ht="15.75" customHeight="1" s="372"/>
    <row r="808" ht="15.75" customHeight="1" s="372"/>
    <row r="809" ht="15.75" customHeight="1" s="372"/>
    <row r="810" ht="15.75" customHeight="1" s="372"/>
    <row r="811" ht="15.75" customHeight="1" s="372"/>
    <row r="812" ht="15.75" customHeight="1" s="372"/>
    <row r="813" ht="15.75" customHeight="1" s="372"/>
    <row r="814" ht="15.75" customHeight="1" s="372"/>
    <row r="815" ht="15.75" customHeight="1" s="372"/>
    <row r="816" ht="15.75" customHeight="1" s="372"/>
    <row r="817" ht="15.75" customHeight="1" s="372"/>
    <row r="818" ht="15.75" customHeight="1" s="372"/>
    <row r="819" ht="15.75" customHeight="1" s="372"/>
    <row r="820" ht="15.75" customHeight="1" s="372"/>
    <row r="821" ht="15.75" customHeight="1" s="372"/>
    <row r="822" ht="15.75" customHeight="1" s="372"/>
    <row r="823" ht="15.75" customHeight="1" s="372"/>
    <row r="824" ht="15.75" customHeight="1" s="372"/>
    <row r="825" ht="15.75" customHeight="1" s="372"/>
    <row r="826" ht="15.75" customHeight="1" s="372"/>
    <row r="827" ht="15.75" customHeight="1" s="372"/>
    <row r="828" ht="15.75" customHeight="1" s="372"/>
    <row r="829" ht="15.75" customHeight="1" s="372"/>
    <row r="830" ht="15.75" customHeight="1" s="372"/>
    <row r="831" ht="15.75" customHeight="1" s="372"/>
    <row r="832" ht="15.75" customHeight="1" s="372"/>
    <row r="833" ht="15.75" customHeight="1" s="372"/>
    <row r="834" ht="15.75" customHeight="1" s="372"/>
    <row r="835" ht="15.75" customHeight="1" s="372"/>
    <row r="836" ht="15.75" customHeight="1" s="372"/>
    <row r="837" ht="15.75" customHeight="1" s="372"/>
    <row r="838" ht="15.75" customHeight="1" s="372"/>
    <row r="839" ht="15.75" customHeight="1" s="372"/>
    <row r="840" ht="15.75" customHeight="1" s="372"/>
    <row r="841" ht="15.75" customHeight="1" s="372"/>
    <row r="842" ht="15.75" customHeight="1" s="372"/>
    <row r="843" ht="15.75" customHeight="1" s="372"/>
    <row r="844" ht="15.75" customHeight="1" s="372"/>
    <row r="845" ht="15.75" customHeight="1" s="372"/>
    <row r="846" ht="15.75" customHeight="1" s="372"/>
    <row r="847" ht="15.75" customHeight="1" s="372"/>
    <row r="848" ht="15.75" customHeight="1" s="372"/>
    <row r="849" ht="15.75" customHeight="1" s="372"/>
    <row r="850" ht="15.75" customHeight="1" s="372"/>
    <row r="851" ht="15.75" customHeight="1" s="372"/>
    <row r="852" ht="15.75" customHeight="1" s="372"/>
    <row r="853" ht="15.75" customHeight="1" s="372"/>
    <row r="854" ht="15.75" customHeight="1" s="372"/>
    <row r="855" ht="15.75" customHeight="1" s="372"/>
    <row r="856" ht="15.75" customHeight="1" s="372"/>
    <row r="857" ht="15.75" customHeight="1" s="372"/>
    <row r="858" ht="15.75" customHeight="1" s="372"/>
    <row r="859" ht="15.75" customHeight="1" s="372"/>
    <row r="860" ht="15.75" customHeight="1" s="372"/>
    <row r="861" ht="15.75" customHeight="1" s="372"/>
    <row r="862" ht="15.75" customHeight="1" s="372"/>
    <row r="863" ht="15.75" customHeight="1" s="372"/>
    <row r="864" ht="15.75" customHeight="1" s="372"/>
    <row r="865" ht="15.75" customHeight="1" s="372"/>
    <row r="866" ht="15.75" customHeight="1" s="372"/>
    <row r="867" ht="15.75" customHeight="1" s="372"/>
    <row r="868" ht="15.75" customHeight="1" s="372"/>
    <row r="869" ht="15.75" customHeight="1" s="372"/>
    <row r="870" ht="15.75" customHeight="1" s="372"/>
    <row r="871" ht="15.75" customHeight="1" s="372"/>
    <row r="872" ht="15.75" customHeight="1" s="372"/>
    <row r="873" ht="15.75" customHeight="1" s="372"/>
    <row r="874" ht="15.75" customHeight="1" s="372"/>
    <row r="875" ht="15.75" customHeight="1" s="372"/>
    <row r="876" ht="15.75" customHeight="1" s="372"/>
    <row r="877" ht="15.75" customHeight="1" s="372"/>
    <row r="878" ht="15.75" customHeight="1" s="372"/>
    <row r="879" ht="15.75" customHeight="1" s="372"/>
    <row r="880" ht="15.75" customHeight="1" s="372"/>
    <row r="881" ht="15.75" customHeight="1" s="372"/>
    <row r="882" ht="15.75" customHeight="1" s="372"/>
    <row r="883" ht="15.75" customHeight="1" s="372"/>
    <row r="884" ht="15.75" customHeight="1" s="372"/>
    <row r="885" ht="15.75" customHeight="1" s="372"/>
    <row r="886" ht="15.75" customHeight="1" s="372"/>
    <row r="887" ht="15.75" customHeight="1" s="372"/>
    <row r="888" ht="15.75" customHeight="1" s="372"/>
    <row r="889" ht="15.75" customHeight="1" s="372"/>
    <row r="890" ht="15.75" customHeight="1" s="372"/>
    <row r="891" ht="15.75" customHeight="1" s="372"/>
    <row r="892" ht="15.75" customHeight="1" s="372"/>
    <row r="893" ht="15.75" customHeight="1" s="372"/>
    <row r="894" ht="15.75" customHeight="1" s="372"/>
    <row r="895" ht="15.75" customHeight="1" s="372"/>
    <row r="896" ht="15.75" customHeight="1" s="372"/>
    <row r="897" ht="15.75" customHeight="1" s="372"/>
    <row r="898" ht="15.75" customHeight="1" s="372"/>
    <row r="899" ht="15.75" customHeight="1" s="372"/>
    <row r="900" ht="15.75" customHeight="1" s="372"/>
    <row r="901" ht="15.75" customHeight="1" s="372"/>
    <row r="902" ht="15.75" customHeight="1" s="372"/>
    <row r="903" ht="15.75" customHeight="1" s="372"/>
    <row r="904" ht="15.75" customHeight="1" s="372"/>
    <row r="905" ht="15.75" customHeight="1" s="372"/>
    <row r="906" ht="15.75" customHeight="1" s="372"/>
    <row r="907" ht="15.75" customHeight="1" s="372"/>
    <row r="908" ht="15.75" customHeight="1" s="372"/>
    <row r="909" ht="15.75" customHeight="1" s="372"/>
    <row r="910" ht="15.75" customHeight="1" s="372"/>
    <row r="911" ht="15.75" customHeight="1" s="372"/>
    <row r="912" ht="15.75" customHeight="1" s="372"/>
    <row r="913" ht="15.75" customHeight="1" s="372"/>
    <row r="914" ht="15.75" customHeight="1" s="372"/>
    <row r="915" ht="15.75" customHeight="1" s="372"/>
    <row r="916" ht="15.75" customHeight="1" s="372"/>
    <row r="917" ht="15.75" customHeight="1" s="372"/>
    <row r="918" ht="15.75" customHeight="1" s="372"/>
    <row r="919" ht="15.75" customHeight="1" s="372"/>
    <row r="920" ht="15.75" customHeight="1" s="372"/>
    <row r="921" ht="15.75" customHeight="1" s="372"/>
    <row r="922" ht="15.75" customHeight="1" s="372"/>
    <row r="923" ht="15.75" customHeight="1" s="372"/>
    <row r="924" ht="15.75" customHeight="1" s="372"/>
    <row r="925" ht="15.75" customHeight="1" s="372"/>
    <row r="926" ht="15.75" customHeight="1" s="372"/>
    <row r="927" ht="15.75" customHeight="1" s="372"/>
    <row r="928" ht="15.75" customHeight="1" s="372"/>
    <row r="929" ht="15.75" customHeight="1" s="372"/>
    <row r="930" ht="15.75" customHeight="1" s="372"/>
    <row r="931" ht="15.75" customHeight="1" s="372"/>
    <row r="932" ht="15.75" customHeight="1" s="372"/>
    <row r="933" ht="15.75" customHeight="1" s="372"/>
    <row r="934" ht="15.75" customHeight="1" s="372"/>
    <row r="935" ht="15.75" customHeight="1" s="372"/>
    <row r="936" ht="15.75" customHeight="1" s="372"/>
    <row r="937" ht="15.75" customHeight="1" s="372"/>
    <row r="938" ht="15.75" customHeight="1" s="372"/>
    <row r="939" ht="15.75" customHeight="1" s="372"/>
    <row r="940" ht="15.75" customHeight="1" s="372"/>
    <row r="941" ht="15.75" customHeight="1" s="372"/>
    <row r="942" ht="15.75" customHeight="1" s="372"/>
    <row r="943" ht="15.75" customHeight="1" s="372"/>
    <row r="944" ht="15.75" customHeight="1" s="372"/>
    <row r="945" ht="15.75" customHeight="1" s="372"/>
    <row r="946" ht="15.75" customHeight="1" s="372"/>
    <row r="947" ht="15.75" customHeight="1" s="372"/>
    <row r="948" ht="15.75" customHeight="1" s="372"/>
    <row r="949" ht="15.75" customHeight="1" s="372"/>
    <row r="950" ht="15.75" customHeight="1" s="372"/>
    <row r="951" ht="15.75" customHeight="1" s="372"/>
    <row r="952" ht="15.75" customHeight="1" s="372"/>
    <row r="953" ht="15.75" customHeight="1" s="372"/>
    <row r="954" ht="15.75" customHeight="1" s="372"/>
    <row r="955" ht="15.75" customHeight="1" s="372"/>
    <row r="956" ht="15.75" customHeight="1" s="372"/>
    <row r="957" ht="15.75" customHeight="1" s="372"/>
    <row r="958" ht="15.75" customHeight="1" s="372"/>
    <row r="959" ht="15.75" customHeight="1" s="372"/>
    <row r="960" ht="15.75" customHeight="1" s="372"/>
    <row r="961" ht="15.75" customHeight="1" s="372"/>
    <row r="962" ht="15.75" customHeight="1" s="372"/>
    <row r="963" ht="15.75" customHeight="1" s="372"/>
    <row r="964" ht="15.75" customHeight="1" s="372"/>
    <row r="965" ht="15.75" customHeight="1" s="372"/>
    <row r="966" ht="15.75" customHeight="1" s="372"/>
    <row r="967" ht="15.75" customHeight="1" s="372"/>
    <row r="968" ht="15.75" customHeight="1" s="372"/>
    <row r="969" ht="15.75" customHeight="1" s="372"/>
    <row r="970" ht="15.75" customHeight="1" s="372"/>
    <row r="971" ht="15.75" customHeight="1" s="372"/>
    <row r="972" ht="15.75" customHeight="1" s="372"/>
    <row r="973" ht="15.75" customHeight="1" s="372"/>
    <row r="974" ht="15.75" customHeight="1" s="372"/>
    <row r="975" ht="15.75" customHeight="1" s="372"/>
    <row r="976" ht="15.75" customHeight="1" s="372"/>
    <row r="977" ht="15.75" customHeight="1" s="372"/>
    <row r="978" ht="15.75" customHeight="1" s="372"/>
    <row r="979" ht="15.75" customHeight="1" s="372"/>
    <row r="980" ht="15.75" customHeight="1" s="372"/>
    <row r="981" ht="15.75" customHeight="1" s="372"/>
    <row r="982" ht="15.75" customHeight="1" s="372"/>
    <row r="983" ht="15.75" customHeight="1" s="372"/>
    <row r="984" ht="15.75" customHeight="1" s="372"/>
    <row r="985" ht="15.75" customHeight="1" s="372"/>
    <row r="986" ht="15.75" customHeight="1" s="372"/>
    <row r="987" ht="15.75" customHeight="1" s="372"/>
    <row r="988" ht="15.75" customHeight="1" s="372"/>
    <row r="989" ht="15.75" customHeight="1" s="372"/>
    <row r="990" ht="15.75" customHeight="1" s="372"/>
    <row r="991" ht="15.75" customHeight="1" s="372"/>
    <row r="992" ht="15.75" customHeight="1" s="372"/>
    <row r="993" ht="15.75" customHeight="1" s="372"/>
    <row r="994" ht="15.75" customHeight="1" s="372"/>
    <row r="995" ht="15.75" customHeight="1" s="372"/>
    <row r="996" ht="15.75" customHeight="1" s="372"/>
    <row r="997" ht="15.75" customHeight="1" s="372"/>
    <row r="998" ht="15.75" customHeight="1" s="372"/>
    <row r="999" ht="15.75" customHeight="1" s="372"/>
    <row r="1000" ht="15.75" customHeight="1" s="372"/>
  </sheetData>
  <mergeCells count="7">
    <mergeCell ref="A2:B2"/>
    <mergeCell ref="A11:B11"/>
    <mergeCell ref="A5:B5"/>
    <mergeCell ref="A14:B14"/>
    <mergeCell ref="A1:B1"/>
    <mergeCell ref="A17:B17"/>
    <mergeCell ref="A8:B8"/>
  </mergeCells>
  <pageMargins left="0.75" right="0.75" top="1" bottom="1" header="0" footer="0"/>
  <pageSetup orientation="portrait" paperSize="9"/>
</worksheet>
</file>

<file path=xl/worksheets/sheet15.xml><?xml version="1.0" encoding="utf-8"?>
<worksheet xmlns="http://schemas.openxmlformats.org/spreadsheetml/2006/main">
  <sheetPr>
    <outlinePr summaryBelow="0" summaryRight="0"/>
    <pageSetUpPr/>
  </sheetPr>
  <dimension ref="A1:AA323"/>
  <sheetViews>
    <sheetView workbookViewId="0">
      <selection activeCell="A1" sqref="A1"/>
    </sheetView>
  </sheetViews>
  <sheetFormatPr baseColWidth="8" defaultColWidth="14.43" defaultRowHeight="15" customHeight="1"/>
  <cols>
    <col width="24.14" customWidth="1" style="372" min="1" max="1"/>
    <col width="23.29" customWidth="1" style="372" min="2" max="2"/>
    <col width="24.71" customWidth="1" style="372" min="3" max="3"/>
    <col width="20.14" customWidth="1" style="372" min="4" max="4"/>
    <col width="26" customWidth="1" style="372" min="5" max="5"/>
    <col width="22" customWidth="1" style="372" min="6" max="6"/>
    <col width="27.57" customWidth="1" style="372" min="7" max="7"/>
  </cols>
  <sheetData>
    <row r="1">
      <c r="A1" s="316" t="inlineStr">
        <is>
          <t>THIS TAB HAS BEEN UPDATED</t>
        </is>
      </c>
      <c r="H1" s="317" t="n"/>
      <c r="I1" s="317" t="n"/>
      <c r="J1" s="317" t="n"/>
      <c r="K1" s="317" t="n"/>
      <c r="L1" s="317" t="n"/>
      <c r="M1" s="317" t="n"/>
      <c r="N1" s="317" t="n"/>
      <c r="O1" s="317" t="n"/>
      <c r="P1" s="317" t="n"/>
      <c r="Q1" s="317" t="n"/>
      <c r="R1" s="317" t="n"/>
      <c r="S1" s="317" t="n"/>
      <c r="T1" s="317" t="n"/>
      <c r="U1" s="317" t="n"/>
      <c r="V1" s="317" t="n"/>
      <c r="W1" s="317" t="n"/>
      <c r="X1" s="317" t="n"/>
      <c r="Y1" s="317" t="n"/>
      <c r="Z1" s="317" t="n"/>
      <c r="AA1" s="317" t="n"/>
    </row>
    <row r="2">
      <c r="A2" s="318" t="inlineStr">
        <is>
          <t>NOTE: YOU DO NOT NEED CHOICE HOURS IN EVERY COMPETENCY</t>
        </is>
      </c>
      <c r="H2" s="317" t="n"/>
      <c r="I2" s="317" t="n"/>
      <c r="J2" s="317" t="n"/>
      <c r="K2" s="317" t="n"/>
      <c r="L2" s="317" t="n"/>
      <c r="M2" s="317" t="n"/>
      <c r="N2" s="317" t="n"/>
      <c r="O2" s="317" t="n"/>
      <c r="P2" s="317" t="n"/>
      <c r="Q2" s="317" t="n"/>
      <c r="R2" s="317" t="n"/>
      <c r="S2" s="317" t="n"/>
      <c r="T2" s="317" t="n"/>
      <c r="U2" s="317" t="n"/>
      <c r="V2" s="317" t="n"/>
      <c r="W2" s="317" t="n"/>
      <c r="X2" s="317" t="n"/>
      <c r="Y2" s="317" t="n"/>
      <c r="Z2" s="317" t="n"/>
      <c r="AA2" s="317" t="n"/>
    </row>
    <row r="3">
      <c r="A3" s="319" t="inlineStr">
        <is>
          <t>1. Check your data tab and find "CHOICE". Within the BLUE table, identify where you have remaining hours.</t>
        </is>
      </c>
      <c r="B3" s="320" t="inlineStr">
        <is>
          <t>2. Identify an experience you have or will engage in. CTL F a key word (Data, School Improvement, etc.)</t>
        </is>
      </c>
      <c r="C3" s="319" t="inlineStr">
        <is>
          <t>3. Scroll over and copy the entry aligned to the competency you wish to include. Add to your planning log and then identify the alignment, hours, location, setting and your role.</t>
        </is>
      </c>
      <c r="D3" s="320" t="inlineStr">
        <is>
          <t>4. Return to your data tab and if you have entered correctly, your tab should update showing you the hours reduced in the competency selected.</t>
        </is>
      </c>
      <c r="E3" s="319" t="inlineStr">
        <is>
          <t>5. Continue adding experiences as you plan your internship. It is ok to plan ahead, but be sure to track if you've entered into PowerBI</t>
        </is>
      </c>
      <c r="F3" s="321" t="n"/>
      <c r="G3" s="321" t="n"/>
      <c r="H3" s="317" t="n"/>
      <c r="I3" s="317" t="n"/>
      <c r="J3" s="317" t="n"/>
      <c r="K3" s="317" t="n"/>
      <c r="L3" s="317" t="n"/>
      <c r="M3" s="317" t="n"/>
      <c r="N3" s="317" t="n"/>
      <c r="O3" s="317" t="n"/>
      <c r="P3" s="317" t="n"/>
      <c r="Q3" s="317" t="n"/>
      <c r="R3" s="317" t="n"/>
      <c r="S3" s="317" t="n"/>
      <c r="T3" s="317" t="n"/>
      <c r="U3" s="317" t="n"/>
      <c r="V3" s="317" t="n"/>
      <c r="W3" s="317" t="n"/>
      <c r="X3" s="317" t="n"/>
      <c r="Y3" s="317" t="n"/>
      <c r="Z3" s="317" t="n"/>
      <c r="AA3" s="317" t="n"/>
    </row>
    <row r="4">
      <c r="A4" s="322" t="inlineStr">
        <is>
          <t>Virginia School Leader Internship – Competency Alignment Matrix</t>
        </is>
      </c>
      <c r="B4" s="403" t="n"/>
      <c r="C4" s="403" t="n"/>
      <c r="D4" s="403" t="n"/>
      <c r="E4" s="403" t="n"/>
      <c r="F4" s="403" t="n"/>
      <c r="G4" s="403" t="n"/>
      <c r="H4" s="324" t="n"/>
      <c r="I4" s="324" t="n"/>
      <c r="J4" s="324" t="n"/>
      <c r="K4" s="324" t="n"/>
      <c r="L4" s="324" t="n"/>
      <c r="M4" s="324" t="n"/>
      <c r="N4" s="324" t="n"/>
      <c r="O4" s="324" t="n"/>
      <c r="P4" s="324" t="n"/>
      <c r="Q4" s="324" t="n"/>
      <c r="R4" s="324" t="n"/>
      <c r="S4" s="324" t="n"/>
      <c r="T4" s="324" t="n"/>
      <c r="U4" s="324" t="n"/>
      <c r="V4" s="324" t="n"/>
      <c r="W4" s="324" t="n"/>
      <c r="X4" s="324" t="n"/>
      <c r="Y4" s="324" t="n"/>
      <c r="Z4" s="325" t="n"/>
      <c r="AA4" s="317" t="n"/>
    </row>
    <row r="5">
      <c r="A5" s="326" t="inlineStr">
        <is>
          <t>Internship Experience</t>
        </is>
      </c>
      <c r="B5" s="327" t="inlineStr">
        <is>
          <t>Competency 1
 Instructional Leadership</t>
        </is>
      </c>
      <c r="C5" s="328" t="inlineStr">
        <is>
          <t>Competency 2
 Organizational Leadership</t>
        </is>
      </c>
      <c r="D5" s="329" t="inlineStr">
        <is>
          <t>Competency 3
 Operational Management</t>
        </is>
      </c>
      <c r="E5" s="330" t="inlineStr">
        <is>
          <t>Competency 4
 Systemic Equity</t>
        </is>
      </c>
      <c r="F5" s="331" t="inlineStr">
        <is>
          <t>Competency 5
 Professionalism</t>
        </is>
      </c>
      <c r="G5" s="332" t="inlineStr">
        <is>
          <t>Competency 6
 Advocacy</t>
        </is>
      </c>
      <c r="H5" s="317" t="n"/>
      <c r="I5" s="317" t="n"/>
      <c r="J5" s="317" t="n"/>
      <c r="K5" s="317" t="n"/>
      <c r="L5" s="317" t="n"/>
      <c r="M5" s="317" t="n"/>
      <c r="N5" s="317" t="n"/>
      <c r="O5" s="317" t="n"/>
      <c r="P5" s="317" t="n"/>
      <c r="Q5" s="317" t="n"/>
      <c r="R5" s="317" t="n"/>
      <c r="S5" s="317" t="n"/>
      <c r="T5" s="317" t="n"/>
      <c r="U5" s="317" t="n"/>
      <c r="V5" s="317" t="n"/>
      <c r="W5" s="317" t="n"/>
      <c r="X5" s="317" t="n"/>
      <c r="Y5" s="317" t="n"/>
      <c r="Z5" s="333" t="n"/>
      <c r="AA5" s="317" t="n"/>
    </row>
    <row r="6">
      <c r="A6" s="326" t="inlineStr">
        <is>
          <t>Use survey data to gather input for planning</t>
        </is>
      </c>
      <c r="B6" s="334" t="inlineStr">
        <is>
          <t>Analyze survey results from teachers, students, or parents to identify instructional needs and inform school improvement planning.</t>
        </is>
      </c>
      <c r="C6" s="334" t="inlineStr">
        <is>
          <t>Use survey findings to align organizational practices with school community priorities and develop strategic improvement goals.</t>
        </is>
      </c>
      <c r="D6" s="334" t="inlineStr">
        <is>
          <t>Leverage survey data to make management decisions that improve the working and learning climate and support staff effectiveness.</t>
        </is>
      </c>
      <c r="E6" s="334" t="inlineStr">
        <is>
          <t>Gather diverse community input through surveys to identify equity gaps and emerging needs affecting underrepresented student populations.</t>
        </is>
      </c>
      <c r="F6" s="334" t="inlineStr">
        <is>
          <t>Model ethical, inclusive data practices by ensuring survey processes respect all stakeholders and reflect a commitment to fairness and equity.</t>
        </is>
      </c>
      <c r="G6" s="334" t="inlineStr">
        <is>
          <t>Use community voice data to advocate for policies and resources that address systemic needs identified through stakeholder surveys.</t>
        </is>
      </c>
      <c r="H6" s="317" t="n"/>
      <c r="I6" s="317" t="n"/>
      <c r="J6" s="317" t="n"/>
      <c r="K6" s="317" t="n"/>
      <c r="L6" s="317" t="n"/>
      <c r="M6" s="317" t="n"/>
      <c r="N6" s="317" t="n"/>
      <c r="O6" s="317" t="n"/>
      <c r="P6" s="317" t="n"/>
      <c r="Q6" s="317" t="n"/>
      <c r="R6" s="317" t="n"/>
      <c r="S6" s="317" t="n"/>
      <c r="T6" s="317" t="n"/>
      <c r="U6" s="317" t="n"/>
      <c r="V6" s="317" t="n"/>
      <c r="W6" s="317" t="n"/>
      <c r="X6" s="317" t="n"/>
      <c r="Y6" s="317" t="n"/>
      <c r="Z6" s="333" t="n"/>
      <c r="AA6" s="317" t="n"/>
    </row>
    <row r="7">
      <c r="A7" s="326" t="inlineStr">
        <is>
          <t>Lead a focus group on school improvement needs</t>
        </is>
      </c>
      <c r="B7" s="335" t="inlineStr">
        <is>
          <t>Facilitate a staff focus group to identify instructional improvement priorities and align findings with school improvement planning.</t>
        </is>
      </c>
      <c r="C7" s="335" t="inlineStr">
        <is>
          <t>Lead a structured focus group to gather stakeholder input that informs strategic planning and organizational alignment with division goals.</t>
        </is>
      </c>
      <c r="D7" s="335" t="inlineStr">
        <is>
          <t>Use focus group findings to inform operational management decisions related to staffing, professional development, and resource allocation.</t>
        </is>
      </c>
      <c r="E7" s="335" t="inlineStr">
        <is>
          <t>Conduct a focus group that elevates the voices of diverse community members to surface equity-related needs and improvement priorities.</t>
        </is>
      </c>
      <c r="F7" s="335" t="inlineStr">
        <is>
          <t>Model reflective professional practice by facilitating inclusive, honest dialogue that upholds ethical standards in decision-making.</t>
        </is>
      </c>
      <c r="G7" s="335" t="inlineStr">
        <is>
          <t>Leverage focus group findings to advocate for school-level policy changes and resource investments aligned with community-identified needs.</t>
        </is>
      </c>
      <c r="H7" s="317" t="n"/>
      <c r="I7" s="317" t="n"/>
      <c r="J7" s="317" t="n"/>
      <c r="K7" s="317" t="n"/>
      <c r="L7" s="317" t="n"/>
      <c r="M7" s="317" t="n"/>
      <c r="N7" s="317" t="n"/>
      <c r="O7" s="317" t="n"/>
      <c r="P7" s="317" t="n"/>
      <c r="Q7" s="317" t="n"/>
      <c r="R7" s="317" t="n"/>
      <c r="S7" s="317" t="n"/>
      <c r="T7" s="317" t="n"/>
      <c r="U7" s="317" t="n"/>
      <c r="V7" s="317" t="n"/>
      <c r="W7" s="317" t="n"/>
      <c r="X7" s="317" t="n"/>
      <c r="Y7" s="317" t="n"/>
      <c r="Z7" s="333" t="n"/>
      <c r="AA7" s="317" t="n"/>
    </row>
    <row r="8">
      <c r="A8" s="326" t="inlineStr">
        <is>
          <t>Identify community resources for diverse students</t>
        </is>
      </c>
      <c r="B8" s="334" t="inlineStr">
        <is>
          <t>Connect instructional support to community resources that address diverse student learning needs, including ELL and special education services.</t>
        </is>
      </c>
      <c r="C8" s="334" t="inlineStr">
        <is>
          <t>Build strategic partnerships with community organizations to expand the school's capacity to serve diverse populations through coordinated planning.</t>
        </is>
      </c>
      <c r="D8" s="334" t="inlineStr">
        <is>
          <t>Manage community partnerships as an operational function that supports student success, safety, and access to services.</t>
        </is>
      </c>
      <c r="E8" s="334" t="inlineStr">
        <is>
          <t>Identify and mobilize community resources specifically targeted toward underserved student populations to advance systemic equity.</t>
        </is>
      </c>
      <c r="F8" s="334" t="inlineStr">
        <is>
          <t>Demonstrate a professional commitment to equity by actively seeking partnerships that reflect fairness, care, and responsiveness to diverse student needs.</t>
        </is>
      </c>
      <c r="G8" s="334" t="inlineStr">
        <is>
          <t>Advocate for increased community support and external resources to address gaps in services for diverse and underrepresented students.</t>
        </is>
      </c>
      <c r="H8" s="317" t="n"/>
      <c r="I8" s="317" t="n"/>
      <c r="J8" s="317" t="n"/>
      <c r="K8" s="317" t="n"/>
      <c r="L8" s="317" t="n"/>
      <c r="M8" s="317" t="n"/>
      <c r="N8" s="317" t="n"/>
      <c r="O8" s="317" t="n"/>
      <c r="P8" s="317" t="n"/>
      <c r="Q8" s="317" t="n"/>
      <c r="R8" s="317" t="n"/>
      <c r="S8" s="317" t="n"/>
      <c r="T8" s="317" t="n"/>
      <c r="U8" s="317" t="n"/>
      <c r="V8" s="317" t="n"/>
      <c r="W8" s="317" t="n"/>
      <c r="X8" s="317" t="n"/>
      <c r="Y8" s="317" t="n"/>
      <c r="Z8" s="333" t="n"/>
      <c r="AA8" s="317" t="n"/>
    </row>
    <row r="9">
      <c r="A9" s="326" t="inlineStr">
        <is>
          <t>Design teacher workshop on analyzing classroom data</t>
        </is>
      </c>
      <c r="B9" s="335" t="inlineStr">
        <is>
          <t>Design and facilitate a professional development workshop on analyzing classroom data to improve instructional practices and student outcomes.</t>
        </is>
      </c>
      <c r="C9" s="335" t="inlineStr">
        <is>
          <t>Lead a data-focused workshop that builds collective capacity for evidence-based decision-making and supports organizational learning goals.</t>
        </is>
      </c>
      <c r="D9" s="335" t="inlineStr">
        <is>
          <t>Develop a workshop that builds teachers' capacity to use student performance data for operational instructional planning and program refinement.</t>
        </is>
      </c>
      <c r="E9" s="335" t="inlineStr">
        <is>
          <t>Incorporate equity-focused data analysis into the workshop to help teachers identify achievement gaps and differentiate instruction for all learners.</t>
        </is>
      </c>
      <c r="F9" s="335" t="inlineStr">
        <is>
          <t>Model and promote a culture of continuous professional learning by facilitating collaborative, job-embedded data analysis professional development.</t>
        </is>
      </c>
      <c r="G9" s="335" t="inlineStr">
        <is>
          <t>Advocate for evidence-based instructional practices by equipping teachers with data literacy skills that support systemic improvement.</t>
        </is>
      </c>
      <c r="H9" s="317" t="n"/>
      <c r="I9" s="317" t="n"/>
      <c r="J9" s="317" t="n"/>
      <c r="K9" s="317" t="n"/>
      <c r="L9" s="317" t="n"/>
      <c r="M9" s="317" t="n"/>
      <c r="N9" s="317" t="n"/>
      <c r="O9" s="317" t="n"/>
      <c r="P9" s="317" t="n"/>
      <c r="Q9" s="317" t="n"/>
      <c r="R9" s="317" t="n"/>
      <c r="S9" s="317" t="n"/>
      <c r="T9" s="317" t="n"/>
      <c r="U9" s="317" t="n"/>
      <c r="V9" s="317" t="n"/>
      <c r="W9" s="317" t="n"/>
      <c r="X9" s="317" t="n"/>
      <c r="Y9" s="317" t="n"/>
      <c r="Z9" s="333" t="n"/>
      <c r="AA9" s="317" t="n"/>
    </row>
    <row r="10">
      <c r="A10" s="326" t="inlineStr">
        <is>
          <t>Attend training on student rights and legal compliance</t>
        </is>
      </c>
      <c r="B10" s="334" t="inlineStr">
        <is>
          <t>Develop knowledge of legal frameworks governing student rights that directly impact instructional decisions and disciplinary practices.</t>
        </is>
      </c>
      <c r="C10" s="334" t="inlineStr">
        <is>
          <t>Use training insights to align school organizational policies and communication practices with federal and state legal requirements.</t>
        </is>
      </c>
      <c r="D10" s="334" t="inlineStr">
        <is>
          <t>Apply knowledge of student rights and legal compliance to operational management decisions, including discipline policies and due process.</t>
        </is>
      </c>
      <c r="E10" s="334" t="inlineStr">
        <is>
          <t>Examine how student rights laws (privacy, expression, discipline) protect marginalized students and advance equitable school environments.</t>
        </is>
      </c>
      <c r="F10" s="334" t="inlineStr">
        <is>
          <t>Strengthen professional knowledge of the moral and legal dimensions of decision-making by studying laws governing student rights and responsibilities.</t>
        </is>
      </c>
      <c r="G10" s="334" t="inlineStr">
        <is>
          <t>Use legal training to advocate for school policies and practices that fully uphold student rights and align with state and federal law.</t>
        </is>
      </c>
      <c r="H10" s="317" t="n"/>
      <c r="I10" s="317" t="n"/>
      <c r="J10" s="317" t="n"/>
      <c r="K10" s="317" t="n"/>
      <c r="L10" s="317" t="n"/>
      <c r="M10" s="317" t="n"/>
      <c r="N10" s="317" t="n"/>
      <c r="O10" s="317" t="n"/>
      <c r="P10" s="317" t="n"/>
      <c r="Q10" s="317" t="n"/>
      <c r="R10" s="317" t="n"/>
      <c r="S10" s="317" t="n"/>
      <c r="T10" s="317" t="n"/>
      <c r="U10" s="317" t="n"/>
      <c r="V10" s="317" t="n"/>
      <c r="W10" s="317" t="n"/>
      <c r="X10" s="317" t="n"/>
      <c r="Y10" s="317" t="n"/>
      <c r="Z10" s="333" t="n"/>
      <c r="AA10" s="317" t="n"/>
    </row>
    <row r="11">
      <c r="A11" s="326" t="inlineStr">
        <is>
          <t>Lead a data analysis session with grade-level teams</t>
        </is>
      </c>
      <c r="B11" s="335" t="inlineStr">
        <is>
          <t>Facilitate collaborative grade-level data analysis to identify instructional strengths, gaps, and targeted improvement strategies.</t>
        </is>
      </c>
      <c r="C11" s="335" t="inlineStr">
        <is>
          <t>Use data review sessions with grade-level teams to build organizational capacity for evidence-based decision-making and continuous improvement.</t>
        </is>
      </c>
      <c r="D11" s="335" t="inlineStr">
        <is>
          <t>Apply data-driven decision-making processes to grade-level teams to strengthen operational alignment of instruction across the school.</t>
        </is>
      </c>
      <c r="E11" s="335" t="inlineStr">
        <is>
          <t>Embed equity analysis into data sessions to ensure grade-level teams examine outcome disparities and develop responsive interventions.</t>
        </is>
      </c>
      <c r="F11" s="335" t="inlineStr">
        <is>
          <t>Model collaborative, professionally responsible data inquiry that reflects ethical use of student information and shared accountability.</t>
        </is>
      </c>
      <c r="G11" s="335" t="inlineStr">
        <is>
          <t>Use data evidence from grade-level teams to advocate for systemic changes in curriculum, staffing, or resources to improve student outcomes.</t>
        </is>
      </c>
      <c r="H11" s="317" t="n"/>
      <c r="I11" s="317" t="n"/>
      <c r="J11" s="317" t="n"/>
      <c r="K11" s="317" t="n"/>
      <c r="L11" s="317" t="n"/>
      <c r="M11" s="317" t="n"/>
      <c r="N11" s="317" t="n"/>
      <c r="O11" s="317" t="n"/>
      <c r="P11" s="317" t="n"/>
      <c r="Q11" s="317" t="n"/>
      <c r="R11" s="317" t="n"/>
      <c r="S11" s="317" t="n"/>
      <c r="T11" s="317" t="n"/>
      <c r="U11" s="317" t="n"/>
      <c r="V11" s="317" t="n"/>
      <c r="W11" s="317" t="n"/>
      <c r="X11" s="317" t="n"/>
      <c r="Y11" s="317" t="n"/>
      <c r="Z11" s="333" t="n"/>
      <c r="AA11" s="317" t="n"/>
    </row>
    <row r="12">
      <c r="A12" s="326" t="inlineStr">
        <is>
          <t>Lead a culture change initiative</t>
        </is>
      </c>
      <c r="B12" s="334" t="inlineStr">
        <is>
          <t>Connect school culture change efforts to instructional improvement goals, ensuring the initiative supports effective teaching and student learning.</t>
        </is>
      </c>
      <c r="C12" s="334" t="inlineStr">
        <is>
          <t>Lead an organizational culture change initiative that aligns staff behavior, beliefs, and practices with the school's mission and strategic goals.</t>
        </is>
      </c>
      <c r="D12" s="334" t="inlineStr">
        <is>
          <t>Manage the operational dimensions of a culture change initiative, including professional development design, scheduling, and resource coordination.</t>
        </is>
      </c>
      <c r="E12" s="334" t="inlineStr">
        <is>
          <t>Design and lead a culture change initiative that explicitly addresses systemic equity, inclusion, and belonging for all students and staff.</t>
        </is>
      </c>
      <c r="F12" s="334" t="inlineStr">
        <is>
          <t>Model ethical and moral leadership throughout a culture change initiative, demonstrating integrity, honesty, and care for all stakeholders.</t>
        </is>
      </c>
      <c r="G12" s="334" t="inlineStr">
        <is>
          <t>Advocate for systemic transformation in school culture by connecting change goals to broader educational equity and policy priorities.</t>
        </is>
      </c>
      <c r="H12" s="317" t="n"/>
      <c r="I12" s="317" t="n"/>
      <c r="J12" s="317" t="n"/>
      <c r="K12" s="317" t="n"/>
      <c r="L12" s="317" t="n"/>
      <c r="M12" s="317" t="n"/>
      <c r="N12" s="317" t="n"/>
      <c r="O12" s="317" t="n"/>
      <c r="P12" s="317" t="n"/>
      <c r="Q12" s="317" t="n"/>
      <c r="R12" s="317" t="n"/>
      <c r="S12" s="317" t="n"/>
      <c r="T12" s="317" t="n"/>
      <c r="U12" s="317" t="n"/>
      <c r="V12" s="317" t="n"/>
      <c r="W12" s="317" t="n"/>
      <c r="X12" s="317" t="n"/>
      <c r="Y12" s="317" t="n"/>
      <c r="Z12" s="333" t="n"/>
      <c r="AA12" s="317" t="n"/>
    </row>
    <row r="13">
      <c r="A13" s="326" t="inlineStr">
        <is>
          <t>Analyze space and time utilization for instruction</t>
        </is>
      </c>
      <c r="B13" s="335" t="inlineStr">
        <is>
          <t>Evaluate how school scheduling and space are structured to support rigorous, differentiated instruction and maximize student learning time.</t>
        </is>
      </c>
      <c r="C13" s="335" t="inlineStr">
        <is>
          <t>Analyze facility and time utilization as an organizational resource and recommend strategic reallocations aligned with school improvement goals.</t>
        </is>
      </c>
      <c r="D13" s="335" t="inlineStr">
        <is>
          <t>Conduct a comprehensive operational review of space and time management to improve efficiency, safety, and instructional support structures.</t>
        </is>
      </c>
      <c r="E13" s="335" t="inlineStr">
        <is>
          <t>Examine how current use of space and time may create or perpetuate barriers to equitable access and learning for diverse student groups.</t>
        </is>
      </c>
      <c r="F13" s="335" t="inlineStr">
        <is>
          <t>Apply reflective professional judgment to assess whether current space and time practices align with ethical commitments to student success.</t>
        </is>
      </c>
      <c r="G13" s="335" t="inlineStr">
        <is>
          <t>Advocate for operational changes to space and time utilization that advance equitable learning opportunities and eliminate systemic barriers.</t>
        </is>
      </c>
      <c r="H13" s="317" t="n"/>
      <c r="I13" s="317" t="n"/>
      <c r="J13" s="317" t="n"/>
      <c r="K13" s="317" t="n"/>
      <c r="L13" s="317" t="n"/>
      <c r="M13" s="317" t="n"/>
      <c r="N13" s="317" t="n"/>
      <c r="O13" s="317" t="n"/>
      <c r="P13" s="317" t="n"/>
      <c r="Q13" s="317" t="n"/>
      <c r="R13" s="317" t="n"/>
      <c r="S13" s="317" t="n"/>
      <c r="T13" s="317" t="n"/>
      <c r="U13" s="317" t="n"/>
      <c r="V13" s="317" t="n"/>
      <c r="W13" s="317" t="n"/>
      <c r="X13" s="317" t="n"/>
      <c r="Y13" s="317" t="n"/>
      <c r="Z13" s="333" t="n"/>
      <c r="AA13" s="317" t="n"/>
    </row>
    <row r="14">
      <c r="A14" s="326" t="inlineStr">
        <is>
          <t>Organize instructional technology professional development</t>
        </is>
      </c>
      <c r="B14" s="334" t="inlineStr">
        <is>
          <t>Lead professional development on using technology tools to enhance curriculum and instruction aligned with school improvement and student data.</t>
        </is>
      </c>
      <c r="C14" s="334" t="inlineStr">
        <is>
          <t>Organize a technology PD series that builds collective staff capacity and supports school-wide strategic goals for instructional improvement.</t>
        </is>
      </c>
      <c r="D14" s="334" t="inlineStr">
        <is>
          <t>Manage the operational coordination of a multi-session professional development initiative, including scheduling, resources, and evaluation.</t>
        </is>
      </c>
      <c r="E14" s="334" t="inlineStr">
        <is>
          <t>Design technology PD that is responsive to the diverse learning needs of faculty and ensures equitable access and participation for all staff.</t>
        </is>
      </c>
      <c r="F14" s="334" t="inlineStr">
        <is>
          <t>Model and promote a commitment to continuous professional learning by facilitating high-quality, data-informed instructional technology training.</t>
        </is>
      </c>
      <c r="G14" s="334" t="inlineStr">
        <is>
          <t>Advocate for sustainable technology integration by connecting PD outcomes to school improvement priorities and policy-aligned instructional goals.</t>
        </is>
      </c>
      <c r="H14" s="317" t="n"/>
      <c r="I14" s="317" t="n"/>
      <c r="J14" s="317" t="n"/>
      <c r="K14" s="317" t="n"/>
      <c r="L14" s="317" t="n"/>
      <c r="M14" s="317" t="n"/>
      <c r="N14" s="317" t="n"/>
      <c r="O14" s="317" t="n"/>
      <c r="P14" s="317" t="n"/>
      <c r="Q14" s="317" t="n"/>
      <c r="R14" s="317" t="n"/>
      <c r="S14" s="317" t="n"/>
      <c r="T14" s="317" t="n"/>
      <c r="U14" s="317" t="n"/>
      <c r="V14" s="317" t="n"/>
      <c r="W14" s="317" t="n"/>
      <c r="X14" s="317" t="n"/>
      <c r="Y14" s="317" t="n"/>
      <c r="Z14" s="333" t="n"/>
      <c r="AA14" s="317" t="n"/>
    </row>
    <row r="15">
      <c r="A15" s="326" t="inlineStr">
        <is>
          <t>Plan multicultural night to engage families</t>
        </is>
      </c>
      <c r="B15" s="335" t="inlineStr">
        <is>
          <t>Connect multicultural night to instructional goals by using it as a platform to share school programs and support student academic identity.</t>
        </is>
      </c>
      <c r="C15" s="335" t="inlineStr">
        <is>
          <t>Plan and execute a multicultural event that advances the school's strategic goals for family engagement and community trust-building.</t>
        </is>
      </c>
      <c r="D15" s="335" t="inlineStr">
        <is>
          <t>Coordinate the operational logistics of a multicultural night, including facilities, staffing, materials, and communication with diverse families.</t>
        </is>
      </c>
      <c r="E15" s="335" t="inlineStr">
        <is>
          <t>Intentionally celebrate cultural diversity through the multicultural night to foster belonging, equity, and meaningful family-school partnerships.</t>
        </is>
      </c>
      <c r="F15" s="335" t="inlineStr">
        <is>
          <t>Model ethical and inclusive professional practice by creating a welcoming, respectful event that honors the cultural identities of all families.</t>
        </is>
      </c>
      <c r="G15" s="335" t="inlineStr">
        <is>
          <t>Advocate for the integration of family and cultural voice into school improvement planning by showcasing cultural assets and community strengths.</t>
        </is>
      </c>
      <c r="H15" s="317" t="n"/>
      <c r="I15" s="317" t="n"/>
      <c r="J15" s="317" t="n"/>
      <c r="K15" s="317" t="n"/>
      <c r="L15" s="317" t="n"/>
      <c r="M15" s="317" t="n"/>
      <c r="N15" s="317" t="n"/>
      <c r="O15" s="317" t="n"/>
      <c r="P15" s="317" t="n"/>
      <c r="Q15" s="317" t="n"/>
      <c r="R15" s="317" t="n"/>
      <c r="S15" s="317" t="n"/>
      <c r="T15" s="317" t="n"/>
      <c r="U15" s="317" t="n"/>
      <c r="V15" s="317" t="n"/>
      <c r="W15" s="317" t="n"/>
      <c r="X15" s="317" t="n"/>
      <c r="Y15" s="317" t="n"/>
      <c r="Z15" s="333" t="n"/>
      <c r="AA15" s="317" t="n"/>
    </row>
    <row r="16">
      <c r="A16" s="326" t="inlineStr">
        <is>
          <t>Observe community-based events supporting families</t>
        </is>
      </c>
      <c r="B16" s="334" t="inlineStr">
        <is>
          <t>Observe community-agency collaboration to identify how external resources can inform and support student learning and school improvement efforts.</t>
        </is>
      </c>
      <c r="C16" s="334" t="inlineStr">
        <is>
          <t>Analyze how community agency partnerships function as an organizational strategy to extend school capacity and serve diverse student populations.</t>
        </is>
      </c>
      <c r="D16" s="334" t="inlineStr">
        <is>
          <t>Evaluate operational collaboration between the school and community agencies and reflect on how these partnerships support school management.</t>
        </is>
      </c>
      <c r="E16" s="334" t="inlineStr">
        <is>
          <t>Observe how community-based services address the diverse needs of underrepresented families and students in an equitable and culturally responsive way.</t>
        </is>
      </c>
      <c r="F16" s="334" t="inlineStr">
        <is>
          <t>Reflect on the ethical and professional dimensions of community engagement and the school's responsibility to connect families with needed resources.</t>
        </is>
      </c>
      <c r="G16" s="334" t="inlineStr">
        <is>
          <t>Identify how community-agency partnerships serve as a vehicle for advocacy, expanding support systems for students and families through external collaboration.</t>
        </is>
      </c>
      <c r="H16" s="317" t="n"/>
      <c r="I16" s="317" t="n"/>
      <c r="J16" s="317" t="n"/>
      <c r="K16" s="317" t="n"/>
      <c r="L16" s="317" t="n"/>
      <c r="M16" s="317" t="n"/>
      <c r="N16" s="317" t="n"/>
      <c r="O16" s="317" t="n"/>
      <c r="P16" s="317" t="n"/>
      <c r="Q16" s="317" t="n"/>
      <c r="R16" s="317" t="n"/>
      <c r="S16" s="317" t="n"/>
      <c r="T16" s="317" t="n"/>
      <c r="U16" s="317" t="n"/>
      <c r="V16" s="317" t="n"/>
      <c r="W16" s="317" t="n"/>
      <c r="X16" s="317" t="n"/>
      <c r="Y16" s="317" t="n"/>
      <c r="Z16" s="333" t="n"/>
      <c r="AA16" s="317" t="n"/>
    </row>
    <row r="17">
      <c r="A17" s="326" t="inlineStr">
        <is>
          <t>Analyze school performance data to identify trends</t>
        </is>
      </c>
      <c r="B17" s="335" t="inlineStr">
        <is>
          <t>Use school performance data analysis to identify instructional trends, set improvement priorities, and guide evidence-based teaching decisions.</t>
        </is>
      </c>
      <c r="C17" s="335" t="inlineStr">
        <is>
          <t>Apply data trend analysis to organizational planning by connecting findings to strategic goals and guiding school-wide improvement initiatives.</t>
        </is>
      </c>
      <c r="D17" s="335" t="inlineStr">
        <is>
          <t>Use performance data to inform operational management decisions including resource allocation, program design, and professional development priorities.</t>
        </is>
      </c>
      <c r="E17" s="335" t="inlineStr">
        <is>
          <t>Analyze performance trends through an equity lens to identify achievement gaps and systemic disparities affecting diverse student populations.</t>
        </is>
      </c>
      <c r="F17" s="335" t="inlineStr">
        <is>
          <t>Demonstrate professional responsibility by engaging in rigorous, honest data inquiry that supports ethical and evidence-based school improvement.</t>
        </is>
      </c>
      <c r="G17" s="335" t="inlineStr">
        <is>
          <t>Use data trend analysis to advocate for policies and resources that address systemic inequities and drive sustainable improvement for all learners.</t>
        </is>
      </c>
      <c r="H17" s="317" t="n"/>
      <c r="I17" s="317" t="n"/>
      <c r="J17" s="317" t="n"/>
      <c r="K17" s="317" t="n"/>
      <c r="L17" s="317" t="n"/>
      <c r="M17" s="317" t="n"/>
      <c r="N17" s="317" t="n"/>
      <c r="O17" s="317" t="n"/>
      <c r="P17" s="317" t="n"/>
      <c r="Q17" s="317" t="n"/>
      <c r="R17" s="317" t="n"/>
      <c r="S17" s="317" t="n"/>
      <c r="T17" s="317" t="n"/>
      <c r="U17" s="317" t="n"/>
      <c r="V17" s="317" t="n"/>
      <c r="W17" s="317" t="n"/>
      <c r="X17" s="317" t="n"/>
      <c r="Y17" s="317" t="n"/>
      <c r="Z17" s="333" t="n"/>
      <c r="AA17" s="317" t="n"/>
    </row>
    <row r="18">
      <c r="A18" s="326" t="inlineStr">
        <is>
          <t>Use benchmark data to set PLC improvement goals</t>
        </is>
      </c>
      <c r="B18" s="334" t="inlineStr">
        <is>
          <t>Apply benchmark data within PLCs to set measurable instructional goals and develop targeted improvement strategies for student achievement.</t>
        </is>
      </c>
      <c r="C18" s="334" t="inlineStr">
        <is>
          <t>Use benchmark data to support organizational goal-setting and align PLC improvement efforts with school-wide strategic priorities.</t>
        </is>
      </c>
      <c r="D18" s="334" t="inlineStr">
        <is>
          <t>Apply benchmark data analysis to operational program evaluation processes to identify program effectiveness and guide resource decisions.</t>
        </is>
      </c>
      <c r="E18" s="334" t="inlineStr">
        <is>
          <t>Embed equity analysis in benchmark data review to ensure PLC goals address outcome disparities for diverse and underrepresented student groups.</t>
        </is>
      </c>
      <c r="F18" s="334" t="inlineStr">
        <is>
          <t>Model collaborative professional learning by using benchmark data to foster shared accountability, transparency, and continuous improvement in PLCs.</t>
        </is>
      </c>
      <c r="G18" s="334" t="inlineStr">
        <is>
          <t>Advocate for data-informed program and policy changes by using PLC benchmark findings to elevate evidence for systemic improvement.</t>
        </is>
      </c>
      <c r="H18" s="317" t="n"/>
      <c r="I18" s="317" t="n"/>
      <c r="J18" s="317" t="n"/>
      <c r="K18" s="317" t="n"/>
      <c r="L18" s="317" t="n"/>
      <c r="M18" s="317" t="n"/>
      <c r="N18" s="317" t="n"/>
      <c r="O18" s="317" t="n"/>
      <c r="P18" s="317" t="n"/>
      <c r="Q18" s="317" t="n"/>
      <c r="R18" s="317" t="n"/>
      <c r="S18" s="317" t="n"/>
      <c r="T18" s="317" t="n"/>
      <c r="U18" s="317" t="n"/>
      <c r="V18" s="317" t="n"/>
      <c r="W18" s="317" t="n"/>
      <c r="X18" s="317" t="n"/>
      <c r="Y18" s="317" t="n"/>
      <c r="Z18" s="333" t="n"/>
      <c r="AA18" s="317" t="n"/>
    </row>
    <row r="19">
      <c r="A19" s="326" t="inlineStr">
        <is>
          <t>Lead teachers in a change management discussion</t>
        </is>
      </c>
      <c r="B19" s="335" t="inlineStr">
        <is>
          <t>Facilitate a teacher discussion on change management strategies that directly support improved student engagement and instructional effectiveness.</t>
        </is>
      </c>
      <c r="C19" s="335" t="inlineStr">
        <is>
          <t>Lead a structured dialogue on change management theory and application to build staff capacity for leading organizational change initiatives.</t>
        </is>
      </c>
      <c r="D19" s="335" t="inlineStr">
        <is>
          <t>Apply change management principles operationally by facilitating staff dialogue on strategies for implementing and sustaining school improvements.</t>
        </is>
      </c>
      <c r="E19" s="335" t="inlineStr">
        <is>
          <t>Incorporate equity perspectives into change management discussions, examining how changes affect diverse student populations and staff communities.</t>
        </is>
      </c>
      <c r="F19" s="335" t="inlineStr">
        <is>
          <t>Model ethical professional leadership by facilitating honest, reflective conversations that respect all staff voices in navigating school change.</t>
        </is>
      </c>
      <c r="G19" s="335" t="inlineStr">
        <is>
          <t>Advocate for systemic change by connecting change management discussions to policy priorities and larger educational improvement frameworks.</t>
        </is>
      </c>
      <c r="H19" s="317" t="n"/>
      <c r="I19" s="317" t="n"/>
      <c r="J19" s="317" t="n"/>
      <c r="K19" s="317" t="n"/>
      <c r="L19" s="317" t="n"/>
      <c r="M19" s="317" t="n"/>
      <c r="N19" s="317" t="n"/>
      <c r="O19" s="317" t="n"/>
      <c r="P19" s="317" t="n"/>
      <c r="Q19" s="317" t="n"/>
      <c r="R19" s="317" t="n"/>
      <c r="S19" s="317" t="n"/>
      <c r="T19" s="317" t="n"/>
      <c r="U19" s="317" t="n"/>
      <c r="V19" s="317" t="n"/>
      <c r="W19" s="317" t="n"/>
      <c r="X19" s="317" t="n"/>
      <c r="Y19" s="317" t="n"/>
      <c r="Z19" s="333" t="n"/>
      <c r="AA19" s="317" t="n"/>
    </row>
    <row r="20">
      <c r="A20" s="326" t="inlineStr">
        <is>
          <t>Draft a communication plan for student data privacy</t>
        </is>
      </c>
      <c r="B20" s="334" t="inlineStr">
        <is>
          <t>Develop a communication plan that informs instructional staff and families about legal requirements for student data privacy and proper use of student information.</t>
        </is>
      </c>
      <c r="C20" s="334" t="inlineStr">
        <is>
          <t>Create an organizational communication plan that ensures systemic compliance with data privacy laws across all school and division stakeholders.</t>
        </is>
      </c>
      <c r="D20" s="334" t="inlineStr">
        <is>
          <t>Operationalize data privacy compliance by developing and implementing a clear communication plan for staff, parents, and community members.</t>
        </is>
      </c>
      <c r="E20" s="334" t="inlineStr">
        <is>
          <t>Ensure the data privacy communication plan reaches and is accessible to all families, including those from diverse linguistic and cultural backgrounds.</t>
        </is>
      </c>
      <c r="F20" s="334" t="inlineStr">
        <is>
          <t>Demonstrate professional, ethical responsibility by developing transparent communication about student data rights, privacy, and legal protections.</t>
        </is>
      </c>
      <c r="G20" s="334" t="inlineStr">
        <is>
          <t>Advocate for clear, policy-aligned communication that ensures all school stakeholders understand their rights and responsibilities under data privacy law.</t>
        </is>
      </c>
      <c r="H20" s="317" t="n"/>
      <c r="I20" s="317" t="n"/>
      <c r="J20" s="317" t="n"/>
      <c r="K20" s="317" t="n"/>
      <c r="L20" s="317" t="n"/>
      <c r="M20" s="317" t="n"/>
      <c r="N20" s="317" t="n"/>
      <c r="O20" s="317" t="n"/>
      <c r="P20" s="317" t="n"/>
      <c r="Q20" s="317" t="n"/>
      <c r="R20" s="317" t="n"/>
      <c r="S20" s="317" t="n"/>
      <c r="T20" s="317" t="n"/>
      <c r="U20" s="317" t="n"/>
      <c r="V20" s="317" t="n"/>
      <c r="W20" s="317" t="n"/>
      <c r="X20" s="317" t="n"/>
      <c r="Y20" s="317" t="n"/>
      <c r="Z20" s="333" t="n"/>
      <c r="AA20" s="317" t="n"/>
    </row>
    <row r="21" ht="15.75" customHeight="1" s="372">
      <c r="A21" s="326" t="inlineStr">
        <is>
          <t>Organize and facilitate an assessment review workshop</t>
        </is>
      </c>
      <c r="B21" s="335" t="inlineStr">
        <is>
          <t>Lead an assessment review workshop that builds staff capacity to analyze student performance data and improve instructional planning.</t>
        </is>
      </c>
      <c r="C21" s="335" t="inlineStr">
        <is>
          <t>Facilitate a collaborative assessment review process that supports organizational learning and aligns assessment practice with school improvement goals.</t>
        </is>
      </c>
      <c r="D21" s="335" t="inlineStr">
        <is>
          <t>Design and manage an assessment review workshop as an operational professional development function tied to school performance monitoring.</t>
        </is>
      </c>
      <c r="E21" s="335" t="inlineStr">
        <is>
          <t>Embed equity analysis in the assessment review process to ensure diverse student populations are represented and achievement gaps are addressed.</t>
        </is>
      </c>
      <c r="F21" s="335" t="inlineStr">
        <is>
          <t>Model a commitment to professional learning by leading a structured, collaborative assessment review grounded in ethical data use.</t>
        </is>
      </c>
      <c r="G21" s="335" t="inlineStr">
        <is>
          <t>Use assessment findings from the workshop to advocate for evidence-based instructional and programmatic changes across the school.</t>
        </is>
      </c>
      <c r="H21" s="317" t="n"/>
      <c r="I21" s="317" t="n"/>
      <c r="J21" s="317" t="n"/>
      <c r="K21" s="317" t="n"/>
      <c r="L21" s="317" t="n"/>
      <c r="M21" s="317" t="n"/>
      <c r="N21" s="317" t="n"/>
      <c r="O21" s="317" t="n"/>
      <c r="P21" s="317" t="n"/>
      <c r="Q21" s="317" t="n"/>
      <c r="R21" s="317" t="n"/>
      <c r="S21" s="317" t="n"/>
      <c r="T21" s="317" t="n"/>
      <c r="U21" s="317" t="n"/>
      <c r="V21" s="317" t="n"/>
      <c r="W21" s="317" t="n"/>
      <c r="X21" s="317" t="n"/>
      <c r="Y21" s="317" t="n"/>
      <c r="Z21" s="333" t="n"/>
      <c r="AA21" s="317" t="n"/>
    </row>
    <row r="22" ht="15.75" customHeight="1" s="372">
      <c r="A22" s="326" t="inlineStr">
        <is>
          <t>Design an innovation in instruction project</t>
        </is>
      </c>
      <c r="B22" s="334" t="inlineStr">
        <is>
          <t>Lead an innovative instructional project integrating evidence-based teaching strategies aligned with student data and school improvement goals.</t>
        </is>
      </c>
      <c r="C22" s="334" t="inlineStr">
        <is>
          <t>Design and implement an innovative instruction initiative as part of the school's organizational change strategy for improved student outcomes.</t>
        </is>
      </c>
      <c r="D22" s="334" t="inlineStr">
        <is>
          <t>Manage the operational planning, resource coordination, and evaluation of an innovative instructional project aligned with school priorities.</t>
        </is>
      </c>
      <c r="E22" s="334" t="inlineStr">
        <is>
          <t>Develop an innovative instruction project that is responsive to the diverse learning needs and cultural backgrounds of all students.</t>
        </is>
      </c>
      <c r="F22" s="334" t="inlineStr">
        <is>
          <t>Model professional creativity and continuous learning by designing and leading an instructional innovation project grounded in research and data.</t>
        </is>
      </c>
      <c r="G22" s="334" t="inlineStr">
        <is>
          <t>Advocate for systemic instructional innovation by demonstrating the impact of new approaches on student engagement and achievement outcomes.</t>
        </is>
      </c>
      <c r="H22" s="317" t="n"/>
      <c r="I22" s="317" t="n"/>
      <c r="J22" s="317" t="n"/>
      <c r="K22" s="317" t="n"/>
      <c r="L22" s="317" t="n"/>
      <c r="M22" s="317" t="n"/>
      <c r="N22" s="317" t="n"/>
      <c r="O22" s="317" t="n"/>
      <c r="P22" s="317" t="n"/>
      <c r="Q22" s="317" t="n"/>
      <c r="R22" s="317" t="n"/>
      <c r="S22" s="317" t="n"/>
      <c r="T22" s="317" t="n"/>
      <c r="U22" s="317" t="n"/>
      <c r="V22" s="317" t="n"/>
      <c r="W22" s="317" t="n"/>
      <c r="X22" s="317" t="n"/>
      <c r="Y22" s="317" t="n"/>
      <c r="Z22" s="333" t="n"/>
      <c r="AA22" s="317" t="n"/>
    </row>
    <row r="23" ht="15.75" customHeight="1" s="372">
      <c r="A23" s="326" t="inlineStr">
        <is>
          <t>Participate in strategic financial planning with leaders</t>
        </is>
      </c>
      <c r="B23" s="335" t="inlineStr">
        <is>
          <t>Engage in financial planning discussions to understand how budget decisions support instructional priorities, programs, and student learning goals.</t>
        </is>
      </c>
      <c r="C23" s="335" t="inlineStr">
        <is>
          <t>Participate in strategic financial planning sessions that align budget allocations with the school's mission, goals, and organizational priorities.</t>
        </is>
      </c>
      <c r="D23" s="335" t="inlineStr">
        <is>
          <t>Develop knowledge of fiscal operations and how financial planning processes support effective school management and resource stewardship.</t>
        </is>
      </c>
      <c r="E23" s="335" t="inlineStr">
        <is>
          <t>Examine how strategic financial planning decisions either support or hinder equitable access to programs and resources for all students.</t>
        </is>
      </c>
      <c r="F23" s="335" t="inlineStr">
        <is>
          <t>Engage in financial planning with professional integrity, learning how to make ethical, transparent budget decisions that serve all stakeholders.</t>
        </is>
      </c>
      <c r="G23" s="335" t="inlineStr">
        <is>
          <t>Understand how financial planning connects to advocacy efforts by examining how resource allocation decisions reflect educational priorities and values.</t>
        </is>
      </c>
      <c r="H23" s="317" t="n"/>
      <c r="I23" s="317" t="n"/>
      <c r="J23" s="317" t="n"/>
      <c r="K23" s="317" t="n"/>
      <c r="L23" s="317" t="n"/>
      <c r="M23" s="317" t="n"/>
      <c r="N23" s="317" t="n"/>
      <c r="O23" s="317" t="n"/>
      <c r="P23" s="317" t="n"/>
      <c r="Q23" s="317" t="n"/>
      <c r="R23" s="317" t="n"/>
      <c r="S23" s="317" t="n"/>
      <c r="T23" s="317" t="n"/>
      <c r="U23" s="317" t="n"/>
      <c r="V23" s="317" t="n"/>
      <c r="W23" s="317" t="n"/>
      <c r="X23" s="317" t="n"/>
      <c r="Y23" s="317" t="n"/>
      <c r="Z23" s="333" t="n"/>
      <c r="AA23" s="317" t="n"/>
    </row>
    <row r="24" ht="15.75" customHeight="1" s="372">
      <c r="A24" s="326" t="inlineStr">
        <is>
          <t>Lead a parent technology engagement initiative</t>
        </is>
      </c>
      <c r="B24" s="334" t="inlineStr">
        <is>
          <t>Support instructional partnerships with families by developing an initiative that trains parents to use technology for monitoring student learning progress.</t>
        </is>
      </c>
      <c r="C24" s="334" t="inlineStr">
        <is>
          <t>Design and lead a school-wide initiative to build family capacity for using technology tools that support organizational communication goals.</t>
        </is>
      </c>
      <c r="D24" s="334" t="inlineStr">
        <is>
          <t>Coordinate the operational logistics of a parent technology engagement initiative, including training design, scheduling, and support resources.</t>
        </is>
      </c>
      <c r="E24" s="334" t="inlineStr">
        <is>
          <t>Develop an inclusive parent technology initiative that addresses access and literacy barriers for families from diverse backgrounds and communities.</t>
        </is>
      </c>
      <c r="F24" s="334" t="inlineStr">
        <is>
          <t>Model ethical, community-centered professional practice by designing family engagement work that is respectful, inclusive, and equitably accessible.</t>
        </is>
      </c>
      <c r="G24" s="334" t="inlineStr">
        <is>
          <t>Advocate for digital equity by building family capacity to engage with school technology platforms and participate fully in their children's education.</t>
        </is>
      </c>
      <c r="H24" s="317" t="n"/>
      <c r="I24" s="317" t="n"/>
      <c r="J24" s="317" t="n"/>
      <c r="K24" s="317" t="n"/>
      <c r="L24" s="317" t="n"/>
      <c r="M24" s="317" t="n"/>
      <c r="N24" s="317" t="n"/>
      <c r="O24" s="317" t="n"/>
      <c r="P24" s="317" t="n"/>
      <c r="Q24" s="317" t="n"/>
      <c r="R24" s="317" t="n"/>
      <c r="S24" s="317" t="n"/>
      <c r="T24" s="317" t="n"/>
      <c r="U24" s="317" t="n"/>
      <c r="V24" s="317" t="n"/>
      <c r="W24" s="317" t="n"/>
      <c r="X24" s="317" t="n"/>
      <c r="Y24" s="317" t="n"/>
      <c r="Z24" s="333" t="n"/>
      <c r="AA24" s="317" t="n"/>
    </row>
    <row r="25" ht="15.75" customHeight="1" s="372">
      <c r="A25" s="326" t="inlineStr">
        <is>
          <t>Lead collaborative data review sessions in PLCs</t>
        </is>
      </c>
      <c r="B25" s="335" t="inlineStr">
        <is>
          <t>Facilitate PLC data review sessions that deepen teacher analysis of student learning evidence and support targeted instructional improvements.</t>
        </is>
      </c>
      <c r="C25" s="335" t="inlineStr">
        <is>
          <t>Build organizational capacity for continuous improvement by leading collaborative, data-informed PLC sessions aligned with school goals.</t>
        </is>
      </c>
      <c r="D25" s="335" t="inlineStr">
        <is>
          <t>Manage the operational structure of PLC data review sessions to ensure consistent, effective use of student performance information across the school.</t>
        </is>
      </c>
      <c r="E25" s="335" t="inlineStr">
        <is>
          <t>Embed equity-focused data analysis in PLC sessions to help teacher teams identify and address disparities in outcomes for diverse student groups.</t>
        </is>
      </c>
      <c r="F25" s="335" t="inlineStr">
        <is>
          <t>Model collaborative professionalism and shared accountability by facilitating data-driven PLC dialogue grounded in ethical, evidence-based inquiry.</t>
        </is>
      </c>
      <c r="G25" s="335" t="inlineStr">
        <is>
          <t>Use PLC data findings to advocate for systemic instructional, programmatic, or policy changes that improve outcomes for all students.</t>
        </is>
      </c>
      <c r="H25" s="317" t="n"/>
      <c r="I25" s="317" t="n"/>
      <c r="J25" s="317" t="n"/>
      <c r="K25" s="317" t="n"/>
      <c r="L25" s="317" t="n"/>
      <c r="M25" s="317" t="n"/>
      <c r="N25" s="317" t="n"/>
      <c r="O25" s="317" t="n"/>
      <c r="P25" s="317" t="n"/>
      <c r="Q25" s="317" t="n"/>
      <c r="R25" s="317" t="n"/>
      <c r="S25" s="317" t="n"/>
      <c r="T25" s="317" t="n"/>
      <c r="U25" s="317" t="n"/>
      <c r="V25" s="317" t="n"/>
      <c r="W25" s="317" t="n"/>
      <c r="X25" s="317" t="n"/>
      <c r="Y25" s="317" t="n"/>
      <c r="Z25" s="333" t="n"/>
      <c r="AA25" s="317" t="n"/>
    </row>
    <row r="26" ht="15.75" customHeight="1" s="372">
      <c r="A26" s="326" t="inlineStr">
        <is>
          <t>Conduct a community needs assessment</t>
        </is>
      </c>
      <c r="B26" s="334" t="inlineStr">
        <is>
          <t>Extend school profile analysis to identify community-level instructional and support needs that affect student learning and school improvement.</t>
        </is>
      </c>
      <c r="C26" s="334" t="inlineStr">
        <is>
          <t>Conduct a comprehensive needs assessment to inform strategic planning and align school-community relationships with organizational goals.</t>
        </is>
      </c>
      <c r="D26" s="334" t="inlineStr">
        <is>
          <t>Use community needs assessment data to guide operational decisions about programming, resource allocation, and service delivery.</t>
        </is>
      </c>
      <c r="E26" s="334" t="inlineStr">
        <is>
          <t>Engage diverse families, caregivers, and community members in a needs assessment that surfaces disparities and informs equity-driven action planning.</t>
        </is>
      </c>
      <c r="F26" s="334" t="inlineStr">
        <is>
          <t>Model ethical, community-responsive professional practice by using needs assessment processes that honor diverse perspectives and lived experiences.</t>
        </is>
      </c>
      <c r="G26" s="334" t="inlineStr">
        <is>
          <t>Advocate for policy and resource investments by presenting community needs assessment findings to school leadership and key decision-makers.</t>
        </is>
      </c>
      <c r="H26" s="317" t="n"/>
      <c r="I26" s="317" t="n"/>
      <c r="J26" s="317" t="n"/>
      <c r="K26" s="317" t="n"/>
      <c r="L26" s="317" t="n"/>
      <c r="M26" s="317" t="n"/>
      <c r="N26" s="317" t="n"/>
      <c r="O26" s="317" t="n"/>
      <c r="P26" s="317" t="n"/>
      <c r="Q26" s="317" t="n"/>
      <c r="R26" s="317" t="n"/>
      <c r="S26" s="317" t="n"/>
      <c r="T26" s="317" t="n"/>
      <c r="U26" s="317" t="n"/>
      <c r="V26" s="317" t="n"/>
      <c r="W26" s="317" t="n"/>
      <c r="X26" s="317" t="n"/>
      <c r="Y26" s="317" t="n"/>
      <c r="Z26" s="333" t="n"/>
      <c r="AA26" s="317" t="n"/>
    </row>
    <row r="27" ht="15.75" customHeight="1" s="372">
      <c r="A27" s="326" t="inlineStr">
        <is>
          <t>Develop a change management plan for a new initiative</t>
        </is>
      </c>
      <c r="B27" s="335" t="inlineStr">
        <is>
          <t>Design a change management plan for implementing a new instructional initiative, focusing on stakeholder communication and teacher buy-in.</t>
        </is>
      </c>
      <c r="C27" s="335" t="inlineStr">
        <is>
          <t>Develop a structured organizational change management strategy that supports successful implementation of a new school initiative.</t>
        </is>
      </c>
      <c r="D27" s="335" t="inlineStr">
        <is>
          <t>Build an operational change management plan that addresses resources, scheduling, professional development, and monitoring of implementation.</t>
        </is>
      </c>
      <c r="E27" s="335" t="inlineStr">
        <is>
          <t>Incorporate equity considerations into the change management plan to ensure the new initiative serves all students and removes systemic barriers.</t>
        </is>
      </c>
      <c r="F27" s="335" t="inlineStr">
        <is>
          <t>Model professional leadership by developing a change management plan grounded in transparency, honesty, and respect for staff perspectives.</t>
        </is>
      </c>
      <c r="G27" s="335" t="inlineStr">
        <is>
          <t>Advocate for evidence-based implementation of new initiatives by aligning the change management plan with research and policy frameworks.</t>
        </is>
      </c>
      <c r="H27" s="317" t="n"/>
      <c r="I27" s="317" t="n"/>
      <c r="J27" s="317" t="n"/>
      <c r="K27" s="317" t="n"/>
      <c r="L27" s="317" t="n"/>
      <c r="M27" s="317" t="n"/>
      <c r="N27" s="317" t="n"/>
      <c r="O27" s="317" t="n"/>
      <c r="P27" s="317" t="n"/>
      <c r="Q27" s="317" t="n"/>
      <c r="R27" s="317" t="n"/>
      <c r="S27" s="317" t="n"/>
      <c r="T27" s="317" t="n"/>
      <c r="U27" s="317" t="n"/>
      <c r="V27" s="317" t="n"/>
      <c r="W27" s="317" t="n"/>
      <c r="X27" s="317" t="n"/>
      <c r="Y27" s="317" t="n"/>
      <c r="Z27" s="333" t="n"/>
      <c r="AA27" s="317" t="n"/>
    </row>
    <row r="28" ht="15.75" customHeight="1" s="372">
      <c r="A28" s="326" t="inlineStr">
        <is>
          <t>Create a plan to increase teacher collaboration in PLCs</t>
        </is>
      </c>
      <c r="B28" s="334" t="inlineStr">
        <is>
          <t>Design a PLC collaboration plan focused on strengthening instructional teams' capacity to analyze data and improve student learning outcomes.</t>
        </is>
      </c>
      <c r="C28" s="334" t="inlineStr">
        <is>
          <t>Develop a distributed leadership strategy within PLCs to increase teacher collaboration and support organizational school improvement goals.</t>
        </is>
      </c>
      <c r="D28" s="334" t="inlineStr">
        <is>
          <t>Operationalize professional learning structures by creating a practical PLC collaboration plan with clear roles, processes, and accountability measures.</t>
        </is>
      </c>
      <c r="E28" s="334" t="inlineStr">
        <is>
          <t>Build an inclusive PLC collaboration plan that values diverse teacher perspectives and fosters equitable participation across all staff.</t>
        </is>
      </c>
      <c r="F28" s="334" t="inlineStr">
        <is>
          <t>Model a commitment to collaborative professionalism and continuous learning by designing PLC structures that are respectful, purposeful, and sustainable.</t>
        </is>
      </c>
      <c r="G28" s="334" t="inlineStr">
        <is>
          <t>Advocate for systemic investment in PLC infrastructure by demonstrating how improved teacher collaboration drives student achievement and equity.</t>
        </is>
      </c>
      <c r="H28" s="317" t="n"/>
      <c r="I28" s="317" t="n"/>
      <c r="J28" s="317" t="n"/>
      <c r="K28" s="317" t="n"/>
      <c r="L28" s="317" t="n"/>
      <c r="M28" s="317" t="n"/>
      <c r="N28" s="317" t="n"/>
      <c r="O28" s="317" t="n"/>
      <c r="P28" s="317" t="n"/>
      <c r="Q28" s="317" t="n"/>
      <c r="R28" s="317" t="n"/>
      <c r="S28" s="317" t="n"/>
      <c r="T28" s="317" t="n"/>
      <c r="U28" s="317" t="n"/>
      <c r="V28" s="317" t="n"/>
      <c r="W28" s="317" t="n"/>
      <c r="X28" s="317" t="n"/>
      <c r="Y28" s="317" t="n"/>
      <c r="Z28" s="333" t="n"/>
      <c r="AA28" s="317" t="n"/>
    </row>
    <row r="29" ht="15.75" customHeight="1" s="372">
      <c r="A29" s="326" t="inlineStr">
        <is>
          <t>Observe distributed leadership within teams</t>
        </is>
      </c>
      <c r="B29" s="335" t="inlineStr">
        <is>
          <t>Identify how distributed leadership practices within grade-level or subject teams influence instructional decision-making and teacher effectiveness.</t>
        </is>
      </c>
      <c r="C29" s="335" t="inlineStr">
        <is>
          <t>Analyze how distributed leadership functions as an organizational strategy that builds collective capacity and supports school improvement goals.</t>
        </is>
      </c>
      <c r="D29" s="335" t="inlineStr">
        <is>
          <t>Examine how operational decisions are distributed across leadership teams to manage school functions effectively and support a positive school climate.</t>
        </is>
      </c>
      <c r="E29" s="335" t="inlineStr">
        <is>
          <t>Observe how distributed leadership structures either promote or impede equitable voice and representation for diverse staff and community members.</t>
        </is>
      </c>
      <c r="F29" s="335" t="inlineStr">
        <is>
          <t>Reflect on the professional and ethical dimensions of distributed leadership and how shared responsibility models support school community trust.</t>
        </is>
      </c>
      <c r="G29" s="335" t="inlineStr">
        <is>
          <t>Analyze how distributed leadership contributes to advocacy efforts within schools by empowering more stakeholders to influence change.</t>
        </is>
      </c>
      <c r="H29" s="317" t="n"/>
      <c r="I29" s="317" t="n"/>
      <c r="J29" s="317" t="n"/>
      <c r="K29" s="317" t="n"/>
      <c r="L29" s="317" t="n"/>
      <c r="M29" s="317" t="n"/>
      <c r="N29" s="317" t="n"/>
      <c r="O29" s="317" t="n"/>
      <c r="P29" s="317" t="n"/>
      <c r="Q29" s="317" t="n"/>
      <c r="R29" s="317" t="n"/>
      <c r="S29" s="317" t="n"/>
      <c r="T29" s="317" t="n"/>
      <c r="U29" s="317" t="n"/>
      <c r="V29" s="317" t="n"/>
      <c r="W29" s="317" t="n"/>
      <c r="X29" s="317" t="n"/>
      <c r="Y29" s="317" t="n"/>
      <c r="Z29" s="333" t="n"/>
      <c r="AA29" s="317" t="n"/>
    </row>
    <row r="30" ht="15.75" customHeight="1" s="372">
      <c r="A30" s="326" t="inlineStr">
        <is>
          <t>Facilitate a staff workshop on ethical decision-making</t>
        </is>
      </c>
      <c r="B30" s="334" t="inlineStr">
        <is>
          <t>Connect ethical decision-making frameworks to instructional contexts, including situations involving student assessment, discipline, and confidentiality.</t>
        </is>
      </c>
      <c r="C30" s="334" t="inlineStr">
        <is>
          <t>Facilitate a workshop that builds organizational capacity for ethical leadership by exploring real-world dilemmas school leaders face.</t>
        </is>
      </c>
      <c r="D30" s="334" t="inlineStr">
        <is>
          <t>Address operational management responsibilities by engaging staff in workshops on the moral and legal dimensions of everyday school decisions.</t>
        </is>
      </c>
      <c r="E30" s="334" t="inlineStr">
        <is>
          <t>Examine ethical decision-making through an equity lens, exploring how bias and systemic inequality affect school leadership choices.</t>
        </is>
      </c>
      <c r="F30" s="334" t="inlineStr">
        <is>
          <t>Model and promote professional ethics by leading a collaborative workshop that cultivates reflective, values-driven leadership among school staff.</t>
        </is>
      </c>
      <c r="G30" s="334" t="inlineStr">
        <is>
          <t>Advocate for ethical leadership standards by facilitating dialogue on how policy-aligned, morally grounded decisions advance school community trust.</t>
        </is>
      </c>
      <c r="H30" s="317" t="n"/>
      <c r="I30" s="317" t="n"/>
      <c r="J30" s="317" t="n"/>
      <c r="K30" s="317" t="n"/>
      <c r="L30" s="317" t="n"/>
      <c r="M30" s="317" t="n"/>
      <c r="N30" s="317" t="n"/>
      <c r="O30" s="317" t="n"/>
      <c r="P30" s="317" t="n"/>
      <c r="Q30" s="317" t="n"/>
      <c r="R30" s="317" t="n"/>
      <c r="S30" s="317" t="n"/>
      <c r="T30" s="317" t="n"/>
      <c r="U30" s="317" t="n"/>
      <c r="V30" s="317" t="n"/>
      <c r="W30" s="317" t="n"/>
      <c r="X30" s="317" t="n"/>
      <c r="Y30" s="317" t="n"/>
      <c r="Z30" s="333" t="n"/>
      <c r="AA30" s="317" t="n"/>
    </row>
    <row r="31" ht="15.75" customHeight="1" s="372">
      <c r="A31" s="326" t="inlineStr">
        <is>
          <t>Support a school-wide improvement initiative using data</t>
        </is>
      </c>
      <c r="B31" s="335" t="inlineStr">
        <is>
          <t>Use benchmark and performance data to drive a school-wide improvement initiative targeting instructional quality and student achievement.</t>
        </is>
      </c>
      <c r="C31" s="335" t="inlineStr">
        <is>
          <t>Lead an organizational school improvement initiative grounded in data, aligned with strategic goals, and designed for sustainable impact.</t>
        </is>
      </c>
      <c r="D31" s="335" t="inlineStr">
        <is>
          <t>Operationalize data-driven improvement planning by managing resources, timelines, and professional development tied to the improvement initiative.</t>
        </is>
      </c>
      <c r="E31" s="335" t="inlineStr">
        <is>
          <t>Apply an equity lens to school-wide improvement planning, ensuring initiatives address disparities and advance opportunity for all students.</t>
        </is>
      </c>
      <c r="F31" s="335" t="inlineStr">
        <is>
          <t>Model professional accountability and ethical leadership by supporting improvement initiatives with integrity, transparency, and shared ownership.</t>
        </is>
      </c>
      <c r="G31" s="335" t="inlineStr">
        <is>
          <t>Advocate for sustained school improvement by using data evidence to justify resource investments and inform policy decisions at the school level.</t>
        </is>
      </c>
      <c r="H31" s="317" t="n"/>
      <c r="I31" s="317" t="n"/>
      <c r="J31" s="317" t="n"/>
      <c r="K31" s="317" t="n"/>
      <c r="L31" s="317" t="n"/>
      <c r="M31" s="317" t="n"/>
      <c r="N31" s="317" t="n"/>
      <c r="O31" s="317" t="n"/>
      <c r="P31" s="317" t="n"/>
      <c r="Q31" s="317" t="n"/>
      <c r="R31" s="317" t="n"/>
      <c r="S31" s="317" t="n"/>
      <c r="T31" s="317" t="n"/>
      <c r="U31" s="317" t="n"/>
      <c r="V31" s="317" t="n"/>
      <c r="W31" s="317" t="n"/>
      <c r="X31" s="317" t="n"/>
      <c r="Y31" s="317" t="n"/>
      <c r="Z31" s="333" t="n"/>
      <c r="AA31" s="317" t="n"/>
    </row>
    <row r="32" ht="15.75" customHeight="1" s="372">
      <c r="A32" s="326" t="inlineStr">
        <is>
          <t>Review policies and discuss moral and legal issues</t>
        </is>
      </c>
      <c r="B32" s="334" t="inlineStr">
        <is>
          <t>Examine how school policies governing curriculum, assessment, and student support align with instructional best practices and legal requirements.</t>
        </is>
      </c>
      <c r="C32" s="334" t="inlineStr">
        <is>
          <t>Conduct policy analysis to identify organizational practices that may need revision to better align with ethical standards and strategic goals.</t>
        </is>
      </c>
      <c r="D32" s="334" t="inlineStr">
        <is>
          <t>Review operational policies for compliance, effectiveness, and alignment with legal requirements governing school management and safety.</t>
        </is>
      </c>
      <c r="E32" s="334" t="inlineStr">
        <is>
          <t>Analyze policies for equity implications, identifying whether current practices create or perpetuate disparities for underrepresented students.</t>
        </is>
      </c>
      <c r="F32" s="334" t="inlineStr">
        <is>
          <t>Model professional, ethical engagement by critically examining policies through the lens of honesty, fairness, and moral responsibility.</t>
        </is>
      </c>
      <c r="G32" s="334" t="inlineStr">
        <is>
          <t>Advocate for policy revisions by documenting moral, legal, and equity-related concerns and presenting evidence-based recommendations to leadership.</t>
        </is>
      </c>
      <c r="H32" s="317" t="n"/>
      <c r="I32" s="317" t="n"/>
      <c r="J32" s="317" t="n"/>
      <c r="K32" s="317" t="n"/>
      <c r="L32" s="317" t="n"/>
      <c r="M32" s="317" t="n"/>
      <c r="N32" s="317" t="n"/>
      <c r="O32" s="317" t="n"/>
      <c r="P32" s="317" t="n"/>
      <c r="Q32" s="317" t="n"/>
      <c r="R32" s="317" t="n"/>
      <c r="S32" s="317" t="n"/>
      <c r="T32" s="317" t="n"/>
      <c r="U32" s="317" t="n"/>
      <c r="V32" s="317" t="n"/>
      <c r="W32" s="317" t="n"/>
      <c r="X32" s="317" t="n"/>
      <c r="Y32" s="317" t="n"/>
      <c r="Z32" s="333" t="n"/>
      <c r="AA32" s="317" t="n"/>
    </row>
    <row r="33" ht="15.75" customHeight="1" s="372">
      <c r="A33" s="326" t="inlineStr">
        <is>
          <t>Research data sources to inform budget decisions</t>
        </is>
      </c>
      <c r="B33" s="335" t="inlineStr">
        <is>
          <t>Use student learning data—including assessment scores and enrollment trends—to connect budget priorities directly to instructional needs.</t>
        </is>
      </c>
      <c r="C33" s="335" t="inlineStr">
        <is>
          <t>Compile and analyze school data to support strategic financial planning that aligns budget allocations with the school's mission and goals.</t>
        </is>
      </c>
      <c r="D33" s="335" t="inlineStr">
        <is>
          <t>Develop a data-informed budget report that supports fiscal management decisions and communicates priorities clearly to school administration.</t>
        </is>
      </c>
      <c r="E33" s="335" t="inlineStr">
        <is>
          <t>Use student outcome and needs data to advocate for equitable distribution of resources and identify areas where additional investment is needed.</t>
        </is>
      </c>
      <c r="F33" s="335" t="inlineStr">
        <is>
          <t>Model professional rigor and integrity by compiling honest, evidence-based data reports that transparently inform budget decision-making.</t>
        </is>
      </c>
      <c r="G33" s="335" t="inlineStr">
        <is>
          <t>Advocate for student-centered budget priorities by presenting research-backed analysis of data trends that connect funding to student success.</t>
        </is>
      </c>
      <c r="H33" s="317" t="n"/>
      <c r="I33" s="317" t="n"/>
      <c r="J33" s="317" t="n"/>
      <c r="K33" s="317" t="n"/>
      <c r="L33" s="317" t="n"/>
      <c r="M33" s="317" t="n"/>
      <c r="N33" s="317" t="n"/>
      <c r="O33" s="317" t="n"/>
      <c r="P33" s="317" t="n"/>
      <c r="Q33" s="317" t="n"/>
      <c r="R33" s="317" t="n"/>
      <c r="S33" s="317" t="n"/>
      <c r="T33" s="317" t="n"/>
      <c r="U33" s="317" t="n"/>
      <c r="V33" s="317" t="n"/>
      <c r="W33" s="317" t="n"/>
      <c r="X33" s="317" t="n"/>
      <c r="Y33" s="317" t="n"/>
      <c r="Z33" s="333" t="n"/>
      <c r="AA33" s="317" t="n"/>
    </row>
    <row r="34" ht="15.75" customHeight="1" s="372">
      <c r="A34" s="326" t="inlineStr">
        <is>
          <t>Shadow a leader implementing technology initiatives</t>
        </is>
      </c>
      <c r="B34" s="334" t="inlineStr">
        <is>
          <t>Observe how a school leader applies instructional leadership theory to guide technology integration and improve teaching and learning.</t>
        </is>
      </c>
      <c r="C34" s="334" t="inlineStr">
        <is>
          <t>Analyze how organizational leadership theories inform a school leader's approach to managing technology change and building staff capacity.</t>
        </is>
      </c>
      <c r="D34" s="334" t="inlineStr">
        <is>
          <t>Examine how operational management strategies are applied to technology implementation, including resource coordination and change management.</t>
        </is>
      </c>
      <c r="E34" s="334" t="inlineStr">
        <is>
          <t>Observe how the leader navigates equity considerations in technology rollout, ensuring all students and staff have access and support.</t>
        </is>
      </c>
      <c r="F34" s="334" t="inlineStr">
        <is>
          <t>Reflect on the professional and ethical dimensions of technology leadership, including transparency, inclusivity, and responsible decision-making.</t>
        </is>
      </c>
      <c r="G34" s="334" t="inlineStr">
        <is>
          <t>Analyze how the leader advocates for technology as a vehicle for systemic improvement by connecting implementation to policy and learning goals.</t>
        </is>
      </c>
      <c r="H34" s="317" t="n"/>
      <c r="I34" s="317" t="n"/>
      <c r="J34" s="317" t="n"/>
      <c r="K34" s="317" t="n"/>
      <c r="L34" s="317" t="n"/>
      <c r="M34" s="317" t="n"/>
      <c r="N34" s="317" t="n"/>
      <c r="O34" s="317" t="n"/>
      <c r="P34" s="317" t="n"/>
      <c r="Q34" s="317" t="n"/>
      <c r="R34" s="317" t="n"/>
      <c r="S34" s="317" t="n"/>
      <c r="T34" s="317" t="n"/>
      <c r="U34" s="317" t="n"/>
      <c r="V34" s="317" t="n"/>
      <c r="W34" s="317" t="n"/>
      <c r="X34" s="317" t="n"/>
      <c r="Y34" s="317" t="n"/>
      <c r="Z34" s="333" t="n"/>
      <c r="AA34" s="317" t="n"/>
    </row>
    <row r="35" ht="15.75" customHeight="1" s="372">
      <c r="A35" s="326" t="inlineStr">
        <is>
          <t>Special education compliance project with IEP review</t>
        </is>
      </c>
      <c r="B35" s="335" t="inlineStr">
        <is>
          <t>Collaborate with special education staff to review IEP development and examine how federal and state regulations support individualized instruction.</t>
        </is>
      </c>
      <c r="C35" s="335" t="inlineStr">
        <is>
          <t>Understand organizational responsibilities for special education compliance and how IEP processes align with strategic school planning.</t>
        </is>
      </c>
      <c r="D35" s="335" t="inlineStr">
        <is>
          <t>Examine the operational requirements for special education compliance, including documentation, behavior management, and regulatory oversight.</t>
        </is>
      </c>
      <c r="E35" s="335" t="inlineStr">
        <is>
          <t>Engage with special education compliance work as an equity imperative, ensuring students with disabilities receive inclusive, appropriately intensive support.</t>
        </is>
      </c>
      <c r="F35" s="335" t="inlineStr">
        <is>
          <t>Demonstrate professional and ethical responsibility by learning the legal obligations and moral commitments involved in supporting students with IEPs.</t>
        </is>
      </c>
      <c r="G35" s="335" t="inlineStr">
        <is>
          <t>Advocate for students with disabilities by understanding the policy frameworks that protect their rights and inform equitable service delivery.</t>
        </is>
      </c>
      <c r="H35" s="317" t="n"/>
      <c r="I35" s="317" t="n"/>
      <c r="J35" s="317" t="n"/>
      <c r="K35" s="317" t="n"/>
      <c r="L35" s="317" t="n"/>
      <c r="M35" s="317" t="n"/>
      <c r="N35" s="317" t="n"/>
      <c r="O35" s="317" t="n"/>
      <c r="P35" s="317" t="n"/>
      <c r="Q35" s="317" t="n"/>
      <c r="R35" s="317" t="n"/>
      <c r="S35" s="317" t="n"/>
      <c r="T35" s="317" t="n"/>
      <c r="U35" s="317" t="n"/>
      <c r="V35" s="317" t="n"/>
      <c r="W35" s="317" t="n"/>
      <c r="X35" s="317" t="n"/>
      <c r="Y35" s="317" t="n"/>
      <c r="Z35" s="333" t="n"/>
      <c r="AA35" s="317" t="n"/>
    </row>
    <row r="36" ht="15.75" customHeight="1" s="372">
      <c r="A36" s="326" t="inlineStr">
        <is>
          <t>Attend PTO/A meeting to observe family engagement</t>
        </is>
      </c>
      <c r="B36" s="334" t="inlineStr">
        <is>
          <t>Observe how school leaders connect family engagement work to instructional priorities and use parent input to guide school improvement efforts.</t>
        </is>
      </c>
      <c r="C36" s="334" t="inlineStr">
        <is>
          <t>Observe how leaders build trust and strategic partnerships with diverse families through PTO meetings to advance organizational goals.</t>
        </is>
      </c>
      <c r="D36" s="334" t="inlineStr">
        <is>
          <t>Examine how the operational management of family meetings supports the school's communication strategy and community relationship-building.</t>
        </is>
      </c>
      <c r="E36" s="334" t="inlineStr">
        <is>
          <t>Observe how leaders engage diverse family groups, attend to cultural responsiveness, and incorporate community voice into school planning.</t>
        </is>
      </c>
      <c r="F36" s="334" t="inlineStr">
        <is>
          <t>Reflect on the professional and ethical dimensions of family engagement, including inclusivity, transparency, and respect for diverse perspectives.</t>
        </is>
      </c>
      <c r="G36" s="334" t="inlineStr">
        <is>
          <t>Analyze how family engagement practices function as a form of community advocacy and how leader communication builds trust and public support.</t>
        </is>
      </c>
      <c r="H36" s="317" t="n"/>
      <c r="I36" s="317" t="n"/>
      <c r="J36" s="317" t="n"/>
      <c r="K36" s="317" t="n"/>
      <c r="L36" s="317" t="n"/>
      <c r="M36" s="317" t="n"/>
      <c r="N36" s="317" t="n"/>
      <c r="O36" s="317" t="n"/>
      <c r="P36" s="317" t="n"/>
      <c r="Q36" s="317" t="n"/>
      <c r="R36" s="317" t="n"/>
      <c r="S36" s="317" t="n"/>
      <c r="T36" s="317" t="n"/>
      <c r="U36" s="317" t="n"/>
      <c r="V36" s="317" t="n"/>
      <c r="W36" s="317" t="n"/>
      <c r="X36" s="317" t="n"/>
      <c r="Y36" s="317" t="n"/>
      <c r="Z36" s="333" t="n"/>
      <c r="AA36" s="317" t="n"/>
    </row>
    <row r="37" ht="15.75" customHeight="1" s="372">
      <c r="A37" s="326" t="inlineStr">
        <is>
          <t>Collaborate on strategic planning aligned with mission</t>
        </is>
      </c>
      <c r="B37" s="335" t="inlineStr">
        <is>
          <t>Collaborate with school leadership to develop a strategic plan that aligns instructional goals with the school's mission and core beliefs.</t>
        </is>
      </c>
      <c r="C37" s="335" t="inlineStr">
        <is>
          <t>Develop organizational strategic planning skills by participating in the alignment of school goals with division mission and performance priorities.</t>
        </is>
      </c>
      <c r="D37" s="335" t="inlineStr">
        <is>
          <t>Engage in operational planning processes that connect school management decisions to the school's strategic mission and vision.</t>
        </is>
      </c>
      <c r="E37" s="335" t="inlineStr">
        <is>
          <t>Examine how strategic planning can be an equity-focused process that centers the needs and voices of diverse students and families.</t>
        </is>
      </c>
      <c r="F37" s="335" t="inlineStr">
        <is>
          <t>Model professional engagement by participating responsibly and collaboratively in strategic planning that reflects integrity and shared values.</t>
        </is>
      </c>
      <c r="G37" s="335" t="inlineStr">
        <is>
          <t>Advocate for equity-driven strategic goals by connecting planning decisions to broader educational policy priorities and community needs.</t>
        </is>
      </c>
      <c r="H37" s="317" t="n"/>
      <c r="I37" s="317" t="n"/>
      <c r="J37" s="317" t="n"/>
      <c r="K37" s="317" t="n"/>
      <c r="L37" s="317" t="n"/>
      <c r="M37" s="317" t="n"/>
      <c r="N37" s="317" t="n"/>
      <c r="O37" s="317" t="n"/>
      <c r="P37" s="317" t="n"/>
      <c r="Q37" s="317" t="n"/>
      <c r="R37" s="317" t="n"/>
      <c r="S37" s="317" t="n"/>
      <c r="T37" s="317" t="n"/>
      <c r="U37" s="317" t="n"/>
      <c r="V37" s="317" t="n"/>
      <c r="W37" s="317" t="n"/>
      <c r="X37" s="317" t="n"/>
      <c r="Y37" s="317" t="n"/>
      <c r="Z37" s="333" t="n"/>
      <c r="AA37" s="317" t="n"/>
    </row>
    <row r="38" ht="15.75" customHeight="1" s="372">
      <c r="A38" s="326" t="inlineStr">
        <is>
          <t>Observe strategic planning focused on mission alignment</t>
        </is>
      </c>
      <c r="B38" s="334" t="inlineStr">
        <is>
          <t>Observe school or division strategic planning to understand how instructional priorities are aligned with mission and organizational goals.</t>
        </is>
      </c>
      <c r="C38" s="334" t="inlineStr">
        <is>
          <t>Analyze how organizational leaders facilitate strategic planning processes that build collective commitment to the school's mission and beliefs.</t>
        </is>
      </c>
      <c r="D38" s="334" t="inlineStr">
        <is>
          <t>Observe how operational planning decisions are connected to the school's mission, resource allocation, and management structure.</t>
        </is>
      </c>
      <c r="E38" s="334" t="inlineStr">
        <is>
          <t>Identify how equity is addressed—or needs to be strengthened—within strategic planning processes that affect diverse student populations.</t>
        </is>
      </c>
      <c r="F38" s="334" t="inlineStr">
        <is>
          <t>Reflect on the professional responsibilities of school leaders in facilitating honest, transparent, and inclusive strategic planning processes.</t>
        </is>
      </c>
      <c r="G38" s="334" t="inlineStr">
        <is>
          <t>Observe how strategic planning connects to advocacy by examining how leaders influence division-level policy through mission-aligned goal-setting.</t>
        </is>
      </c>
      <c r="H38" s="317" t="n"/>
      <c r="I38" s="317" t="n"/>
      <c r="J38" s="317" t="n"/>
      <c r="K38" s="317" t="n"/>
      <c r="L38" s="317" t="n"/>
      <c r="M38" s="317" t="n"/>
      <c r="N38" s="317" t="n"/>
      <c r="O38" s="317" t="n"/>
      <c r="P38" s="317" t="n"/>
      <c r="Q38" s="317" t="n"/>
      <c r="R38" s="317" t="n"/>
      <c r="S38" s="317" t="n"/>
      <c r="T38" s="317" t="n"/>
      <c r="U38" s="317" t="n"/>
      <c r="V38" s="317" t="n"/>
      <c r="W38" s="317" t="n"/>
      <c r="X38" s="317" t="n"/>
      <c r="Y38" s="317" t="n"/>
      <c r="Z38" s="333" t="n"/>
      <c r="AA38" s="317" t="n"/>
    </row>
    <row r="39" ht="15.75" customHeight="1" s="372">
      <c r="A39" s="326" t="inlineStr">
        <is>
          <t>Observe a leader making decisions on curriculum or resources</t>
        </is>
      </c>
      <c r="B39" s="335" t="inlineStr">
        <is>
          <t>Observe how instructional leaders make evidence-based decisions related to curriculum selection, student support, and resource deployment.</t>
        </is>
      </c>
      <c r="C39" s="335" t="inlineStr">
        <is>
          <t>Analyze how a school leader's decision-making process reflects organizational priorities, strategic goals, and stakeholder considerations.</t>
        </is>
      </c>
      <c r="D39" s="335" t="inlineStr">
        <is>
          <t>Examine how operational management decisions about curriculum and resources are made, justified, and communicated to the school community.</t>
        </is>
      </c>
      <c r="E39" s="335" t="inlineStr">
        <is>
          <t>Observe how equity considerations shape leadership decisions about curriculum access and resource allocation for diverse student populations.</t>
        </is>
      </c>
      <c r="F39" s="335" t="inlineStr">
        <is>
          <t>Reflect on the ethical and professional dimensions of school leader decision-making, noting how integrity and fairness are modeled.</t>
        </is>
      </c>
      <c r="G39" s="335" t="inlineStr">
        <is>
          <t>Analyze how school-level decisions about curriculum and resources reflect—or challenge—broader educational policy and advocacy priorities.</t>
        </is>
      </c>
      <c r="H39" s="317" t="n"/>
      <c r="I39" s="317" t="n"/>
      <c r="J39" s="317" t="n"/>
      <c r="K39" s="317" t="n"/>
      <c r="L39" s="317" t="n"/>
      <c r="M39" s="317" t="n"/>
      <c r="N39" s="317" t="n"/>
      <c r="O39" s="317" t="n"/>
      <c r="P39" s="317" t="n"/>
      <c r="Q39" s="317" t="n"/>
      <c r="R39" s="317" t="n"/>
      <c r="S39" s="317" t="n"/>
      <c r="T39" s="317" t="n"/>
      <c r="U39" s="317" t="n"/>
      <c r="V39" s="317" t="n"/>
      <c r="W39" s="317" t="n"/>
      <c r="X39" s="317" t="n"/>
      <c r="Y39" s="317" t="n"/>
      <c r="Z39" s="333" t="n"/>
      <c r="AA39" s="317" t="n"/>
    </row>
    <row r="40" ht="15.75" customHeight="1" s="372">
      <c r="A40" s="326" t="inlineStr">
        <is>
          <t>Review state and federal special education policies</t>
        </is>
      </c>
      <c r="B40" s="334" t="inlineStr">
        <is>
          <t>Develop knowledge of federal and state special education laws and their implications for instructional design, IEP development, and student support.</t>
        </is>
      </c>
      <c r="C40" s="334" t="inlineStr">
        <is>
          <t>Analyze how organizational compliance with special education policy shapes school operations, planning, and resource allocation decisions.</t>
        </is>
      </c>
      <c r="D40" s="334" t="inlineStr">
        <is>
          <t>Understand the operational requirements of special education law and how school leaders must manage compliance across all programs.</t>
        </is>
      </c>
      <c r="E40" s="334" t="inlineStr">
        <is>
          <t>Examine special education policy through an equity lens, identifying how these laws protect the rights and access of students with disabilities.</t>
        </is>
      </c>
      <c r="F40" s="334" t="inlineStr">
        <is>
          <t>Demonstrate professional and ethical responsibility by building a thorough understanding of the legal obligations schools have to students with disabilities.</t>
        </is>
      </c>
      <c r="G40" s="334" t="inlineStr">
        <is>
          <t>Advocate for full implementation of special education laws and policies by understanding their intent and communicating their importance to staff.</t>
        </is>
      </c>
      <c r="H40" s="317" t="n"/>
      <c r="I40" s="317" t="n"/>
      <c r="J40" s="317" t="n"/>
      <c r="K40" s="317" t="n"/>
      <c r="L40" s="317" t="n"/>
      <c r="M40" s="317" t="n"/>
      <c r="N40" s="317" t="n"/>
      <c r="O40" s="317" t="n"/>
      <c r="P40" s="317" t="n"/>
      <c r="Q40" s="317" t="n"/>
      <c r="R40" s="317" t="n"/>
      <c r="S40" s="317" t="n"/>
      <c r="T40" s="317" t="n"/>
      <c r="U40" s="317" t="n"/>
      <c r="V40" s="317" t="n"/>
      <c r="W40" s="317" t="n"/>
      <c r="X40" s="317" t="n"/>
      <c r="Y40" s="317" t="n"/>
      <c r="Z40" s="333" t="n"/>
      <c r="AA40" s="317" t="n"/>
    </row>
    <row r="41" ht="15.75" customHeight="1" s="372">
      <c r="A41" s="326" t="inlineStr">
        <is>
          <t>Facilitate a problem-solving session on student behavior</t>
        </is>
      </c>
      <c r="B41" s="335" t="inlineStr">
        <is>
          <t>Lead a structured problem-solving session with teachers to develop evidence-based, instructionally sound responses to student behavior challenges.</t>
        </is>
      </c>
      <c r="C41" s="335" t="inlineStr">
        <is>
          <t>Facilitate a collaborative problem-solving process that builds organizational capacity for addressing behavior challenges through shared leadership.</t>
        </is>
      </c>
      <c r="D41" s="335" t="inlineStr">
        <is>
          <t>Apply operational management frameworks to student behavior problem-solving, including data collection, protocol design, and staff coordination.</t>
        </is>
      </c>
      <c r="E41" s="335" t="inlineStr">
        <is>
          <t>Examine student behavior challenges through an equity lens to identify whether disciplinary patterns disproportionately affect underrepresented groups.</t>
        </is>
      </c>
      <c r="F41" s="335" t="inlineStr">
        <is>
          <t>Model ethical and professional leadership in behavior problem-solving by promoting restorative, fair, and student-centered approaches.</t>
        </is>
      </c>
      <c r="G41" s="335" t="inlineStr">
        <is>
          <t>Advocate for behavior support systems that are equitable, evidence-based, and aligned with district and state behavioral policy frameworks.</t>
        </is>
      </c>
      <c r="H41" s="317" t="n"/>
      <c r="I41" s="317" t="n"/>
      <c r="J41" s="317" t="n"/>
      <c r="K41" s="317" t="n"/>
      <c r="L41" s="317" t="n"/>
      <c r="M41" s="317" t="n"/>
      <c r="N41" s="317" t="n"/>
      <c r="O41" s="317" t="n"/>
      <c r="P41" s="317" t="n"/>
      <c r="Q41" s="317" t="n"/>
      <c r="R41" s="317" t="n"/>
      <c r="S41" s="317" t="n"/>
      <c r="T41" s="317" t="n"/>
      <c r="U41" s="317" t="n"/>
      <c r="V41" s="317" t="n"/>
      <c r="W41" s="317" t="n"/>
      <c r="X41" s="317" t="n"/>
      <c r="Y41" s="317" t="n"/>
      <c r="Z41" s="333" t="n"/>
      <c r="AA41" s="317" t="n"/>
    </row>
    <row r="42" ht="15.75" customHeight="1" s="372">
      <c r="A42" s="326" t="inlineStr">
        <is>
          <t>Serve on PD planning committee</t>
        </is>
      </c>
      <c r="B42" s="334" t="inlineStr">
        <is>
          <t>Contribute to designing professional development experiences aligned with adult learning theory, instructional goals, and teacher performance standards.</t>
        </is>
      </c>
      <c r="C42" s="334" t="inlineStr">
        <is>
          <t>Participate in an organizational PD planning process that builds collective staff capacity and aligns learning opportunities with school goals.</t>
        </is>
      </c>
      <c r="D42" s="334" t="inlineStr">
        <is>
          <t>Support operational management of professional learning by contributing to PD planning that addresses school-wide needs and performance standards.</t>
        </is>
      </c>
      <c r="E42" s="334" t="inlineStr">
        <is>
          <t>Advocate for professional development that is responsive to the diverse needs of all staff and supports equitable instructional improvement.</t>
        </is>
      </c>
      <c r="F42" s="334" t="inlineStr">
        <is>
          <t>Model professional commitment to learning by actively contributing to the design of high-quality, job-embedded PD experiences for colleagues.</t>
        </is>
      </c>
      <c r="G42" s="334" t="inlineStr">
        <is>
          <t>Advocate for professional development policies that are grounded in research and aligned with division and state learning priorities.</t>
        </is>
      </c>
      <c r="H42" s="317" t="n"/>
      <c r="I42" s="317" t="n"/>
      <c r="J42" s="317" t="n"/>
      <c r="K42" s="317" t="n"/>
      <c r="L42" s="317" t="n"/>
      <c r="M42" s="317" t="n"/>
      <c r="N42" s="317" t="n"/>
      <c r="O42" s="317" t="n"/>
      <c r="P42" s="317" t="n"/>
      <c r="Q42" s="317" t="n"/>
      <c r="R42" s="317" t="n"/>
      <c r="S42" s="317" t="n"/>
      <c r="T42" s="317" t="n"/>
      <c r="U42" s="317" t="n"/>
      <c r="V42" s="317" t="n"/>
      <c r="W42" s="317" t="n"/>
      <c r="X42" s="317" t="n"/>
      <c r="Y42" s="317" t="n"/>
      <c r="Z42" s="333" t="n"/>
      <c r="AA42" s="317" t="n"/>
    </row>
    <row r="43" ht="15.75" customHeight="1" s="372">
      <c r="A43" s="326" t="inlineStr">
        <is>
          <t>Prepare and deliver a budget presentation to stakeholders</t>
        </is>
      </c>
      <c r="B43" s="335" t="inlineStr">
        <is>
          <t>Connect budget presentation content to instructional priorities by communicating how resource decisions support student learning and school goals.</t>
        </is>
      </c>
      <c r="C43" s="335" t="inlineStr">
        <is>
          <t>Develop organizational communication skills by preparing and delivering a clear, strategic budget presentation to stakeholders.</t>
        </is>
      </c>
      <c r="D43" s="335" t="inlineStr">
        <is>
          <t>Apply fiscal management knowledge to create a clear, data-informed budget presentation that communicates operational priorities effectively.</t>
        </is>
      </c>
      <c r="E43" s="335" t="inlineStr">
        <is>
          <t>Incorporate equity-focused data into the budget presentation to illustrate how resource allocation affects diverse student populations.</t>
        </is>
      </c>
      <c r="F43" s="335" t="inlineStr">
        <is>
          <t>Model professional transparency and integrity by presenting budget information honestly, clearly, and in a manner accessible to all stakeholders.</t>
        </is>
      </c>
      <c r="G43" s="335" t="inlineStr">
        <is>
          <t>Advocate for student-centered resource allocation through a compelling budget presentation that connects spending decisions to educational values.</t>
        </is>
      </c>
      <c r="H43" s="317" t="n"/>
      <c r="I43" s="317" t="n"/>
      <c r="J43" s="317" t="n"/>
      <c r="K43" s="317" t="n"/>
      <c r="L43" s="317" t="n"/>
      <c r="M43" s="317" t="n"/>
      <c r="N43" s="317" t="n"/>
      <c r="O43" s="317" t="n"/>
      <c r="P43" s="317" t="n"/>
      <c r="Q43" s="317" t="n"/>
      <c r="R43" s="317" t="n"/>
      <c r="S43" s="317" t="n"/>
      <c r="T43" s="317" t="n"/>
      <c r="U43" s="317" t="n"/>
      <c r="V43" s="317" t="n"/>
      <c r="W43" s="317" t="n"/>
      <c r="X43" s="317" t="n"/>
      <c r="Y43" s="317" t="n"/>
      <c r="Z43" s="333" t="n"/>
      <c r="AA43" s="317" t="n"/>
    </row>
    <row r="44" ht="15.75" customHeight="1" s="372">
      <c r="A44" s="326" t="inlineStr">
        <is>
          <t>Develop a change management plan for technology integration</t>
        </is>
      </c>
      <c r="B44" s="334" t="inlineStr">
        <is>
          <t>Design a technology integration change management plan that supports teachers in applying new tools to enhance curriculum and instruction.</t>
        </is>
      </c>
      <c r="C44" s="334" t="inlineStr">
        <is>
          <t>Apply organizational change management theory to develop a strategic plan for integrating educational technology across the school.</t>
        </is>
      </c>
      <c r="D44" s="334" t="inlineStr">
        <is>
          <t>Manage the operational implementation of a technology change management plan, including scheduling, training design, and monitoring tools.</t>
        </is>
      </c>
      <c r="E44" s="334" t="inlineStr">
        <is>
          <t>Ensure the technology integration plan is equitable by addressing barriers related to access, training, and support for diverse users.</t>
        </is>
      </c>
      <c r="F44" s="334" t="inlineStr">
        <is>
          <t>Model ethical and professional leadership by developing a transparent, inclusive technology change plan that respects staff capacity and concerns.</t>
        </is>
      </c>
      <c r="G44" s="334" t="inlineStr">
        <is>
          <t>Advocate for sustainable, research-informed technology integration by designing a change plan that connects to systemic improvement goals.</t>
        </is>
      </c>
      <c r="H44" s="317" t="n"/>
      <c r="I44" s="317" t="n"/>
      <c r="J44" s="317" t="n"/>
      <c r="K44" s="317" t="n"/>
      <c r="L44" s="317" t="n"/>
      <c r="M44" s="317" t="n"/>
      <c r="N44" s="317" t="n"/>
      <c r="O44" s="317" t="n"/>
      <c r="P44" s="317" t="n"/>
      <c r="Q44" s="317" t="n"/>
      <c r="R44" s="317" t="n"/>
      <c r="S44" s="317" t="n"/>
      <c r="T44" s="317" t="n"/>
      <c r="U44" s="317" t="n"/>
      <c r="V44" s="317" t="n"/>
      <c r="W44" s="317" t="n"/>
      <c r="X44" s="317" t="n"/>
      <c r="Y44" s="317" t="n"/>
      <c r="Z44" s="333" t="n"/>
      <c r="AA44" s="317" t="n"/>
    </row>
    <row r="45" ht="15.75" customHeight="1" s="372">
      <c r="A45" s="326" t="inlineStr">
        <is>
          <t>Work with student support services on community partnerships</t>
        </is>
      </c>
      <c r="B45" s="335" t="inlineStr">
        <is>
          <t>Connect community resource partnerships to instructional support needs, helping to identify services that address barriers to student learning.</t>
        </is>
      </c>
      <c r="C45" s="335" t="inlineStr">
        <is>
          <t>Build and manage strategic community partnerships that expand the school's organizational capacity to serve the diverse needs of its students.</t>
        </is>
      </c>
      <c r="D45" s="335" t="inlineStr">
        <is>
          <t>Coordinate operational partnerships between school staff and community organizations to ensure equitable and efficient service delivery.</t>
        </is>
      </c>
      <c r="E45" s="335" t="inlineStr">
        <is>
          <t>Identify and secure community resources that specifically target the diverse needs of underserved student populations and their families.</t>
        </is>
      </c>
      <c r="F45" s="335" t="inlineStr">
        <is>
          <t>Model professional collaboration and ethical commitment to student well-being by working respectfully with community service providers.</t>
        </is>
      </c>
      <c r="G45" s="335" t="inlineStr">
        <is>
          <t>Advocate for systemic family and community resource integration by building sustainable partnerships that address barriers to student success.</t>
        </is>
      </c>
      <c r="H45" s="317" t="n"/>
      <c r="I45" s="317" t="n"/>
      <c r="J45" s="317" t="n"/>
      <c r="K45" s="317" t="n"/>
      <c r="L45" s="317" t="n"/>
      <c r="M45" s="317" t="n"/>
      <c r="N45" s="317" t="n"/>
      <c r="O45" s="317" t="n"/>
      <c r="P45" s="317" t="n"/>
      <c r="Q45" s="317" t="n"/>
      <c r="R45" s="317" t="n"/>
      <c r="S45" s="317" t="n"/>
      <c r="T45" s="317" t="n"/>
      <c r="U45" s="317" t="n"/>
      <c r="V45" s="317" t="n"/>
      <c r="W45" s="317" t="n"/>
      <c r="X45" s="317" t="n"/>
      <c r="Y45" s="317" t="n"/>
      <c r="Z45" s="333" t="n"/>
      <c r="AA45" s="317" t="n"/>
    </row>
    <row r="46" ht="15.75" customHeight="1" s="372">
      <c r="A46" s="326" t="inlineStr">
        <is>
          <t>Plan or co-lead a school event with family partners</t>
        </is>
      </c>
      <c r="B46" s="334" t="inlineStr">
        <is>
          <t>Plan a school event that connects families to instructional programming and reinforces school-community relationships that support student learning.</t>
        </is>
      </c>
      <c r="C46" s="334" t="inlineStr">
        <is>
          <t>Lead the organizational coordination of a school community event that builds trust, advances strategic goals, and strengthens family engagement.</t>
        </is>
      </c>
      <c r="D46" s="334" t="inlineStr">
        <is>
          <t>Manage the operational logistics of a school family event, including facilities, communications, and cross-department coordination.</t>
        </is>
      </c>
      <c r="E46" s="334" t="inlineStr">
        <is>
          <t>Design a family event that reflects cultural responsiveness and creates an inclusive, welcoming environment for all school community members.</t>
        </is>
      </c>
      <c r="F46" s="334" t="inlineStr">
        <is>
          <t>Model professional care and ethical inclusivity by planning a family event that honors diverse backgrounds and promotes equitable participation.</t>
        </is>
      </c>
      <c r="G46" s="334" t="inlineStr">
        <is>
          <t>Advocate for inclusive community engagement by designing and leading school events that demonstrate the school's commitment to all families.</t>
        </is>
      </c>
      <c r="H46" s="317" t="n"/>
      <c r="I46" s="317" t="n"/>
      <c r="J46" s="317" t="n"/>
      <c r="K46" s="317" t="n"/>
      <c r="L46" s="317" t="n"/>
      <c r="M46" s="317" t="n"/>
      <c r="N46" s="317" t="n"/>
      <c r="O46" s="317" t="n"/>
      <c r="P46" s="317" t="n"/>
      <c r="Q46" s="317" t="n"/>
      <c r="R46" s="317" t="n"/>
      <c r="S46" s="317" t="n"/>
      <c r="T46" s="317" t="n"/>
      <c r="U46" s="317" t="n"/>
      <c r="V46" s="317" t="n"/>
      <c r="W46" s="317" t="n"/>
      <c r="X46" s="317" t="n"/>
      <c r="Y46" s="317" t="n"/>
      <c r="Z46" s="333" t="n"/>
      <c r="AA46" s="317" t="n"/>
    </row>
    <row r="47" ht="15.75" customHeight="1" s="372">
      <c r="A47" s="326" t="inlineStr">
        <is>
          <t>Develop a distributed leadership model</t>
        </is>
      </c>
      <c r="B47" s="335" t="inlineStr">
        <is>
          <t>Design a distributed leadership model that strategically delegates instructional leadership responsibilities to build teacher capacity and ownership.</t>
        </is>
      </c>
      <c r="C47" s="335" t="inlineStr">
        <is>
          <t>Create a distributed leadership model that strategically delegates organizational roles to build staff capacity and support school improvement.</t>
        </is>
      </c>
      <c r="D47" s="335" t="inlineStr">
        <is>
          <t>Develop an operational distributed leadership framework that ensures school functions are managed effectively through shared staff responsibilities.</t>
        </is>
      </c>
      <c r="E47" s="335" t="inlineStr">
        <is>
          <t>Design a distributed leadership model that creates equitable opportunities for diverse staff to assume leadership roles and contribute to school goals.</t>
        </is>
      </c>
      <c r="F47" s="335" t="inlineStr">
        <is>
          <t>Model ethical professional leadership by developing a distributed leadership model grounded in mutual trust, fairness, and shared accountability.</t>
        </is>
      </c>
      <c r="G47" s="335" t="inlineStr">
        <is>
          <t>Advocate for leadership development at all levels by building a distributed leadership model that empowers staff to influence school direction.</t>
        </is>
      </c>
      <c r="H47" s="317" t="n"/>
      <c r="I47" s="317" t="n"/>
      <c r="J47" s="317" t="n"/>
      <c r="K47" s="317" t="n"/>
      <c r="L47" s="317" t="n"/>
      <c r="M47" s="317" t="n"/>
      <c r="N47" s="317" t="n"/>
      <c r="O47" s="317" t="n"/>
      <c r="P47" s="317" t="n"/>
      <c r="Q47" s="317" t="n"/>
      <c r="R47" s="317" t="n"/>
      <c r="S47" s="317" t="n"/>
      <c r="T47" s="317" t="n"/>
      <c r="U47" s="317" t="n"/>
      <c r="V47" s="317" t="n"/>
      <c r="W47" s="317" t="n"/>
      <c r="X47" s="317" t="n"/>
      <c r="Y47" s="317" t="n"/>
      <c r="Z47" s="333" t="n"/>
      <c r="AA47" s="317" t="n"/>
    </row>
    <row r="48" ht="15.75" customHeight="1" s="372">
      <c r="A48" s="326" t="inlineStr">
        <is>
          <t>Evaluate an instructional program using collected data</t>
        </is>
      </c>
      <c r="B48" s="334" t="inlineStr">
        <is>
          <t>Conduct a data-driven evaluation of an instructional program (e.g., tutoring, enrichment) to assess effectiveness and recommend improvements.</t>
        </is>
      </c>
      <c r="C48" s="334" t="inlineStr">
        <is>
          <t>Lead an organizational program evaluation process that uses data to assess effectiveness and inform strategic decision-making.</t>
        </is>
      </c>
      <c r="D48" s="334" t="inlineStr">
        <is>
          <t>Apply operational management skills to conduct a structured program evaluation that supports data-driven decision-making and resource stewardship.</t>
        </is>
      </c>
      <c r="E48" s="334" t="inlineStr">
        <is>
          <t>Evaluate programs through an equity lens, examining whether outcomes are equitable across diverse student subgroups and communities.</t>
        </is>
      </c>
      <c r="F48" s="334" t="inlineStr">
        <is>
          <t>Model professional rigor and ethical responsibility by conducting a fair, evidence-based program evaluation that is transparent and action-oriented.</t>
        </is>
      </c>
      <c r="G48" s="334" t="inlineStr">
        <is>
          <t>Advocate for evidence-based program continuation or revision by using evaluation findings to inform policy and resource allocation decisions.</t>
        </is>
      </c>
      <c r="H48" s="317" t="n"/>
      <c r="I48" s="317" t="n"/>
      <c r="J48" s="317" t="n"/>
      <c r="K48" s="317" t="n"/>
      <c r="L48" s="317" t="n"/>
      <c r="M48" s="317" t="n"/>
      <c r="N48" s="317" t="n"/>
      <c r="O48" s="317" t="n"/>
      <c r="P48" s="317" t="n"/>
      <c r="Q48" s="317" t="n"/>
      <c r="R48" s="317" t="n"/>
      <c r="S48" s="317" t="n"/>
      <c r="T48" s="317" t="n"/>
      <c r="U48" s="317" t="n"/>
      <c r="V48" s="317" t="n"/>
      <c r="W48" s="317" t="n"/>
      <c r="X48" s="317" t="n"/>
      <c r="Y48" s="317" t="n"/>
      <c r="Z48" s="333" t="n"/>
      <c r="AA48" s="317" t="n"/>
    </row>
    <row r="49" ht="15.75" customHeight="1" s="372">
      <c r="A49" s="326" t="inlineStr">
        <is>
          <t>Help a teacher create a small action plan</t>
        </is>
      </c>
      <c r="B49" s="335" t="inlineStr">
        <is>
          <t>Collaborate with a teacher to identify a classroom improvement goal and develop an actionable, data-informed instructional improvement plan.</t>
        </is>
      </c>
      <c r="C49" s="335" t="inlineStr">
        <is>
          <t>Support teacher-level strategic planning by helping a colleague develop a structured action plan aligned with school improvement goals.</t>
        </is>
      </c>
      <c r="D49" s="335" t="inlineStr">
        <is>
          <t>Apply operational coaching skills to help a teacher design and monitor a structured action plan for addressing a classroom challenge.</t>
        </is>
      </c>
      <c r="E49" s="335" t="inlineStr">
        <is>
          <t>Ensure the action plan addresses the diverse learning needs of all students in the classroom, with an equity-informed approach to intervention.</t>
        </is>
      </c>
      <c r="F49" s="335" t="inlineStr">
        <is>
          <t>Model professional mentorship and collegial support by collaborating respectfully and constructively with a teacher on professional growth goals.</t>
        </is>
      </c>
      <c r="G49" s="335" t="inlineStr">
        <is>
          <t>Advocate for individualized teacher support by demonstrating how targeted, job-embedded coaching advances school-wide improvement priorities.</t>
        </is>
      </c>
      <c r="H49" s="317" t="n"/>
      <c r="I49" s="317" t="n"/>
      <c r="J49" s="317" t="n"/>
      <c r="K49" s="317" t="n"/>
      <c r="L49" s="317" t="n"/>
      <c r="M49" s="317" t="n"/>
      <c r="N49" s="317" t="n"/>
      <c r="O49" s="317" t="n"/>
      <c r="P49" s="317" t="n"/>
      <c r="Q49" s="317" t="n"/>
      <c r="R49" s="317" t="n"/>
      <c r="S49" s="317" t="n"/>
      <c r="T49" s="317" t="n"/>
      <c r="U49" s="317" t="n"/>
      <c r="V49" s="317" t="n"/>
      <c r="W49" s="317" t="n"/>
      <c r="X49" s="317" t="n"/>
      <c r="Y49" s="317" t="n"/>
      <c r="Z49" s="333" t="n"/>
      <c r="AA49" s="317" t="n"/>
    </row>
    <row r="50" ht="15.75" customHeight="1" s="372">
      <c r="A50" s="326" t="inlineStr">
        <is>
          <t>Develop a handbook on legal and ethical practices</t>
        </is>
      </c>
      <c r="B50" s="334" t="inlineStr">
        <is>
          <t>Create a resource that helps instructional staff understand the legal and ethical dimensions of student rights, confidentiality, and discipline.</t>
        </is>
      </c>
      <c r="C50" s="334" t="inlineStr">
        <is>
          <t>Develop an organizational reference tool that supports consistent compliance with legal and ethical standards across the school.</t>
        </is>
      </c>
      <c r="D50" s="334" t="inlineStr">
        <is>
          <t>Build an operational management resource by creating a practical handbook on legal and ethical guidelines for staff use in daily school operations.</t>
        </is>
      </c>
      <c r="E50" s="334" t="inlineStr">
        <is>
          <t>Include equity-centered content in the handbook that addresses how legal and ethical obligations protect the rights of all students, especially the marginalized.</t>
        </is>
      </c>
      <c r="F50" s="334" t="inlineStr">
        <is>
          <t>Model professional ethics by developing a handbook that reflects a deep commitment to honesty, fairness, confidentiality, and legal compliance.</t>
        </is>
      </c>
      <c r="G50" s="334" t="inlineStr">
        <is>
          <t>Advocate for ethical leadership standards by creating a resource that supports staff in understanding and applying relevant educational policy.</t>
        </is>
      </c>
      <c r="H50" s="317" t="n"/>
      <c r="I50" s="317" t="n"/>
      <c r="J50" s="317" t="n"/>
      <c r="K50" s="317" t="n"/>
      <c r="L50" s="317" t="n"/>
      <c r="M50" s="317" t="n"/>
      <c r="N50" s="317" t="n"/>
      <c r="O50" s="317" t="n"/>
      <c r="P50" s="317" t="n"/>
      <c r="Q50" s="317" t="n"/>
      <c r="R50" s="317" t="n"/>
      <c r="S50" s="317" t="n"/>
      <c r="T50" s="317" t="n"/>
      <c r="U50" s="317" t="n"/>
      <c r="V50" s="317" t="n"/>
      <c r="W50" s="317" t="n"/>
      <c r="X50" s="317" t="n"/>
      <c r="Y50" s="317" t="n"/>
      <c r="Z50" s="333" t="n"/>
      <c r="AA50" s="317" t="n"/>
    </row>
    <row r="51" ht="15.75" customHeight="1" s="372">
      <c r="A51" s="326" t="inlineStr">
        <is>
          <t>Conduct a focus group with teachers on assessment needs</t>
        </is>
      </c>
      <c r="B51" s="335" t="inlineStr">
        <is>
          <t>Lead a teacher focus group to identify assessment needs, gaps, and priorities that inform instructional improvement planning.</t>
        </is>
      </c>
      <c r="C51" s="335" t="inlineStr">
        <is>
          <t>Use focus group insights from teachers to build organizational capacity for assessment reform aligned with school improvement goals.</t>
        </is>
      </c>
      <c r="D51" s="335" t="inlineStr">
        <is>
          <t>Manage a structured focus group process that gathers teacher perspectives on assessment tools and informs data-driven operational decisions.</t>
        </is>
      </c>
      <c r="E51" s="335" t="inlineStr">
        <is>
          <t>Facilitate an inclusive focus group process that elevates diverse teacher voices and identifies assessment equity concerns across student groups.</t>
        </is>
      </c>
      <c r="F51" s="335" t="inlineStr">
        <is>
          <t>Model collaborative professionalism by facilitating a respectful, transparent focus group that values teacher expertise and lived experience.</t>
        </is>
      </c>
      <c r="G51" s="335" t="inlineStr">
        <is>
          <t>Use teacher focus group findings to advocate for systemic improvements in assessment policy, tools, and professional development opportunities.</t>
        </is>
      </c>
      <c r="H51" s="317" t="n"/>
      <c r="I51" s="317" t="n"/>
      <c r="J51" s="317" t="n"/>
      <c r="K51" s="317" t="n"/>
      <c r="L51" s="317" t="n"/>
      <c r="M51" s="317" t="n"/>
      <c r="N51" s="317" t="n"/>
      <c r="O51" s="317" t="n"/>
      <c r="P51" s="317" t="n"/>
      <c r="Q51" s="317" t="n"/>
      <c r="R51" s="317" t="n"/>
      <c r="S51" s="317" t="n"/>
      <c r="T51" s="317" t="n"/>
      <c r="U51" s="317" t="n"/>
      <c r="V51" s="317" t="n"/>
      <c r="W51" s="317" t="n"/>
      <c r="X51" s="317" t="n"/>
      <c r="Y51" s="317" t="n"/>
      <c r="Z51" s="333" t="n"/>
      <c r="AA51" s="317" t="n"/>
    </row>
    <row r="52" ht="15.75" customHeight="1" s="372">
      <c r="A52" s="326" t="inlineStr">
        <is>
          <t>Shadow an administrator on curriculum review committee</t>
        </is>
      </c>
      <c r="B52" s="334" t="inlineStr">
        <is>
          <t>Observe how administrative leaders make evidence-based decisions about curriculum selection, alignment, and instructional innovation.</t>
        </is>
      </c>
      <c r="C52" s="334" t="inlineStr">
        <is>
          <t>Analyze how organizational leaders navigate curriculum review processes that align instructional programs with school and division goals.</t>
        </is>
      </c>
      <c r="D52" s="334" t="inlineStr">
        <is>
          <t>Examine how curriculum review committees function as an operational management structure that ensures instructional quality and alignment.</t>
        </is>
      </c>
      <c r="E52" s="334" t="inlineStr">
        <is>
          <t>Observe how curriculum review decisions address equity considerations, including access, cultural representation, and diverse learner needs.</t>
        </is>
      </c>
      <c r="F52" s="334" t="inlineStr">
        <is>
          <t>Reflect on the ethical and professional dimensions of curriculum decision-making, including transparency, inclusivity, and evidence-based practice.</t>
        </is>
      </c>
      <c r="G52" s="334" t="inlineStr">
        <is>
          <t>Analyze how curriculum review connects to policy advocacy by examining how decisions at the school level influence division-wide instructional priorities.</t>
        </is>
      </c>
      <c r="H52" s="317" t="n"/>
      <c r="I52" s="317" t="n"/>
      <c r="J52" s="317" t="n"/>
      <c r="K52" s="317" t="n"/>
      <c r="L52" s="317" t="n"/>
      <c r="M52" s="317" t="n"/>
      <c r="N52" s="317" t="n"/>
      <c r="O52" s="317" t="n"/>
      <c r="P52" s="317" t="n"/>
      <c r="Q52" s="317" t="n"/>
      <c r="R52" s="317" t="n"/>
      <c r="S52" s="317" t="n"/>
      <c r="T52" s="317" t="n"/>
      <c r="U52" s="317" t="n"/>
      <c r="V52" s="317" t="n"/>
      <c r="W52" s="317" t="n"/>
      <c r="X52" s="317" t="n"/>
      <c r="Y52" s="317" t="n"/>
      <c r="Z52" s="333" t="n"/>
      <c r="AA52" s="317" t="n"/>
    </row>
    <row r="53" ht="15.75" customHeight="1" s="372">
      <c r="A53" s="326" t="inlineStr">
        <is>
          <t>Observe an audit and accounting system use</t>
        </is>
      </c>
      <c r="B53" s="335" t="inlineStr">
        <is>
          <t>Understand how financial accountability systems support the school's instructional mission by observing audit processes and budget oversight.</t>
        </is>
      </c>
      <c r="C53" s="335" t="inlineStr">
        <is>
          <t>Observe how financial auditing functions as an organizational accountability mechanism that ensures alignment with strategic priorities.</t>
        </is>
      </c>
      <c r="D53" s="335" t="inlineStr">
        <is>
          <t>Develop operational fiscal management skills by observing how school principals and financial officers conduct audits and manage expenditure monitoring.</t>
        </is>
      </c>
      <c r="E53" s="335" t="inlineStr">
        <is>
          <t>Examine whether financial management practices ensure equitable resource distribution and support for underserved student programs.</t>
        </is>
      </c>
      <c r="F53" s="335" t="inlineStr">
        <is>
          <t>Model professional integrity by observing how leaders demonstrate transparency and accountability in fiscal management processes.</t>
        </is>
      </c>
      <c r="G53" s="335" t="inlineStr">
        <is>
          <t>Advocate for responsible stewardship of public funds by understanding how audit processes protect the school community's trust and resources.</t>
        </is>
      </c>
      <c r="H53" s="317" t="n"/>
      <c r="I53" s="317" t="n"/>
      <c r="J53" s="317" t="n"/>
      <c r="K53" s="317" t="n"/>
      <c r="L53" s="317" t="n"/>
      <c r="M53" s="317" t="n"/>
      <c r="N53" s="317" t="n"/>
      <c r="O53" s="317" t="n"/>
      <c r="P53" s="317" t="n"/>
      <c r="Q53" s="317" t="n"/>
      <c r="R53" s="317" t="n"/>
      <c r="S53" s="317" t="n"/>
      <c r="T53" s="317" t="n"/>
      <c r="U53" s="317" t="n"/>
      <c r="V53" s="317" t="n"/>
      <c r="W53" s="317" t="n"/>
      <c r="X53" s="317" t="n"/>
      <c r="Y53" s="317" t="n"/>
      <c r="Z53" s="333" t="n"/>
      <c r="AA53" s="317" t="n"/>
    </row>
    <row r="54" ht="15.75" customHeight="1" s="372">
      <c r="A54" s="326" t="inlineStr">
        <is>
          <t>Create or optimize a data dashboard for school performance</t>
        </is>
      </c>
      <c r="B54" s="334" t="inlineStr">
        <is>
          <t>Design or improve a data dashboard that tracks student performance, instructional trends, and school improvement metrics in real time.</t>
        </is>
      </c>
      <c r="C54" s="334" t="inlineStr">
        <is>
          <t>Build an operational data dashboard that provides school leaders with the organizational information needed for strategic decision-making.</t>
        </is>
      </c>
      <c r="D54" s="334" t="inlineStr">
        <is>
          <t>Develop a data management tool that supports operational monitoring of key school performance metrics and program effectiveness indicators.</t>
        </is>
      </c>
      <c r="E54" s="334" t="inlineStr">
        <is>
          <t>Design the dashboard to disaggregate data by subgroup, making equity gaps visible and actionable for school leaders and instructional teams.</t>
        </is>
      </c>
      <c r="F54" s="334" t="inlineStr">
        <is>
          <t>Model professional responsibility for data integrity by creating a transparent, accurate dashboard tool that supports ethical decision-making.</t>
        </is>
      </c>
      <c r="G54" s="334" t="inlineStr">
        <is>
          <t>Advocate for data-informed school improvement by building a dashboard that makes evidence visible and accessible to drive policy conversations.</t>
        </is>
      </c>
      <c r="H54" s="317" t="n"/>
      <c r="I54" s="317" t="n"/>
      <c r="J54" s="317" t="n"/>
      <c r="K54" s="317" t="n"/>
      <c r="L54" s="317" t="n"/>
      <c r="M54" s="317" t="n"/>
      <c r="N54" s="317" t="n"/>
      <c r="O54" s="317" t="n"/>
      <c r="P54" s="317" t="n"/>
      <c r="Q54" s="317" t="n"/>
      <c r="R54" s="317" t="n"/>
      <c r="S54" s="317" t="n"/>
      <c r="T54" s="317" t="n"/>
      <c r="U54" s="317" t="n"/>
      <c r="V54" s="317" t="n"/>
      <c r="W54" s="317" t="n"/>
      <c r="X54" s="317" t="n"/>
      <c r="Y54" s="317" t="n"/>
      <c r="Z54" s="333" t="n"/>
      <c r="AA54" s="317" t="n"/>
    </row>
    <row r="55" ht="15.75" customHeight="1" s="372">
      <c r="A55" s="326" t="inlineStr">
        <is>
          <t>Conduct an equity audit of division policies</t>
        </is>
      </c>
      <c r="B55" s="335" t="inlineStr">
        <is>
          <t>Examine how division policies governing curriculum, instruction, and student support promote or impede equitable outcomes for all learners.</t>
        </is>
      </c>
      <c r="C55" s="335" t="inlineStr">
        <is>
          <t>Conduct a systematic organizational review of division policies to identify misalignments with equity goals and strategic improvement priorities.</t>
        </is>
      </c>
      <c r="D55" s="335" t="inlineStr">
        <is>
          <t>Assess whether operational policies effectively support equitable school management, resource access, and inclusive learning environments.</t>
        </is>
      </c>
      <c r="E55" s="335" t="inlineStr">
        <is>
          <t>Lead an equity audit that rigorously examines division policies for accessibility, inclusivity, and fairness across all student populations.</t>
        </is>
      </c>
      <c r="F55" s="335" t="inlineStr">
        <is>
          <t>Model ethical and professional leadership by conducting a rigorous, honest equity audit that prioritizes the needs of underrepresented students.</t>
        </is>
      </c>
      <c r="G55" s="335" t="inlineStr">
        <is>
          <t>Advocate for policy revision by documenting equity findings from the audit and presenting recommendations to division leadership and policymakers.</t>
        </is>
      </c>
      <c r="H55" s="317" t="n"/>
      <c r="I55" s="317" t="n"/>
      <c r="J55" s="317" t="n"/>
      <c r="K55" s="317" t="n"/>
      <c r="L55" s="317" t="n"/>
      <c r="M55" s="317" t="n"/>
      <c r="N55" s="317" t="n"/>
      <c r="O55" s="317" t="n"/>
      <c r="P55" s="317" t="n"/>
      <c r="Q55" s="317" t="n"/>
      <c r="R55" s="317" t="n"/>
      <c r="S55" s="317" t="n"/>
      <c r="T55" s="317" t="n"/>
      <c r="U55" s="317" t="n"/>
      <c r="V55" s="317" t="n"/>
      <c r="W55" s="317" t="n"/>
      <c r="X55" s="317" t="n"/>
      <c r="Y55" s="317" t="n"/>
      <c r="Z55" s="333" t="n"/>
      <c r="AA55" s="317" t="n"/>
    </row>
    <row r="56" ht="15.75" customHeight="1" s="372">
      <c r="A56" s="326" t="inlineStr">
        <is>
          <t>Plan a culturally diverse family event</t>
        </is>
      </c>
      <c r="B56" s="334" t="inlineStr">
        <is>
          <t>Connect cultural diversity events to instructional goals by incorporating activities that celebrate student identity and strengthen school-home partnerships.</t>
        </is>
      </c>
      <c r="C56" s="334" t="inlineStr">
        <is>
          <t>Plan and lead an organizational community event that builds trust, celebrates diversity, and engages families in the school's strategic vision.</t>
        </is>
      </c>
      <c r="D56" s="334" t="inlineStr">
        <is>
          <t>Coordinate the operational logistics of a culturally diverse family event, including communications, facilities, and cross-staff collaboration.</t>
        </is>
      </c>
      <c r="E56" s="334" t="inlineStr">
        <is>
          <t>Design an event that intentionally honors and celebrates the cultural diversity of the school community to foster belonging and equity.</t>
        </is>
      </c>
      <c r="F56" s="334" t="inlineStr">
        <is>
          <t>Model ethical, inclusive professional practice by planning a family event that respectfully represents all cultural identities and community voices.</t>
        </is>
      </c>
      <c r="G56" s="334" t="inlineStr">
        <is>
          <t>Advocate for cultural responsiveness in schools by using family events to demonstrate the school's commitment to equity and community partnership.</t>
        </is>
      </c>
      <c r="H56" s="317" t="n"/>
      <c r="I56" s="317" t="n"/>
      <c r="J56" s="317" t="n"/>
      <c r="K56" s="317" t="n"/>
      <c r="L56" s="317" t="n"/>
      <c r="M56" s="317" t="n"/>
      <c r="N56" s="317" t="n"/>
      <c r="O56" s="317" t="n"/>
      <c r="P56" s="317" t="n"/>
      <c r="Q56" s="317" t="n"/>
      <c r="R56" s="317" t="n"/>
      <c r="S56" s="317" t="n"/>
      <c r="T56" s="317" t="n"/>
      <c r="U56" s="317" t="n"/>
      <c r="V56" s="317" t="n"/>
      <c r="W56" s="317" t="n"/>
      <c r="X56" s="317" t="n"/>
      <c r="Y56" s="317" t="n"/>
      <c r="Z56" s="333" t="n"/>
      <c r="AA56" s="317" t="n"/>
    </row>
    <row r="57" ht="15.75" customHeight="1" s="372">
      <c r="A57" s="326" t="inlineStr">
        <is>
          <t>Facilitate consensus building in a staff meeting</t>
        </is>
      </c>
      <c r="B57" s="335" t="inlineStr">
        <is>
          <t>Apply consensus-building skills in staff meetings to align instructional teams on decisions related to curriculum, student support, or school improvement.</t>
        </is>
      </c>
      <c r="C57" s="335" t="inlineStr">
        <is>
          <t>Lead a structured consensus-building process in a staff meeting to build organizational alignment and shared commitment to school goals.</t>
        </is>
      </c>
      <c r="D57" s="335" t="inlineStr">
        <is>
          <t>Use effective communication and negotiation strategies to facilitate staff consensus on operational decisions related to scheduling or resource use.</t>
        </is>
      </c>
      <c r="E57" s="335" t="inlineStr">
        <is>
          <t>Model inclusive facilitation by ensuring all voices—including those of marginalized staff—are heard and valued in consensus-building processes.</t>
        </is>
      </c>
      <c r="F57" s="335" t="inlineStr">
        <is>
          <t>Demonstrate professional ethics in communication by facilitating staff dialogue with honesty, fairness, and respect for diverse viewpoints.</t>
        </is>
      </c>
      <c r="G57" s="335" t="inlineStr">
        <is>
          <t>Advocate for collective leadership by modeling how consensus-building practices can advance equity and shared responsibility in school governance.</t>
        </is>
      </c>
      <c r="H57" s="317" t="n"/>
      <c r="I57" s="317" t="n"/>
      <c r="J57" s="317" t="n"/>
      <c r="K57" s="317" t="n"/>
      <c r="L57" s="317" t="n"/>
      <c r="M57" s="317" t="n"/>
      <c r="N57" s="317" t="n"/>
      <c r="O57" s="317" t="n"/>
      <c r="P57" s="317" t="n"/>
      <c r="Q57" s="317" t="n"/>
      <c r="R57" s="317" t="n"/>
      <c r="S57" s="317" t="n"/>
      <c r="T57" s="317" t="n"/>
      <c r="U57" s="317" t="n"/>
      <c r="V57" s="317" t="n"/>
      <c r="W57" s="317" t="n"/>
      <c r="X57" s="317" t="n"/>
      <c r="Y57" s="317" t="n"/>
      <c r="Z57" s="333" t="n"/>
      <c r="AA57" s="317" t="n"/>
    </row>
    <row r="58" ht="15.75" customHeight="1" s="372">
      <c r="A58" s="326" t="inlineStr">
        <is>
          <t>Participate in a PLC meeting to observe data use</t>
        </is>
      </c>
      <c r="B58" s="334" t="inlineStr">
        <is>
          <t>Observe how teachers in PLCs use data collaboratively to drive instructional decisions and continuously improve student learning outcomes.</t>
        </is>
      </c>
      <c r="C58" s="334" t="inlineStr">
        <is>
          <t>Analyze how PLC structures function as an organizational mechanism for building collective capacity and advancing school improvement goals.</t>
        </is>
      </c>
      <c r="D58" s="334" t="inlineStr">
        <is>
          <t>Examine how PLCs operationalize data-driven decision-making and how meeting structures support effective use of student performance information.</t>
        </is>
      </c>
      <c r="E58" s="334" t="inlineStr">
        <is>
          <t>Observe how diverse teacher voices are incorporated in PLC data discussions and whether equity-focused questions are raised and addressed.</t>
        </is>
      </c>
      <c r="F58" s="334" t="inlineStr">
        <is>
          <t>Reflect on the professional learning culture within PLCs and how collaborative data inquiry models a commitment to continuous improvement.</t>
        </is>
      </c>
      <c r="G58" s="334" t="inlineStr">
        <is>
          <t>Analyze how PLC practices connect to broader policy priorities by examining how teacher-level data use informs school-wide improvement strategies.</t>
        </is>
      </c>
      <c r="H58" s="317" t="n"/>
      <c r="I58" s="317" t="n"/>
      <c r="J58" s="317" t="n"/>
      <c r="K58" s="317" t="n"/>
      <c r="L58" s="317" t="n"/>
      <c r="M58" s="317" t="n"/>
      <c r="N58" s="317" t="n"/>
      <c r="O58" s="317" t="n"/>
      <c r="P58" s="317" t="n"/>
      <c r="Q58" s="317" t="n"/>
      <c r="R58" s="317" t="n"/>
      <c r="S58" s="317" t="n"/>
      <c r="T58" s="317" t="n"/>
      <c r="U58" s="317" t="n"/>
      <c r="V58" s="317" t="n"/>
      <c r="W58" s="317" t="n"/>
      <c r="X58" s="317" t="n"/>
      <c r="Y58" s="317" t="n"/>
      <c r="Z58" s="333" t="n"/>
      <c r="AA58" s="317" t="n"/>
    </row>
    <row r="59" ht="15.75" customHeight="1" s="372">
      <c r="A59" s="326" t="inlineStr">
        <is>
          <t>Attend meetings focused on communication and negotiation</t>
        </is>
      </c>
      <c r="B59" s="335" t="inlineStr">
        <is>
          <t>Observe how school leaders use communication and negotiation strategies in staff and committee meetings to advance instructional priorities.</t>
        </is>
      </c>
      <c r="C59" s="335" t="inlineStr">
        <is>
          <t>Analyze how effective two-way communication and consensus-building function as organizational leadership tools in committee settings.</t>
        </is>
      </c>
      <c r="D59" s="335" t="inlineStr">
        <is>
          <t>Examine how communication and negotiation strategies are used in operational management meetings to resolve challenges and align stakeholders.</t>
        </is>
      </c>
      <c r="E59" s="335" t="inlineStr">
        <is>
          <t>Observe whether communication and negotiation processes in meetings are inclusive of diverse staff voices and equity-centered perspectives.</t>
        </is>
      </c>
      <c r="F59" s="335" t="inlineStr">
        <is>
          <t>Reflect on the ethical and professional dimensions of communication in schools, including transparency, respect, and fairness in dialogue.</t>
        </is>
      </c>
      <c r="G59" s="335" t="inlineStr">
        <is>
          <t>Analyze how communication and negotiation at the school level connect to advocacy strategies and policy influence at the division level.</t>
        </is>
      </c>
      <c r="H59" s="317" t="n"/>
      <c r="I59" s="317" t="n"/>
      <c r="J59" s="317" t="n"/>
      <c r="K59" s="317" t="n"/>
      <c r="L59" s="317" t="n"/>
      <c r="M59" s="317" t="n"/>
      <c r="N59" s="317" t="n"/>
      <c r="O59" s="317" t="n"/>
      <c r="P59" s="317" t="n"/>
      <c r="Q59" s="317" t="n"/>
      <c r="R59" s="317" t="n"/>
      <c r="S59" s="317" t="n"/>
      <c r="T59" s="317" t="n"/>
      <c r="U59" s="317" t="n"/>
      <c r="V59" s="317" t="n"/>
      <c r="W59" s="317" t="n"/>
      <c r="X59" s="317" t="n"/>
      <c r="Y59" s="317" t="n"/>
      <c r="Z59" s="333" t="n"/>
      <c r="AA59" s="317" t="n"/>
    </row>
    <row r="60" ht="15.75" customHeight="1" s="372">
      <c r="A60" s="326" t="inlineStr">
        <is>
          <t>Research a state-level education policy proposal</t>
        </is>
      </c>
      <c r="B60" s="334" t="inlineStr">
        <is>
          <t>Analyze a state-level education policy proposal for its implications on instructional practice, curriculum, and student support systems.</t>
        </is>
      </c>
      <c r="C60" s="334" t="inlineStr">
        <is>
          <t>Evaluate how a proposed state policy would affect organizational operations, strategic planning, and leadership practices at the school level.</t>
        </is>
      </c>
      <c r="D60" s="334" t="inlineStr">
        <is>
          <t>Assess the operational and management implications of a state policy proposal on school scheduling, staffing, and compliance requirements.</t>
        </is>
      </c>
      <c r="E60" s="334" t="inlineStr">
        <is>
          <t>Examine a state policy proposal through an equity lens to assess its potential impact on diverse, underserved, and marginalized student populations.</t>
        </is>
      </c>
      <c r="F60" s="334" t="inlineStr">
        <is>
          <t>Model professional engagement with policy by conducting rigorous, evidence-based research that reflects a commitment to ethical decision-making.</t>
        </is>
      </c>
      <c r="G60" s="334" t="inlineStr">
        <is>
          <t>Develop advocacy skills by analyzing a state policy proposal and identifying strategies for school leaders to influence its development or implementation.</t>
        </is>
      </c>
      <c r="H60" s="317" t="n"/>
      <c r="I60" s="317" t="n"/>
      <c r="J60" s="317" t="n"/>
      <c r="K60" s="317" t="n"/>
      <c r="L60" s="317" t="n"/>
      <c r="M60" s="317" t="n"/>
      <c r="N60" s="317" t="n"/>
      <c r="O60" s="317" t="n"/>
      <c r="P60" s="317" t="n"/>
      <c r="Q60" s="317" t="n"/>
      <c r="R60" s="317" t="n"/>
      <c r="S60" s="317" t="n"/>
      <c r="T60" s="317" t="n"/>
      <c r="U60" s="317" t="n"/>
      <c r="V60" s="317" t="n"/>
      <c r="W60" s="317" t="n"/>
      <c r="X60" s="317" t="n"/>
      <c r="Y60" s="317" t="n"/>
      <c r="Z60" s="333" t="n"/>
      <c r="AA60" s="317" t="n"/>
    </row>
    <row r="61" ht="15.75" customHeight="1" s="372">
      <c r="A61" s="326" t="inlineStr">
        <is>
          <t>Develop a data dashboard for monitoring student progress</t>
        </is>
      </c>
      <c r="B61" s="335" t="inlineStr">
        <is>
          <t>Build a data dashboard that provides teachers and administrators with real-time insight into student progress and instructional effectiveness.</t>
        </is>
      </c>
      <c r="C61" s="335" t="inlineStr">
        <is>
          <t>Create an organizational data tool that supports strategic monitoring of school improvement goals and student performance trends.</t>
        </is>
      </c>
      <c r="D61" s="335" t="inlineStr">
        <is>
          <t>Develop an operational management tool that allows administrators to track key metrics and make timely, data-informed management decisions.</t>
        </is>
      </c>
      <c r="E61" s="335" t="inlineStr">
        <is>
          <t>Design the dashboard with equity in mind, enabling disaggregated views of student progress to highlight gaps and inform targeted interventions.</t>
        </is>
      </c>
      <c r="F61" s="335" t="inlineStr">
        <is>
          <t>Model professional responsibility for accurate and transparent data reporting by creating a dashboard that supports ethical, evidence-based decisions.</t>
        </is>
      </c>
      <c r="G61" s="335" t="inlineStr">
        <is>
          <t>Use the dashboard as an advocacy tool by making student progress data visible and accessible to drive school-level and division-level improvement.</t>
        </is>
      </c>
      <c r="H61" s="317" t="n"/>
      <c r="I61" s="317" t="n"/>
      <c r="J61" s="317" t="n"/>
      <c r="K61" s="317" t="n"/>
      <c r="L61" s="317" t="n"/>
      <c r="M61" s="317" t="n"/>
      <c r="N61" s="317" t="n"/>
      <c r="O61" s="317" t="n"/>
      <c r="P61" s="317" t="n"/>
      <c r="Q61" s="317" t="n"/>
      <c r="R61" s="317" t="n"/>
      <c r="S61" s="317" t="n"/>
      <c r="T61" s="317" t="n"/>
      <c r="U61" s="317" t="n"/>
      <c r="V61" s="317" t="n"/>
      <c r="W61" s="317" t="n"/>
      <c r="X61" s="317" t="n"/>
      <c r="Y61" s="317" t="n"/>
      <c r="Z61" s="333" t="n"/>
      <c r="AA61" s="317" t="n"/>
    </row>
    <row r="62" ht="15.75" customHeight="1" s="372">
      <c r="A62" s="326" t="inlineStr">
        <is>
          <t>Participate in crisis management committee</t>
        </is>
      </c>
      <c r="B62" s="334" t="inlineStr">
        <is>
          <t>Observe how crisis management decisions at the school or division level affect instructional continuity and student learning and safety.</t>
        </is>
      </c>
      <c r="C62" s="334" t="inlineStr">
        <is>
          <t>Examine how crisis management committees function as an organizational structure for rapid, coordinated decision-making during emergencies.</t>
        </is>
      </c>
      <c r="D62" s="334" t="inlineStr">
        <is>
          <t>Develop operational management skills by observing how school leaders manage crisis situations, including the legal and ethical implications involved.</t>
        </is>
      </c>
      <c r="E62" s="334" t="inlineStr">
        <is>
          <t>Analyze how crisis management practices account for the diverse needs of students and families, including those from vulnerable populations.</t>
        </is>
      </c>
      <c r="F62" s="334" t="inlineStr">
        <is>
          <t>Reflect on the moral and legal dimensions of crisis leadership and the professional responsibilities of school leaders during emergencies.</t>
        </is>
      </c>
      <c r="G62" s="334" t="inlineStr">
        <is>
          <t>Analyze how crisis management policies connect to state and federal policy frameworks and how schools advocate for adequate safety resources.</t>
        </is>
      </c>
      <c r="H62" s="317" t="n"/>
      <c r="I62" s="317" t="n"/>
      <c r="J62" s="317" t="n"/>
      <c r="K62" s="317" t="n"/>
      <c r="L62" s="317" t="n"/>
      <c r="M62" s="317" t="n"/>
      <c r="N62" s="317" t="n"/>
      <c r="O62" s="317" t="n"/>
      <c r="P62" s="317" t="n"/>
      <c r="Q62" s="317" t="n"/>
      <c r="R62" s="317" t="n"/>
      <c r="S62" s="317" t="n"/>
      <c r="T62" s="317" t="n"/>
      <c r="U62" s="317" t="n"/>
      <c r="V62" s="317" t="n"/>
      <c r="W62" s="317" t="n"/>
      <c r="X62" s="317" t="n"/>
      <c r="Y62" s="317" t="n"/>
      <c r="Z62" s="333" t="n"/>
      <c r="AA62" s="317" t="n"/>
    </row>
    <row r="63" ht="15.75" customHeight="1" s="372">
      <c r="A63" s="326" t="inlineStr">
        <is>
          <t>Review budget implementation for operational functions</t>
        </is>
      </c>
      <c r="B63" s="335" t="inlineStr">
        <is>
          <t>Understand how budget implementation supports instructional programs by examining how resources for transportation, food, and safety are allocated.</t>
        </is>
      </c>
      <c r="C63" s="335" t="inlineStr">
        <is>
          <t>Participate in a division-level budget review to understand how financial decisions are aligned with the school's strategic mission and goals.</t>
        </is>
      </c>
      <c r="D63" s="335" t="inlineStr">
        <is>
          <t>Develop operational fiscal management skills by reviewing how budget implementation processes for transportation, food, safety, and planning are managed.</t>
        </is>
      </c>
      <c r="E63" s="335" t="inlineStr">
        <is>
          <t>Examine how budget implementation decisions affect equitable resource distribution across schools, programs, and student populations.</t>
        </is>
      </c>
      <c r="F63" s="335" t="inlineStr">
        <is>
          <t>Model professional responsibility and ethical stewardship by learning how to manage public school resources transparently and effectively.</t>
        </is>
      </c>
      <c r="G63" s="335" t="inlineStr">
        <is>
          <t>Advocate for equitable and mission-aligned budget implementation by identifying areas where financial decisions need to better serve all students.</t>
        </is>
      </c>
      <c r="H63" s="317" t="n"/>
      <c r="I63" s="317" t="n"/>
      <c r="J63" s="317" t="n"/>
      <c r="K63" s="317" t="n"/>
      <c r="L63" s="317" t="n"/>
      <c r="M63" s="317" t="n"/>
      <c r="N63" s="317" t="n"/>
      <c r="O63" s="317" t="n"/>
      <c r="P63" s="317" t="n"/>
      <c r="Q63" s="317" t="n"/>
      <c r="R63" s="317" t="n"/>
      <c r="S63" s="317" t="n"/>
      <c r="T63" s="317" t="n"/>
      <c r="U63" s="317" t="n"/>
      <c r="V63" s="317" t="n"/>
      <c r="W63" s="317" t="n"/>
      <c r="X63" s="317" t="n"/>
      <c r="Y63" s="317" t="n"/>
      <c r="Z63" s="333" t="n"/>
      <c r="AA63" s="317" t="n"/>
    </row>
    <row r="64" ht="15.75" customHeight="1" s="372">
      <c r="A64" s="326" t="inlineStr">
        <is>
          <t>Develop digital instructional strategies with subject teams</t>
        </is>
      </c>
      <c r="B64" s="334" t="inlineStr">
        <is>
          <t>Collaborate with a subject team to develop and implement digital instructional strategies that boost student engagement and academic understanding.</t>
        </is>
      </c>
      <c r="C64" s="334" t="inlineStr">
        <is>
          <t>Work with content teams to develop a shared organizational strategy for technology integration that advances school-wide instructional goals.</t>
        </is>
      </c>
      <c r="D64" s="334" t="inlineStr">
        <is>
          <t>Operationalize technology integration by working with instructional teams to develop and monitor implementation of digital teaching strategies.</t>
        </is>
      </c>
      <c r="E64" s="334" t="inlineStr">
        <is>
          <t>Ensure digital instructional strategies are equitable by addressing access, differentiation, and support for diverse learners across subject areas.</t>
        </is>
      </c>
      <c r="F64" s="334" t="inlineStr">
        <is>
          <t>Model professional learning and collaborative responsibility by working with colleagues to develop effective, student-centered digital strategies.</t>
        </is>
      </c>
      <c r="G64" s="334" t="inlineStr">
        <is>
          <t>Advocate for systemic digital instruction by demonstrating the impact of technology-enhanced teaching on student engagement and achievement outcomes.</t>
        </is>
      </c>
      <c r="H64" s="317" t="n"/>
      <c r="I64" s="317" t="n"/>
      <c r="J64" s="317" t="n"/>
      <c r="K64" s="317" t="n"/>
      <c r="L64" s="317" t="n"/>
      <c r="M64" s="317" t="n"/>
      <c r="N64" s="317" t="n"/>
      <c r="O64" s="317" t="n"/>
      <c r="P64" s="317" t="n"/>
      <c r="Q64" s="317" t="n"/>
      <c r="R64" s="317" t="n"/>
      <c r="S64" s="317" t="n"/>
      <c r="T64" s="317" t="n"/>
      <c r="U64" s="317" t="n"/>
      <c r="V64" s="317" t="n"/>
      <c r="W64" s="317" t="n"/>
      <c r="X64" s="317" t="n"/>
      <c r="Y64" s="317" t="n"/>
      <c r="Z64" s="333" t="n"/>
      <c r="AA64" s="317" t="n"/>
    </row>
    <row r="65" ht="15.75" customHeight="1" s="372">
      <c r="A65" s="326" t="inlineStr">
        <is>
          <t>Develop a partnership with a local business or organization</t>
        </is>
      </c>
      <c r="B65" s="335" t="inlineStr">
        <is>
          <t>Connect community business partnerships to student learning goals by identifying resources and mentorships that support academic and career development.</t>
        </is>
      </c>
      <c r="C65" s="335" t="inlineStr">
        <is>
          <t>Build a strategic community partnership that advances the school's organizational capacity to serve underserved students and families.</t>
        </is>
      </c>
      <c r="D65" s="335" t="inlineStr">
        <is>
          <t>Manage the operational development of a school-community partnership, including communication, agreements, and program implementation logistics.</t>
        </is>
      </c>
      <c r="E65" s="335" t="inlineStr">
        <is>
          <t>Design the partnership specifically to support an underserved student population by addressing identified equity gaps and unmet needs.</t>
        </is>
      </c>
      <c r="F65" s="335" t="inlineStr">
        <is>
          <t>Model professional, ethical community engagement by developing a respectful, mutually beneficial partnership grounded in student success.</t>
        </is>
      </c>
      <c r="G65" s="335" t="inlineStr">
        <is>
          <t>Advocate for systemic community investment in student success by developing partnerships that bring external resources to underserved school populations.</t>
        </is>
      </c>
      <c r="H65" s="317" t="n"/>
      <c r="I65" s="317" t="n"/>
      <c r="J65" s="317" t="n"/>
      <c r="K65" s="317" t="n"/>
      <c r="L65" s="317" t="n"/>
      <c r="M65" s="317" t="n"/>
      <c r="N65" s="317" t="n"/>
      <c r="O65" s="317" t="n"/>
      <c r="P65" s="317" t="n"/>
      <c r="Q65" s="317" t="n"/>
      <c r="R65" s="317" t="n"/>
      <c r="S65" s="317" t="n"/>
      <c r="T65" s="317" t="n"/>
      <c r="U65" s="317" t="n"/>
      <c r="V65" s="317" t="n"/>
      <c r="W65" s="317" t="n"/>
      <c r="X65" s="317" t="n"/>
      <c r="Y65" s="317" t="n"/>
      <c r="Z65" s="333" t="n"/>
      <c r="AA65" s="317" t="n"/>
    </row>
    <row r="66" ht="15.75" customHeight="1" s="372">
      <c r="A66" s="326" t="inlineStr">
        <is>
          <t>Organize a collaborative planning session for staff</t>
        </is>
      </c>
      <c r="B66" s="334" t="inlineStr">
        <is>
          <t>Design and facilitate a collaborative planning session that focuses staff energy on developing shared instructional strategies and school improvement goals.</t>
        </is>
      </c>
      <c r="C66" s="334" t="inlineStr">
        <is>
          <t>Lead an organizational collaborative planning session that builds shared ownership of school improvement priorities and strategic goals.</t>
        </is>
      </c>
      <c r="D66" s="334" t="inlineStr">
        <is>
          <t>Coordinate the operational logistics of a staff collaborative planning session, including facilitation design, materials, and follow-up processes.</t>
        </is>
      </c>
      <c r="E66" s="334" t="inlineStr">
        <is>
          <t>Build in equity-focused discussion time during the planning session to address the diverse needs of all student populations served by the school.</t>
        </is>
      </c>
      <c r="F66" s="334" t="inlineStr">
        <is>
          <t>Model professional collaboration and ethical facilitation by creating a planning environment that is inclusive, respectful, and purposeful.</t>
        </is>
      </c>
      <c r="G66" s="334" t="inlineStr">
        <is>
          <t>Advocate for staff-driven improvement by designing collaborative planning sessions that connect teacher voice to school-wide and policy-level priorities.</t>
        </is>
      </c>
      <c r="H66" s="317" t="n"/>
      <c r="I66" s="317" t="n"/>
      <c r="J66" s="317" t="n"/>
      <c r="K66" s="317" t="n"/>
      <c r="L66" s="317" t="n"/>
      <c r="M66" s="317" t="n"/>
      <c r="N66" s="317" t="n"/>
      <c r="O66" s="317" t="n"/>
      <c r="P66" s="317" t="n"/>
      <c r="Q66" s="317" t="n"/>
      <c r="R66" s="317" t="n"/>
      <c r="S66" s="317" t="n"/>
      <c r="T66" s="317" t="n"/>
      <c r="U66" s="317" t="n"/>
      <c r="V66" s="317" t="n"/>
      <c r="W66" s="317" t="n"/>
      <c r="X66" s="317" t="n"/>
      <c r="Y66" s="317" t="n"/>
      <c r="Z66" s="333" t="n"/>
      <c r="AA66" s="317" t="n"/>
    </row>
    <row r="67" ht="15.75" customHeight="1" s="372">
      <c r="A67" s="326" t="inlineStr">
        <is>
          <t>Lead teachers in a discussion to increase engagement</t>
        </is>
      </c>
      <c r="B67" s="335" t="inlineStr">
        <is>
          <t>Facilitate a teacher discussion on evidence-based strategies for improving student engagement and instructional quality in diverse classrooms.</t>
        </is>
      </c>
      <c r="C67" s="335" t="inlineStr">
        <is>
          <t>Build organizational capacity for change by leading a structured staff dialogue on engagement strategies aligned with school improvement goals.</t>
        </is>
      </c>
      <c r="D67" s="335" t="inlineStr">
        <is>
          <t>Apply change management skills operationally by facilitating a teacher discussion that supports effective, sustainable improvements to instruction.</t>
        </is>
      </c>
      <c r="E67" s="335" t="inlineStr">
        <is>
          <t>Center equity in the engagement discussion by examining which student populations are most disengaged and developing targeted, inclusive strategies.</t>
        </is>
      </c>
      <c r="F67" s="335" t="inlineStr">
        <is>
          <t>Model collegial professionalism by facilitating a reflective, honest, and constructive dialogue on instructional improvement with teaching staff.</t>
        </is>
      </c>
      <c r="G67" s="335" t="inlineStr">
        <is>
          <t>Advocate for evidence-based approaches to student engagement by connecting teacher discussion outcomes to school improvement and policy priorities.</t>
        </is>
      </c>
      <c r="H67" s="317" t="n"/>
      <c r="I67" s="317" t="n"/>
      <c r="J67" s="317" t="n"/>
      <c r="K67" s="317" t="n"/>
      <c r="L67" s="317" t="n"/>
      <c r="M67" s="317" t="n"/>
      <c r="N67" s="317" t="n"/>
      <c r="O67" s="317" t="n"/>
      <c r="P67" s="317" t="n"/>
      <c r="Q67" s="317" t="n"/>
      <c r="R67" s="317" t="n"/>
      <c r="S67" s="317" t="n"/>
      <c r="T67" s="317" t="n"/>
      <c r="U67" s="317" t="n"/>
      <c r="V67" s="317" t="n"/>
      <c r="W67" s="317" t="n"/>
      <c r="X67" s="317" t="n"/>
      <c r="Y67" s="317" t="n"/>
      <c r="Z67" s="333" t="n"/>
      <c r="AA67" s="317" t="n"/>
    </row>
    <row r="68" ht="15.75" customHeight="1" s="372">
      <c r="A68" s="326" t="inlineStr">
        <is>
          <t>Evaluate an instructional program with data</t>
        </is>
      </c>
      <c r="B68" s="334" t="inlineStr">
        <is>
          <t>Conduct a structured, data-driven evaluation of an instructional program (e.g., tutoring, extracurriculars) to assess effectiveness and impact.</t>
        </is>
      </c>
      <c r="C68" s="334" t="inlineStr">
        <is>
          <t>Lead a data-informed organizational program evaluation process that informs strategic planning and school improvement decision-making.</t>
        </is>
      </c>
      <c r="D68" s="334" t="inlineStr">
        <is>
          <t>Apply operational management skills to evaluate a school program systematically, using data to make resource and program continuation decisions.</t>
        </is>
      </c>
      <c r="E68" s="334" t="inlineStr">
        <is>
          <t>Evaluate programs through an equity lens, examining whether all student subgroups—particularly those historically underserved—benefit equitably.</t>
        </is>
      </c>
      <c r="F68" s="334" t="inlineStr">
        <is>
          <t>Model professional rigor and ethical accountability in program evaluation by conducting honest, transparent, and evidence-based assessment.</t>
        </is>
      </c>
      <c r="G68" s="334" t="inlineStr">
        <is>
          <t>Advocate for data-informed program revision by presenting evaluation findings as a basis for policy changes and resource reallocation decisions.</t>
        </is>
      </c>
      <c r="H68" s="317" t="n"/>
      <c r="I68" s="317" t="n"/>
      <c r="J68" s="317" t="n"/>
      <c r="K68" s="317" t="n"/>
      <c r="L68" s="317" t="n"/>
      <c r="M68" s="317" t="n"/>
      <c r="N68" s="317" t="n"/>
      <c r="O68" s="317" t="n"/>
      <c r="P68" s="317" t="n"/>
      <c r="Q68" s="317" t="n"/>
      <c r="R68" s="317" t="n"/>
      <c r="S68" s="317" t="n"/>
      <c r="T68" s="317" t="n"/>
      <c r="U68" s="317" t="n"/>
      <c r="V68" s="317" t="n"/>
      <c r="W68" s="317" t="n"/>
      <c r="X68" s="317" t="n"/>
      <c r="Y68" s="317" t="n"/>
      <c r="Z68" s="333" t="n"/>
      <c r="AA68" s="317" t="n"/>
    </row>
    <row r="69" ht="15.75" customHeight="1" s="372">
      <c r="A69" s="326" t="inlineStr">
        <is>
          <t>Create a guide on student confidentiality for teachers</t>
        </is>
      </c>
      <c r="B69" s="335" t="inlineStr">
        <is>
          <t>Develop a practical guide helping teachers understand their legal obligations related to student confidentiality and sensitive information.</t>
        </is>
      </c>
      <c r="C69" s="335" t="inlineStr">
        <is>
          <t>Build organizational compliance by creating a clear, accessible guide that helps staff understand and apply student confidentiality law consistently.</t>
        </is>
      </c>
      <c r="D69" s="335" t="inlineStr">
        <is>
          <t>Address operational legal compliance by creating a staff-facing guide that supports consistent, lawful management of student information.</t>
        </is>
      </c>
      <c r="E69" s="335" t="inlineStr">
        <is>
          <t>Ensure the confidentiality guide addresses the needs of diverse student populations, including protections for students in vulnerable circumstances.</t>
        </is>
      </c>
      <c r="F69" s="335" t="inlineStr">
        <is>
          <t>Model ethical professional practice by producing a resource that reflects honesty, care, and legal responsibility in the handling of student information.</t>
        </is>
      </c>
      <c r="G69" s="335" t="inlineStr">
        <is>
          <t>Advocate for student privacy rights by creating a policy-aligned guide that equips teachers to protect students and comply with applicable law.</t>
        </is>
      </c>
      <c r="H69" s="317" t="n"/>
      <c r="I69" s="317" t="n"/>
      <c r="J69" s="317" t="n"/>
      <c r="K69" s="317" t="n"/>
      <c r="L69" s="317" t="n"/>
      <c r="M69" s="317" t="n"/>
      <c r="N69" s="317" t="n"/>
      <c r="O69" s="317" t="n"/>
      <c r="P69" s="317" t="n"/>
      <c r="Q69" s="317" t="n"/>
      <c r="R69" s="317" t="n"/>
      <c r="S69" s="317" t="n"/>
      <c r="T69" s="317" t="n"/>
      <c r="U69" s="317" t="n"/>
      <c r="V69" s="317" t="n"/>
      <c r="W69" s="317" t="n"/>
      <c r="X69" s="317" t="n"/>
      <c r="Y69" s="317" t="n"/>
      <c r="Z69" s="333" t="n"/>
      <c r="AA69" s="317" t="n"/>
    </row>
    <row r="70" ht="15.75" customHeight="1" s="372">
      <c r="A70" s="326" t="inlineStr">
        <is>
          <t>Design a communication plan for sharing assessment results</t>
        </is>
      </c>
      <c r="B70" s="334" t="inlineStr">
        <is>
          <t>Develop a family communication plan that transparently shares student assessment results in ways that are accessible and actionable for families.</t>
        </is>
      </c>
      <c r="C70" s="334" t="inlineStr">
        <is>
          <t>Create an organizational communication strategy for sharing assessment data that supports strategic improvement goals and stakeholder engagement.</t>
        </is>
      </c>
      <c r="D70" s="334" t="inlineStr">
        <is>
          <t>Design an operational communication plan for assessment data that ensures timely, consistent, and professionally managed reporting to all stakeholders.</t>
        </is>
      </c>
      <c r="E70" s="334" t="inlineStr">
        <is>
          <t>Create a communication plan for assessment results that is culturally and linguistically accessible for all families in a diverse school community.</t>
        </is>
      </c>
      <c r="F70" s="334" t="inlineStr">
        <is>
          <t>Model ethical, transparent professional practice by developing an assessment communication plan grounded in fairness, clarity, and family trust.</t>
        </is>
      </c>
      <c r="G70" s="334" t="inlineStr">
        <is>
          <t>Advocate for family and community engagement in school improvement by designing assessment communication that is inclusive, equitable, and action-oriented.</t>
        </is>
      </c>
      <c r="H70" s="317" t="n"/>
      <c r="I70" s="317" t="n"/>
      <c r="J70" s="317" t="n"/>
      <c r="K70" s="317" t="n"/>
      <c r="L70" s="317" t="n"/>
      <c r="M70" s="317" t="n"/>
      <c r="N70" s="317" t="n"/>
      <c r="O70" s="317" t="n"/>
      <c r="P70" s="317" t="n"/>
      <c r="Q70" s="317" t="n"/>
      <c r="R70" s="317" t="n"/>
      <c r="S70" s="317" t="n"/>
      <c r="T70" s="317" t="n"/>
      <c r="U70" s="317" t="n"/>
      <c r="V70" s="317" t="n"/>
      <c r="W70" s="317" t="n"/>
      <c r="X70" s="317" t="n"/>
      <c r="Y70" s="317" t="n"/>
      <c r="Z70" s="333" t="n"/>
      <c r="AA70" s="317" t="n"/>
    </row>
    <row r="71" ht="15.75" customHeight="1" s="372">
      <c r="A71" s="326" t="inlineStr">
        <is>
          <t>Join a recruitment strategy review committee</t>
        </is>
      </c>
      <c r="B71" s="335" t="inlineStr">
        <is>
          <t>Analyze how recruitment strategies are designed to attract instructional talent that reflects the school's commitment to diverse, qualified teaching staff.</t>
        </is>
      </c>
      <c r="C71" s="335" t="inlineStr">
        <is>
          <t>Participate in an organizational recruitment review that aligns hiring processes with the school's strategic goals and improvement priorities.</t>
        </is>
      </c>
      <c r="D71" s="335" t="inlineStr">
        <is>
          <t>Develop operational human resources knowledge by reviewing how recruitment processes are designed, evaluated, and improved.</t>
        </is>
      </c>
      <c r="E71" s="335" t="inlineStr">
        <is>
          <t>Examine recruitment strategies for equity—ensuring that hiring practices attract diverse candidates and reduce systemic bias in selection.</t>
        </is>
      </c>
      <c r="F71" s="335" t="inlineStr">
        <is>
          <t>Model professional responsibility in human resources by contributing to ethical, transparent recruitment practices that reflect fairness and inclusivity.</t>
        </is>
      </c>
      <c r="G71" s="335" t="inlineStr">
        <is>
          <t>Advocate for policy-aligned recruitment strategies that attract high-quality, diverse educators and address systemic workforce equity challenges.</t>
        </is>
      </c>
      <c r="H71" s="317" t="n"/>
      <c r="I71" s="317" t="n"/>
      <c r="J71" s="317" t="n"/>
      <c r="K71" s="317" t="n"/>
      <c r="L71" s="317" t="n"/>
      <c r="M71" s="317" t="n"/>
      <c r="N71" s="317" t="n"/>
      <c r="O71" s="317" t="n"/>
      <c r="P71" s="317" t="n"/>
      <c r="Q71" s="317" t="n"/>
      <c r="R71" s="317" t="n"/>
      <c r="S71" s="317" t="n"/>
      <c r="T71" s="317" t="n"/>
      <c r="U71" s="317" t="n"/>
      <c r="V71" s="317" t="n"/>
      <c r="W71" s="317" t="n"/>
      <c r="X71" s="317" t="n"/>
      <c r="Y71" s="317" t="n"/>
      <c r="Z71" s="333" t="n"/>
      <c r="AA71" s="317" t="n"/>
    </row>
    <row r="72" ht="15.75" customHeight="1" s="372">
      <c r="A72" s="326" t="inlineStr">
        <is>
          <t>Engage with federal program coordinators and documentation</t>
        </is>
      </c>
      <c r="B72" s="334" t="inlineStr">
        <is>
          <t>Review federal program documentation and policies to understand how programs like McKinney-Vento and tutoring services support student learning.</t>
        </is>
      </c>
      <c r="C72" s="334" t="inlineStr">
        <is>
          <t>Engage with federal program coordinators to understand how organizational compliance with federal requirements shapes school programming.</t>
        </is>
      </c>
      <c r="D72" s="334" t="inlineStr">
        <is>
          <t>Develop operational knowledge of federal program management by reviewing documentation, identifying compliance gaps, and proposing improvements.</t>
        </is>
      </c>
      <c r="E72" s="334" t="inlineStr">
        <is>
          <t>Examine how federal programs serve underrepresented populations—including homeless students, English learners, and low-income students—equitably.</t>
        </is>
      </c>
      <c r="F72" s="334" t="inlineStr">
        <is>
          <t>Model professional diligence and ethical responsibility by reviewing federal program compliance documentation and identifying areas for strengthening.</t>
        </is>
      </c>
      <c r="G72" s="334" t="inlineStr">
        <is>
          <t>Advocate for full implementation of federal programs by documenting gaps and proposing improvements that better serve vulnerable student populations.</t>
        </is>
      </c>
      <c r="H72" s="317" t="n"/>
      <c r="I72" s="317" t="n"/>
      <c r="J72" s="317" t="n"/>
      <c r="K72" s="317" t="n"/>
      <c r="L72" s="317" t="n"/>
      <c r="M72" s="317" t="n"/>
      <c r="N72" s="317" t="n"/>
      <c r="O72" s="317" t="n"/>
      <c r="P72" s="317" t="n"/>
      <c r="Q72" s="317" t="n"/>
      <c r="R72" s="317" t="n"/>
      <c r="S72" s="317" t="n"/>
      <c r="T72" s="317" t="n"/>
      <c r="U72" s="317" t="n"/>
      <c r="V72" s="317" t="n"/>
      <c r="W72" s="317" t="n"/>
      <c r="X72" s="317" t="n"/>
      <c r="Y72" s="317" t="n"/>
      <c r="Z72" s="333" t="n"/>
      <c r="AA72" s="317" t="n"/>
    </row>
    <row r="73" ht="15.75" customHeight="1" s="372">
      <c r="A73" s="326" t="inlineStr">
        <is>
          <t>Plan technology training for administrative staff</t>
        </is>
      </c>
      <c r="B73" s="335" t="inlineStr">
        <is>
          <t>Connect technology training for administrative staff to instructional support goals, helping operations teams better serve teachers and students.</t>
        </is>
      </c>
      <c r="C73" s="335" t="inlineStr">
        <is>
          <t>Design and implement a technology training initiative for administrative staff that builds organizational capacity and supports strategic management goals.</t>
        </is>
      </c>
      <c r="D73" s="335" t="inlineStr">
        <is>
          <t>Develop operational efficiency by planning and delivering targeted technology training for administrative staff on management tools and platforms.</t>
        </is>
      </c>
      <c r="E73" s="335" t="inlineStr">
        <is>
          <t>Ensure technology training for administrative staff addresses equity in access and capacity, serving all staff regardless of prior technical experience.</t>
        </is>
      </c>
      <c r="F73" s="335" t="inlineStr">
        <is>
          <t>Model professional responsibility by designing inclusive, respectful technology training that meets diverse staff learning needs.</t>
        </is>
      </c>
      <c r="G73" s="335" t="inlineStr">
        <is>
          <t>Advocate for technology as a tool for organizational improvement by demonstrating how administrative staff capacity supports better service delivery.</t>
        </is>
      </c>
      <c r="H73" s="317" t="n"/>
      <c r="I73" s="317" t="n"/>
      <c r="J73" s="317" t="n"/>
      <c r="K73" s="317" t="n"/>
      <c r="L73" s="317" t="n"/>
      <c r="M73" s="317" t="n"/>
      <c r="N73" s="317" t="n"/>
      <c r="O73" s="317" t="n"/>
      <c r="P73" s="317" t="n"/>
      <c r="Q73" s="317" t="n"/>
      <c r="R73" s="317" t="n"/>
      <c r="S73" s="317" t="n"/>
      <c r="T73" s="317" t="n"/>
      <c r="U73" s="317" t="n"/>
      <c r="V73" s="317" t="n"/>
      <c r="W73" s="317" t="n"/>
      <c r="X73" s="317" t="n"/>
      <c r="Y73" s="317" t="n"/>
      <c r="Z73" s="333" t="n"/>
      <c r="AA73" s="317" t="n"/>
    </row>
    <row r="74" ht="15.75" customHeight="1" s="372">
      <c r="A74" s="326" t="inlineStr">
        <is>
          <t>Interview a district Title III / EL coordinator</t>
        </is>
      </c>
      <c r="B74" s="334" t="inlineStr">
        <is>
          <t>Learn how the Title III coordinator uses data and instructional strategies to support English Learner achievement and close academic gaps.</t>
        </is>
      </c>
      <c r="C74" s="334" t="inlineStr">
        <is>
          <t>Understand how district-level EL coordinators work within organizational structures to support policy implementation and strategic service delivery.</t>
        </is>
      </c>
      <c r="D74" s="334" t="inlineStr">
        <is>
          <t>Gain operational knowledge of how federal Title III policy is implemented at the district level, including resource allocation and compliance monitoring.</t>
        </is>
      </c>
      <c r="E74" s="334" t="inlineStr">
        <is>
          <t>Understand how EL coordination is a systemic equity function—ensuring that English Learners receive equitable access to learning supports and programs.</t>
        </is>
      </c>
      <c r="F74" s="334" t="inlineStr">
        <is>
          <t>Reflect on the professional and ethical responsibilities of school leaders in advocating for and properly serving English Learner students.</t>
        </is>
      </c>
      <c r="G74" s="334" t="inlineStr">
        <is>
          <t>Develop advocacy skills by understanding how state and federal EL policy influences school practice and how leaders can shape policy implementation.</t>
        </is>
      </c>
      <c r="H74" s="317" t="n"/>
      <c r="I74" s="317" t="n"/>
      <c r="J74" s="317" t="n"/>
      <c r="K74" s="317" t="n"/>
      <c r="L74" s="317" t="n"/>
      <c r="M74" s="317" t="n"/>
      <c r="N74" s="317" t="n"/>
      <c r="O74" s="317" t="n"/>
      <c r="P74" s="317" t="n"/>
      <c r="Q74" s="317" t="n"/>
      <c r="R74" s="317" t="n"/>
      <c r="S74" s="317" t="n"/>
      <c r="T74" s="317" t="n"/>
      <c r="U74" s="317" t="n"/>
      <c r="V74" s="317" t="n"/>
      <c r="W74" s="317" t="n"/>
      <c r="X74" s="317" t="n"/>
      <c r="Y74" s="317" t="n"/>
      <c r="Z74" s="333" t="n"/>
      <c r="AA74" s="317" t="n"/>
    </row>
    <row r="75" ht="15.75" customHeight="1" s="372">
      <c r="A75" s="326" t="inlineStr">
        <is>
          <t>Analyze community engagement trends and issues</t>
        </is>
      </c>
      <c r="B75" s="335" t="inlineStr">
        <is>
          <t>Connect community engagement data and trends to instructional decision-making and school improvement planning processes.</t>
        </is>
      </c>
      <c r="C75" s="335" t="inlineStr">
        <is>
          <t>Use community engagement trend analysis to inform organizational strategies for strengthening school-family partnerships and public trust.</t>
        </is>
      </c>
      <c r="D75" s="335" t="inlineStr">
        <is>
          <t>Apply community trend analysis to operational management decisions about communications, outreach, and school-community event planning.</t>
        </is>
      </c>
      <c r="E75" s="335" t="inlineStr">
        <is>
          <t>Analyze community engagement trends through an equity lens to identify which populations are underengaged and develop targeted outreach strategies.</t>
        </is>
      </c>
      <c r="F75" s="335" t="inlineStr">
        <is>
          <t>Model professional responsibility by conducting rigorous, honest analysis of community engagement data that informs equitable and ethical outreach.</t>
        </is>
      </c>
      <c r="G75" s="335" t="inlineStr">
        <is>
          <t>Advocate for systemic community engagement improvements by using trend analysis to propose policy-aligned strategies for broader family involvement.</t>
        </is>
      </c>
      <c r="H75" s="317" t="n"/>
      <c r="I75" s="317" t="n"/>
      <c r="J75" s="317" t="n"/>
      <c r="K75" s="317" t="n"/>
      <c r="L75" s="317" t="n"/>
      <c r="M75" s="317" t="n"/>
      <c r="N75" s="317" t="n"/>
      <c r="O75" s="317" t="n"/>
      <c r="P75" s="317" t="n"/>
      <c r="Q75" s="317" t="n"/>
      <c r="R75" s="317" t="n"/>
      <c r="S75" s="317" t="n"/>
      <c r="T75" s="317" t="n"/>
      <c r="U75" s="317" t="n"/>
      <c r="V75" s="317" t="n"/>
      <c r="W75" s="317" t="n"/>
      <c r="X75" s="317" t="n"/>
      <c r="Y75" s="317" t="n"/>
      <c r="Z75" s="333" t="n"/>
      <c r="AA75" s="317" t="n"/>
    </row>
    <row r="76" ht="15.75" customHeight="1" s="372">
      <c r="A76" s="326" t="inlineStr">
        <is>
          <t>Observe a mediation process led by a school leader</t>
        </is>
      </c>
      <c r="B76" s="334" t="inlineStr">
        <is>
          <t>Observe how a school leader applies mediation skills to resolve instructional or interpersonal conflicts in ways that support learning and safety.</t>
        </is>
      </c>
      <c r="C76" s="334" t="inlineStr">
        <is>
          <t>Analyze how mediation strategies function within organizational leadership, supporting conflict resolution and collaborative school management.</t>
        </is>
      </c>
      <c r="D76" s="334" t="inlineStr">
        <is>
          <t>Examine how operational management includes conflict resolution processes and how mediation skills are essential to effective school leadership.</t>
        </is>
      </c>
      <c r="E76" s="334" t="inlineStr">
        <is>
          <t>Observe how mediation processes address equity concerns, ensuring that all parties—especially marginalized voices—are heard and fairly considered.</t>
        </is>
      </c>
      <c r="F76" s="334" t="inlineStr">
        <is>
          <t>Reflect on the ethical and professional dimensions of conflict mediation, including the leader's responsibility to model integrity and fairness.</t>
        </is>
      </c>
      <c r="G76" s="334" t="inlineStr">
        <is>
          <t>Analyze how mediation skills connect to advocacy by examining how school leaders use conflict resolution to advance equitable outcomes.</t>
        </is>
      </c>
      <c r="H76" s="317" t="n"/>
      <c r="I76" s="317" t="n"/>
      <c r="J76" s="317" t="n"/>
      <c r="K76" s="317" t="n"/>
      <c r="L76" s="317" t="n"/>
      <c r="M76" s="317" t="n"/>
      <c r="N76" s="317" t="n"/>
      <c r="O76" s="317" t="n"/>
      <c r="P76" s="317" t="n"/>
      <c r="Q76" s="317" t="n"/>
      <c r="R76" s="317" t="n"/>
      <c r="S76" s="317" t="n"/>
      <c r="T76" s="317" t="n"/>
      <c r="U76" s="317" t="n"/>
      <c r="V76" s="317" t="n"/>
      <c r="W76" s="317" t="n"/>
      <c r="X76" s="317" t="n"/>
      <c r="Y76" s="317" t="n"/>
      <c r="Z76" s="333" t="n"/>
      <c r="AA76" s="317" t="n"/>
    </row>
    <row r="77" ht="15.75" customHeight="1" s="372">
      <c r="A77" s="326" t="inlineStr">
        <is>
          <t>Research historical perspectives on equity in education</t>
        </is>
      </c>
      <c r="B77" s="335" t="inlineStr">
        <is>
          <t>Examine how historical equity policies (e.g., Brown v. Board) continue to shape curriculum, instruction, and student support in schools today.</t>
        </is>
      </c>
      <c r="C77" s="335" t="inlineStr">
        <is>
          <t>Analyze how historical equity milestones inform organizational policy, leadership practice, and the school's strategic equity commitments.</t>
        </is>
      </c>
      <c r="D77" s="335" t="inlineStr">
        <is>
          <t>Understand the operational and policy implications of landmark equity decisions on school management, compliance, and program design.</t>
        </is>
      </c>
      <c r="E77" s="335" t="inlineStr">
        <is>
          <t>Develop a deep understanding of the historical roots of educational inequity and how policy evolution has shaped—and must continue to shape—school practice.</t>
        </is>
      </c>
      <c r="F77" s="335" t="inlineStr">
        <is>
          <t>Model professional commitment to equity by studying historical injustices and their ongoing implications for ethical school leadership.</t>
        </is>
      </c>
      <c r="G77" s="335" t="inlineStr">
        <is>
          <t>Develop advocacy capacity by understanding historical policy milestones that inform current equity advocacy strategies at state and local levels.</t>
        </is>
      </c>
      <c r="H77" s="317" t="n"/>
      <c r="I77" s="317" t="n"/>
      <c r="J77" s="317" t="n"/>
      <c r="K77" s="317" t="n"/>
      <c r="L77" s="317" t="n"/>
      <c r="M77" s="317" t="n"/>
      <c r="N77" s="317" t="n"/>
      <c r="O77" s="317" t="n"/>
      <c r="P77" s="317" t="n"/>
      <c r="Q77" s="317" t="n"/>
      <c r="R77" s="317" t="n"/>
      <c r="S77" s="317" t="n"/>
      <c r="T77" s="317" t="n"/>
      <c r="U77" s="317" t="n"/>
      <c r="V77" s="317" t="n"/>
      <c r="W77" s="317" t="n"/>
      <c r="X77" s="317" t="n"/>
      <c r="Y77" s="317" t="n"/>
      <c r="Z77" s="333" t="n"/>
      <c r="AA77" s="317" t="n"/>
    </row>
    <row r="78" ht="15.75" customHeight="1" s="372">
      <c r="A78" s="326" t="inlineStr">
        <is>
          <t>Facilitate a grade-level team meeting on instruction</t>
        </is>
      </c>
      <c r="B78" s="334" t="inlineStr">
        <is>
          <t>Lead a grade-level meeting focused on reviewing instructional data, sharing best practices, and developing collaborative improvement strategies.</t>
        </is>
      </c>
      <c r="C78" s="334" t="inlineStr">
        <is>
          <t>Facilitate a structured grade-level team meeting that builds organizational capacity for data-informed, collaborative instructional leadership.</t>
        </is>
      </c>
      <c r="D78" s="334" t="inlineStr">
        <is>
          <t>Apply operational leadership skills to facilitate a productive, goal-oriented grade-level team meeting aligned with school improvement priorities.</t>
        </is>
      </c>
      <c r="E78" s="334" t="inlineStr">
        <is>
          <t>Embed equity-focused analysis in the grade-level meeting to ensure all student populations, including underserved groups, are centered in discussions.</t>
        </is>
      </c>
      <c r="F78" s="334" t="inlineStr">
        <is>
          <t>Model professional facilitation and ethical collaboration by leading a team meeting that is respectful, inclusive, and grounded in shared accountability.</t>
        </is>
      </c>
      <c r="G78" s="334" t="inlineStr">
        <is>
          <t>Advocate for systemic instructional improvement by using grade-level meeting outcomes to inform school-wide and division-level policy priorities.</t>
        </is>
      </c>
      <c r="H78" s="317" t="n"/>
      <c r="I78" s="317" t="n"/>
      <c r="J78" s="317" t="n"/>
      <c r="K78" s="317" t="n"/>
      <c r="L78" s="317" t="n"/>
      <c r="M78" s="317" t="n"/>
      <c r="N78" s="317" t="n"/>
      <c r="O78" s="317" t="n"/>
      <c r="P78" s="317" t="n"/>
      <c r="Q78" s="317" t="n"/>
      <c r="R78" s="317" t="n"/>
      <c r="S78" s="317" t="n"/>
      <c r="T78" s="317" t="n"/>
      <c r="U78" s="317" t="n"/>
      <c r="V78" s="317" t="n"/>
      <c r="W78" s="317" t="n"/>
      <c r="X78" s="317" t="n"/>
      <c r="Y78" s="317" t="n"/>
      <c r="Z78" s="333" t="n"/>
      <c r="AA78" s="317" t="n"/>
    </row>
    <row r="79" ht="15.75" customHeight="1" s="372">
      <c r="A79" s="326" t="inlineStr">
        <is>
          <t>Lead peer instructional rounds</t>
        </is>
      </c>
      <c r="B79" s="335" t="inlineStr">
        <is>
          <t>Organize and lead instructional rounds focused on observing and improving classroom teaching through structured, evidence-based peer feedback.</t>
        </is>
      </c>
      <c r="C79" s="335" t="inlineStr">
        <is>
          <t>Design peer instructional rounds as an organizational professional learning strategy that builds collective instructional capacity school-wide.</t>
        </is>
      </c>
      <c r="D79" s="335" t="inlineStr">
        <is>
          <t>Manage the operational coordination of instructional rounds, including scheduling, observation protocols, and structured debriefing processes.</t>
        </is>
      </c>
      <c r="E79" s="335" t="inlineStr">
        <is>
          <t>Design instructional rounds that are inclusive and respectful of diverse teaching approaches, ensuring equity in feedback and professional support.</t>
        </is>
      </c>
      <c r="F79" s="335" t="inlineStr">
        <is>
          <t>Model professional learning and collegial responsibility by facilitating instructional rounds grounded in mutual respect, honesty, and growth orientation.</t>
        </is>
      </c>
      <c r="G79" s="335" t="inlineStr">
        <is>
          <t>Advocate for peer-led instructional improvement by demonstrating how instructional rounds advance teaching quality and school improvement goals.</t>
        </is>
      </c>
      <c r="H79" s="317" t="n"/>
      <c r="I79" s="317" t="n"/>
      <c r="J79" s="317" t="n"/>
      <c r="K79" s="317" t="n"/>
      <c r="L79" s="317" t="n"/>
      <c r="M79" s="317" t="n"/>
      <c r="N79" s="317" t="n"/>
      <c r="O79" s="317" t="n"/>
      <c r="P79" s="317" t="n"/>
      <c r="Q79" s="317" t="n"/>
      <c r="R79" s="317" t="n"/>
      <c r="S79" s="317" t="n"/>
      <c r="T79" s="317" t="n"/>
      <c r="U79" s="317" t="n"/>
      <c r="V79" s="317" t="n"/>
      <c r="W79" s="317" t="n"/>
      <c r="X79" s="317" t="n"/>
      <c r="Y79" s="317" t="n"/>
      <c r="Z79" s="333" t="n"/>
      <c r="AA79" s="317" t="n"/>
    </row>
    <row r="80" ht="15.75" customHeight="1" s="372">
      <c r="A80" s="326" t="inlineStr">
        <is>
          <t>Participate in school business management functions</t>
        </is>
      </c>
      <c r="B80" s="334" t="inlineStr">
        <is>
          <t>Understand how essential business management functions—budgeting, procurement, scheduling—support the school's instructional mission.</t>
        </is>
      </c>
      <c r="C80" s="334" t="inlineStr">
        <is>
          <t>Develop organizational leadership skills by participating in business management processes that support strategic planning and resource stewardship.</t>
        </is>
      </c>
      <c r="D80" s="334" t="inlineStr">
        <is>
          <t>Build operational management skills through hands-on experience with school business functions including budgeting, payroll, and procurement.</t>
        </is>
      </c>
      <c r="E80" s="334" t="inlineStr">
        <is>
          <t>Examine how business management decisions affect equitable distribution of resources and support for diverse student programs.</t>
        </is>
      </c>
      <c r="F80" s="334" t="inlineStr">
        <is>
          <t>Model professional integrity and ethical stewardship by learning the standards for responsible, transparent school business management.</t>
        </is>
      </c>
      <c r="G80" s="334" t="inlineStr">
        <is>
          <t>Develop advocacy knowledge by understanding how school business management connects to district policy, public accountability, and resource equity.</t>
        </is>
      </c>
      <c r="H80" s="317" t="n"/>
      <c r="I80" s="317" t="n"/>
      <c r="J80" s="317" t="n"/>
      <c r="K80" s="317" t="n"/>
      <c r="L80" s="317" t="n"/>
      <c r="M80" s="317" t="n"/>
      <c r="N80" s="317" t="n"/>
      <c r="O80" s="317" t="n"/>
      <c r="P80" s="317" t="n"/>
      <c r="Q80" s="317" t="n"/>
      <c r="R80" s="317" t="n"/>
      <c r="S80" s="317" t="n"/>
      <c r="T80" s="317" t="n"/>
      <c r="U80" s="317" t="n"/>
      <c r="V80" s="317" t="n"/>
      <c r="W80" s="317" t="n"/>
      <c r="X80" s="317" t="n"/>
      <c r="Y80" s="317" t="n"/>
      <c r="Z80" s="333" t="n"/>
      <c r="AA80" s="317" t="n"/>
    </row>
    <row r="81" ht="15.75" customHeight="1" s="372">
      <c r="A81" s="326" t="inlineStr">
        <is>
          <t>Lead a seminar on technology and leadership theory</t>
        </is>
      </c>
      <c r="B81" s="335" t="inlineStr">
        <is>
          <t>Develop and lead a seminar connecting leadership theory (systems and change theory) to the practical challenges of technology integration in classrooms.</t>
        </is>
      </c>
      <c r="C81" s="335" t="inlineStr">
        <is>
          <t>Design an organizational leadership seminar that applies change theory to help school leaders navigate technology adoption and staff resistance.</t>
        </is>
      </c>
      <c r="D81" s="335" t="inlineStr">
        <is>
          <t>Apply operational leadership theories to technology implementation by leading a seminar on managing change, resources, and stakeholder engagement.</t>
        </is>
      </c>
      <c r="E81" s="335" t="inlineStr">
        <is>
          <t>Ensure the seminar addresses equity in technology integration, including how to make digital tools accessible and beneficial for all students.</t>
        </is>
      </c>
      <c r="F81" s="335" t="inlineStr">
        <is>
          <t>Model professional learning leadership by facilitating a rigorous, research-grounded seminar on applying theory to real-world technology challenges.</t>
        </is>
      </c>
      <c r="G81" s="335" t="inlineStr">
        <is>
          <t>Advocate for thoughtful, theory-informed technology leadership by connecting seminar outcomes to policy priorities and school improvement goals.</t>
        </is>
      </c>
      <c r="H81" s="317" t="n"/>
      <c r="I81" s="317" t="n"/>
      <c r="J81" s="317" t="n"/>
      <c r="K81" s="317" t="n"/>
      <c r="L81" s="317" t="n"/>
      <c r="M81" s="317" t="n"/>
      <c r="N81" s="317" t="n"/>
      <c r="O81" s="317" t="n"/>
      <c r="P81" s="317" t="n"/>
      <c r="Q81" s="317" t="n"/>
      <c r="R81" s="317" t="n"/>
      <c r="S81" s="317" t="n"/>
      <c r="T81" s="317" t="n"/>
      <c r="U81" s="317" t="n"/>
      <c r="V81" s="317" t="n"/>
      <c r="W81" s="317" t="n"/>
      <c r="X81" s="317" t="n"/>
      <c r="Y81" s="317" t="n"/>
      <c r="Z81" s="333" t="n"/>
      <c r="AA81" s="317" t="n"/>
    </row>
    <row r="82" ht="15.75" customHeight="1" s="372">
      <c r="A82" s="326" t="inlineStr">
        <is>
          <t>Observe a gifted education class and compare instruction</t>
        </is>
      </c>
      <c r="B82" s="334" t="inlineStr">
        <is>
          <t>Observe instructional delivery in a gifted classroom and reflect on similarities and differences to standard instruction for all learners.</t>
        </is>
      </c>
      <c r="C82" s="334" t="inlineStr">
        <is>
          <t>Analyze how the organization of gifted education programs aligns with—or diverges from—the school's broader instructional and equity goals.</t>
        </is>
      </c>
      <c r="D82" s="334" t="inlineStr">
        <is>
          <t>Examine how gifted education programming is managed operationally and how it fits within the school's overall approach to differentiated instruction.</t>
        </is>
      </c>
      <c r="E82" s="334" t="inlineStr">
        <is>
          <t>Observe gifted education through an equity lens, examining access patterns and whether programming serves diverse populations equitably.</t>
        </is>
      </c>
      <c r="F82" s="334" t="inlineStr">
        <is>
          <t>Reflect on the professional and ethical questions raised by gifted education, including access, identification processes, and instructional fairness.</t>
        </is>
      </c>
      <c r="G82" s="334" t="inlineStr">
        <is>
          <t>Advocate for equitable identification and access to gifted programs by using observational insights to inform policy conversations with school leaders.</t>
        </is>
      </c>
      <c r="H82" s="317" t="n"/>
      <c r="I82" s="317" t="n"/>
      <c r="J82" s="317" t="n"/>
      <c r="K82" s="317" t="n"/>
      <c r="L82" s="317" t="n"/>
      <c r="M82" s="317" t="n"/>
      <c r="N82" s="317" t="n"/>
      <c r="O82" s="317" t="n"/>
      <c r="P82" s="317" t="n"/>
      <c r="Q82" s="317" t="n"/>
      <c r="R82" s="317" t="n"/>
      <c r="S82" s="317" t="n"/>
      <c r="T82" s="317" t="n"/>
      <c r="U82" s="317" t="n"/>
      <c r="V82" s="317" t="n"/>
      <c r="W82" s="317" t="n"/>
      <c r="X82" s="317" t="n"/>
      <c r="Y82" s="317" t="n"/>
      <c r="Z82" s="333" t="n"/>
      <c r="AA82" s="317" t="n"/>
    </row>
    <row r="83" ht="15.75" customHeight="1" s="372">
      <c r="A83" s="326" t="inlineStr">
        <is>
          <t>Develop a communication plan for family-school relationships</t>
        </is>
      </c>
      <c r="B83" s="335" t="inlineStr">
        <is>
          <t>Build a communication plan that strengthens the family-school partnership by sharing information about instructional programs, student progress, and events.</t>
        </is>
      </c>
      <c r="C83" s="335" t="inlineStr">
        <is>
          <t>Design an organizational communication strategy using multiple platforms to advance the school's strategic goals for family and community engagement.</t>
        </is>
      </c>
      <c r="D83" s="335" t="inlineStr">
        <is>
          <t>Develop an operational public relations strategy that uses newsletters, social media, and local media to sustain transparent school-community communication.</t>
        </is>
      </c>
      <c r="E83" s="335" t="inlineStr">
        <is>
          <t>Create a communication plan explicitly designed to reach and engage diverse families, including those from non-English-speaking and underserved communities.</t>
        </is>
      </c>
      <c r="F83" s="335" t="inlineStr">
        <is>
          <t>Model professional, ethical communication by developing a transparent, inclusive plan that respects and values the voices of all family groups.</t>
        </is>
      </c>
      <c r="G83" s="335" t="inlineStr">
        <is>
          <t>Advocate for community trust and school visibility by developing communication strategies that highlight school successes and engage all stakeholders.</t>
        </is>
      </c>
      <c r="H83" s="317" t="n"/>
      <c r="I83" s="317" t="n"/>
      <c r="J83" s="317" t="n"/>
      <c r="K83" s="317" t="n"/>
      <c r="L83" s="317" t="n"/>
      <c r="M83" s="317" t="n"/>
      <c r="N83" s="317" t="n"/>
      <c r="O83" s="317" t="n"/>
      <c r="P83" s="317" t="n"/>
      <c r="Q83" s="317" t="n"/>
      <c r="R83" s="317" t="n"/>
      <c r="S83" s="317" t="n"/>
      <c r="T83" s="317" t="n"/>
      <c r="U83" s="317" t="n"/>
      <c r="V83" s="317" t="n"/>
      <c r="W83" s="317" t="n"/>
      <c r="X83" s="317" t="n"/>
      <c r="Y83" s="317" t="n"/>
      <c r="Z83" s="333" t="n"/>
      <c r="AA83" s="317" t="n"/>
    </row>
    <row r="84" ht="15.75" customHeight="1" s="372">
      <c r="A84" s="326" t="inlineStr">
        <is>
          <t>Conduct a data-driven program evaluation</t>
        </is>
      </c>
      <c r="B84" s="334" t="inlineStr">
        <is>
          <t>Lead a data-driven evaluation of an existing school program to assess its impact on student learning and recommend evidence-based improvements.</t>
        </is>
      </c>
      <c r="C84" s="334" t="inlineStr">
        <is>
          <t>Apply organizational program evaluation methods to assess a school initiative and inform strategic decisions about continuation or revision.</t>
        </is>
      </c>
      <c r="D84" s="334" t="inlineStr">
        <is>
          <t>Conduct an operational program evaluation using student outcome data to assess program efficiency, effectiveness, and resource alignment.</t>
        </is>
      </c>
      <c r="E84" s="334" t="inlineStr">
        <is>
          <t>Evaluate program outcomes through an equity lens, examining whether all student groups benefit fairly and identifying disparities in access or impact.</t>
        </is>
      </c>
      <c r="F84" s="334" t="inlineStr">
        <is>
          <t>Model professional rigor by conducting an honest, transparent, and evidence-based program evaluation that supports ethical decision-making.</t>
        </is>
      </c>
      <c r="G84" s="334" t="inlineStr">
        <is>
          <t>Advocate for evidence-based program policy by presenting data-driven evaluation findings to school and division leadership as a basis for change.</t>
        </is>
      </c>
      <c r="H84" s="317" t="n"/>
      <c r="I84" s="317" t="n"/>
      <c r="J84" s="317" t="n"/>
      <c r="K84" s="317" t="n"/>
      <c r="L84" s="317" t="n"/>
      <c r="M84" s="317" t="n"/>
      <c r="N84" s="317" t="n"/>
      <c r="O84" s="317" t="n"/>
      <c r="P84" s="317" t="n"/>
      <c r="Q84" s="317" t="n"/>
      <c r="R84" s="317" t="n"/>
      <c r="S84" s="317" t="n"/>
      <c r="T84" s="317" t="n"/>
      <c r="U84" s="317" t="n"/>
      <c r="V84" s="317" t="n"/>
      <c r="W84" s="317" t="n"/>
      <c r="X84" s="317" t="n"/>
      <c r="Y84" s="317" t="n"/>
      <c r="Z84" s="333" t="n"/>
      <c r="AA84" s="317" t="n"/>
    </row>
    <row r="85" ht="15.75" customHeight="1" s="372">
      <c r="A85" s="326" t="inlineStr">
        <is>
          <t>Observe and document a Section 504 meeting</t>
        </is>
      </c>
      <c r="B85" s="335" t="inlineStr">
        <is>
          <t>Develop knowledge of Section 504 legal requirements and their implications for instructional accommodations and student support planning.</t>
        </is>
      </c>
      <c r="C85" s="335" t="inlineStr">
        <is>
          <t>Analyze how 504 meeting processes function as an organizational compliance mechanism that protects student rights and aligns with legal obligations.</t>
        </is>
      </c>
      <c r="D85" s="335" t="inlineStr">
        <is>
          <t>Examine how operational management responsibilities related to Section 504 require careful documentation, legal awareness, and fair decision-making.</t>
        </is>
      </c>
      <c r="E85" s="335" t="inlineStr">
        <is>
          <t>Observe a 504 meeting through an equity lens, focusing on how accommodations protect access and opportunity for students with disabilities.</t>
        </is>
      </c>
      <c r="F85" s="335" t="inlineStr">
        <is>
          <t>Reflect on the moral and legal dimensions of 504 compliance and the professional responsibility to ensure fairness in accommodation decisions.</t>
        </is>
      </c>
      <c r="G85" s="335" t="inlineStr">
        <is>
          <t>Develop advocacy knowledge by understanding how Section 504 policy protects students with disabilities and how leaders can champion full compliance.</t>
        </is>
      </c>
      <c r="H85" s="317" t="n"/>
      <c r="I85" s="317" t="n"/>
      <c r="J85" s="317" t="n"/>
      <c r="K85" s="317" t="n"/>
      <c r="L85" s="317" t="n"/>
      <c r="M85" s="317" t="n"/>
      <c r="N85" s="317" t="n"/>
      <c r="O85" s="317" t="n"/>
      <c r="P85" s="317" t="n"/>
      <c r="Q85" s="317" t="n"/>
      <c r="R85" s="317" t="n"/>
      <c r="S85" s="317" t="n"/>
      <c r="T85" s="317" t="n"/>
      <c r="U85" s="317" t="n"/>
      <c r="V85" s="317" t="n"/>
      <c r="W85" s="317" t="n"/>
      <c r="X85" s="317" t="n"/>
      <c r="Y85" s="317" t="n"/>
      <c r="Z85" s="333" t="n"/>
      <c r="AA85" s="317" t="n"/>
    </row>
    <row r="86" ht="15.75" customHeight="1" s="372">
      <c r="A86" s="326" t="inlineStr">
        <is>
          <t>Participate in a collaborative evaluation of a school program</t>
        </is>
      </c>
      <c r="B86" s="334" t="inlineStr">
        <is>
          <t>Collaborate with administrators and teacher teams to evaluate an instructional program using multiple data sources to assess impact on student learning.</t>
        </is>
      </c>
      <c r="C86" s="334" t="inlineStr">
        <is>
          <t>Engage in a collaborative organizational program evaluation that builds shared ownership of data and supports evidence-based strategic planning.</t>
        </is>
      </c>
      <c r="D86" s="334" t="inlineStr">
        <is>
          <t>Apply operational management skills to a collaborative program evaluation process that supports school-wide data-driven decision-making.</t>
        </is>
      </c>
      <c r="E86" s="334" t="inlineStr">
        <is>
          <t>Embed equity analysis in the collaborative evaluation by examining whether the program benefits all student subgroups, particularly those historically underserved.</t>
        </is>
      </c>
      <c r="F86" s="334" t="inlineStr">
        <is>
          <t>Model professional collaboration and ethical accountability by engaging honestly and constructively in a team-based program evaluation process.</t>
        </is>
      </c>
      <c r="G86" s="334" t="inlineStr">
        <is>
          <t>Advocate for systemic improvement by using collaborative evaluation findings to make evidence-based recommendations to school and division leadership.</t>
        </is>
      </c>
      <c r="H86" s="317" t="n"/>
      <c r="I86" s="317" t="n"/>
      <c r="J86" s="317" t="n"/>
      <c r="K86" s="317" t="n"/>
      <c r="L86" s="317" t="n"/>
      <c r="M86" s="317" t="n"/>
      <c r="N86" s="317" t="n"/>
      <c r="O86" s="317" t="n"/>
      <c r="P86" s="317" t="n"/>
      <c r="Q86" s="317" t="n"/>
      <c r="R86" s="317" t="n"/>
      <c r="S86" s="317" t="n"/>
      <c r="T86" s="317" t="n"/>
      <c r="U86" s="317" t="n"/>
      <c r="V86" s="317" t="n"/>
      <c r="W86" s="317" t="n"/>
      <c r="X86" s="317" t="n"/>
      <c r="Y86" s="317" t="n"/>
      <c r="Z86" s="333" t="n"/>
      <c r="AA86" s="317" t="n"/>
    </row>
    <row r="87" ht="15.75" customHeight="1" s="372">
      <c r="A87" s="326" t="inlineStr">
        <is>
          <t>Facilitate a mock interview panel for instructional staff</t>
        </is>
      </c>
      <c r="B87" s="335" t="inlineStr">
        <is>
          <t>Lead a mock interview process for prospective instructional staff that assesses pedagogical knowledge, cultural competence, and instructional fit.</t>
        </is>
      </c>
      <c r="C87" s="335" t="inlineStr">
        <is>
          <t>Develop organizational human resources skills by designing and facilitating a structured interview process for identifying instructional talent.</t>
        </is>
      </c>
      <c r="D87" s="335" t="inlineStr">
        <is>
          <t>Apply operational human resources management skills by organizing and leading a structured, equitable mock interview process.</t>
        </is>
      </c>
      <c r="E87" s="335" t="inlineStr">
        <is>
          <t>Design the mock interview process to screen for candidates' commitment to culturally responsive teaching and equity for all students.</t>
        </is>
      </c>
      <c r="F87" s="335" t="inlineStr">
        <is>
          <t>Model professional integrity and ethical hiring practice by facilitating a mock interview process that is fair, structured, and bias-aware.</t>
        </is>
      </c>
      <c r="G87" s="335" t="inlineStr">
        <is>
          <t>Advocate for equitable hiring practices by designing interview processes that prioritize cultural competency and alignment with school equity goals.</t>
        </is>
      </c>
      <c r="H87" s="317" t="n"/>
      <c r="I87" s="317" t="n"/>
      <c r="J87" s="317" t="n"/>
      <c r="K87" s="317" t="n"/>
      <c r="L87" s="317" t="n"/>
      <c r="M87" s="317" t="n"/>
      <c r="N87" s="317" t="n"/>
      <c r="O87" s="317" t="n"/>
      <c r="P87" s="317" t="n"/>
      <c r="Q87" s="317" t="n"/>
      <c r="R87" s="317" t="n"/>
      <c r="S87" s="317" t="n"/>
      <c r="T87" s="317" t="n"/>
      <c r="U87" s="317" t="n"/>
      <c r="V87" s="317" t="n"/>
      <c r="W87" s="317" t="n"/>
      <c r="X87" s="317" t="n"/>
      <c r="Y87" s="317" t="n"/>
      <c r="Z87" s="333" t="n"/>
      <c r="AA87" s="317" t="n"/>
    </row>
    <row r="88" ht="15.75" customHeight="1" s="372">
      <c r="A88" s="326" t="inlineStr">
        <is>
          <t>Review school mission and vision with stakeholder group</t>
        </is>
      </c>
      <c r="B88" s="334" t="inlineStr">
        <is>
          <t>Facilitate a stakeholder review of the school's mission and vision to ensure alignment with current instructional priorities and student needs.</t>
        </is>
      </c>
      <c r="C88" s="334" t="inlineStr">
        <is>
          <t>Lead an organizational process to review the school's mission and vision with key stakeholders to ensure strategic clarity and shared commitment.</t>
        </is>
      </c>
      <c r="D88" s="334" t="inlineStr">
        <is>
          <t>Support operational alignment by facilitating a mission and vision review that connects school management practices to shared organizational values.</t>
        </is>
      </c>
      <c r="E88" s="334" t="inlineStr">
        <is>
          <t>Engage diverse family, staff, and community stakeholders in the mission review to ensure equity is embedded in the school's foundational statements.</t>
        </is>
      </c>
      <c r="F88" s="334" t="inlineStr">
        <is>
          <t>Model ethical professional leadership by facilitating an inclusive, honest, and reflective review of the school's core values and commitments.</t>
        </is>
      </c>
      <c r="G88" s="334" t="inlineStr">
        <is>
          <t>Advocate for an equity-driven mission and vision by ensuring the stakeholder review elevates underrepresented voices and priorities.</t>
        </is>
      </c>
      <c r="H88" s="317" t="n"/>
      <c r="I88" s="317" t="n"/>
      <c r="J88" s="317" t="n"/>
      <c r="K88" s="317" t="n"/>
      <c r="L88" s="317" t="n"/>
      <c r="M88" s="317" t="n"/>
      <c r="N88" s="317" t="n"/>
      <c r="O88" s="317" t="n"/>
      <c r="P88" s="317" t="n"/>
      <c r="Q88" s="317" t="n"/>
      <c r="R88" s="317" t="n"/>
      <c r="S88" s="317" t="n"/>
      <c r="T88" s="317" t="n"/>
      <c r="U88" s="317" t="n"/>
      <c r="V88" s="317" t="n"/>
      <c r="W88" s="317" t="n"/>
      <c r="X88" s="317" t="n"/>
      <c r="Y88" s="317" t="n"/>
      <c r="Z88" s="333" t="n"/>
      <c r="AA88" s="317" t="n"/>
    </row>
    <row r="89" ht="15.75" customHeight="1" s="372">
      <c r="A89" s="326" t="inlineStr">
        <is>
          <t>Collaborative curriculum review with technology integration focus</t>
        </is>
      </c>
      <c r="B89" s="335" t="inlineStr">
        <is>
          <t>Lead a curriculum review focused on identifying specific opportunities to integrate technology tools that enhance instruction and student understanding.</t>
        </is>
      </c>
      <c r="C89" s="335" t="inlineStr">
        <is>
          <t>Facilitate a collaborative organizational curriculum review that aligns technology integration with school-wide instructional and improvement goals.</t>
        </is>
      </c>
      <c r="D89" s="335" t="inlineStr">
        <is>
          <t>Support the operational management of curriculum by conducting a structured review that identifies where technology can improve program effectiveness.</t>
        </is>
      </c>
      <c r="E89" s="335" t="inlineStr">
        <is>
          <t>Conduct the curriculum review through an equity lens to ensure technology integration strategies support diverse learners and reduce access barriers.</t>
        </is>
      </c>
      <c r="F89" s="335" t="inlineStr">
        <is>
          <t>Model professional collaboration and ethical curriculum leadership by facilitating an inclusive review process that values all teacher perspectives.</t>
        </is>
      </c>
      <c r="G89" s="335" t="inlineStr">
        <is>
          <t>Advocate for technology-enhanced curriculum by connecting curriculum review findings to policy priorities and school improvement frameworks.</t>
        </is>
      </c>
      <c r="H89" s="317" t="n"/>
      <c r="I89" s="317" t="n"/>
      <c r="J89" s="317" t="n"/>
      <c r="K89" s="317" t="n"/>
      <c r="L89" s="317" t="n"/>
      <c r="M89" s="317" t="n"/>
      <c r="N89" s="317" t="n"/>
      <c r="O89" s="317" t="n"/>
      <c r="P89" s="317" t="n"/>
      <c r="Q89" s="317" t="n"/>
      <c r="R89" s="317" t="n"/>
      <c r="S89" s="317" t="n"/>
      <c r="T89" s="317" t="n"/>
      <c r="U89" s="317" t="n"/>
      <c r="V89" s="317" t="n"/>
      <c r="W89" s="317" t="n"/>
      <c r="X89" s="317" t="n"/>
      <c r="Y89" s="317" t="n"/>
      <c r="Z89" s="333" t="n"/>
      <c r="AA89" s="317" t="n"/>
    </row>
    <row r="90" ht="15.75" customHeight="1" s="372">
      <c r="A90" s="326" t="inlineStr">
        <is>
          <t>Shadow a district EL coordinator to understand support systems</t>
        </is>
      </c>
      <c r="B90" s="334" t="inlineStr">
        <is>
          <t>Observe how the district EL coordinator supports English Learner achievement through instructional coaching, resource deployment, and data use.</t>
        </is>
      </c>
      <c r="C90" s="334" t="inlineStr">
        <is>
          <t>Analyze how district-level EL coordination functions as an organizational support system that aligns programs with strategic equity and compliance goals.</t>
        </is>
      </c>
      <c r="D90" s="334" t="inlineStr">
        <is>
          <t>Understand the operational requirements of EL program management at the district level, including compliance, data tracking, and resource allocation.</t>
        </is>
      </c>
      <c r="E90" s="334" t="inlineStr">
        <is>
          <t>Examine how the EL coordinator navigates systemic equity challenges to ensure English Learners have full access to language and academic support.</t>
        </is>
      </c>
      <c r="F90" s="334" t="inlineStr">
        <is>
          <t>Reflect on the professional and ethical responsibilities of school leaders to advocate for and properly serve the diverse needs of EL students.</t>
        </is>
      </c>
      <c r="G90" s="334" t="inlineStr">
        <is>
          <t>Develop advocacy knowledge by observing how EL policy is implemented at the district level and how leaders can influence program quality and access.</t>
        </is>
      </c>
      <c r="H90" s="317" t="n"/>
      <c r="I90" s="317" t="n"/>
      <c r="J90" s="317" t="n"/>
      <c r="K90" s="317" t="n"/>
      <c r="L90" s="317" t="n"/>
      <c r="M90" s="317" t="n"/>
      <c r="N90" s="317" t="n"/>
      <c r="O90" s="317" t="n"/>
      <c r="P90" s="317" t="n"/>
      <c r="Q90" s="317" t="n"/>
      <c r="R90" s="317" t="n"/>
      <c r="S90" s="317" t="n"/>
      <c r="T90" s="317" t="n"/>
      <c r="U90" s="317" t="n"/>
      <c r="V90" s="317" t="n"/>
      <c r="W90" s="317" t="n"/>
      <c r="X90" s="317" t="n"/>
      <c r="Y90" s="317" t="n"/>
      <c r="Z90" s="333" t="n"/>
      <c r="AA90" s="317" t="n"/>
    </row>
    <row r="91" ht="15.75" customHeight="1" s="372">
      <c r="A91" s="326" t="inlineStr">
        <is>
          <t>Develop public relations and social media strategies</t>
        </is>
      </c>
      <c r="B91" s="335" t="inlineStr">
        <is>
          <t>Create a public relations strategy that communicates school instructional programs and student achievements to families and the broader community.</t>
        </is>
      </c>
      <c r="C91" s="335" t="inlineStr">
        <is>
          <t>Design an organizational public engagement strategy using social media and communications to advance the school's strategic visibility and trust.</t>
        </is>
      </c>
      <c r="D91" s="335" t="inlineStr">
        <is>
          <t>Develop an operational public relations plan with clear communication protocols, platform selection, and metrics for tracking community engagement.</t>
        </is>
      </c>
      <c r="E91" s="335" t="inlineStr">
        <is>
          <t>Build a public relations strategy that ensures all families—including those from diverse and underserved backgrounds—are reached and included.</t>
        </is>
      </c>
      <c r="F91" s="335" t="inlineStr">
        <is>
          <t>Model ethical, transparent professional communication by developing a public relations strategy grounded in honesty and inclusive outreach practices.</t>
        </is>
      </c>
      <c r="G91" s="335" t="inlineStr">
        <is>
          <t>Advocate for school visibility and community trust by creating a strategic public relations plan that highlights the school's commitment to equity and excellence.</t>
        </is>
      </c>
      <c r="H91" s="317" t="n"/>
      <c r="I91" s="317" t="n"/>
      <c r="J91" s="317" t="n"/>
      <c r="K91" s="317" t="n"/>
      <c r="L91" s="317" t="n"/>
      <c r="M91" s="317" t="n"/>
      <c r="N91" s="317" t="n"/>
      <c r="O91" s="317" t="n"/>
      <c r="P91" s="317" t="n"/>
      <c r="Q91" s="317" t="n"/>
      <c r="R91" s="317" t="n"/>
      <c r="S91" s="317" t="n"/>
      <c r="T91" s="317" t="n"/>
      <c r="U91" s="317" t="n"/>
      <c r="V91" s="317" t="n"/>
      <c r="W91" s="317" t="n"/>
      <c r="X91" s="317" t="n"/>
      <c r="Y91" s="317" t="n"/>
      <c r="Z91" s="333" t="n"/>
      <c r="AA91" s="317" t="n"/>
    </row>
    <row r="92" ht="15.75" customHeight="1" s="372">
      <c r="A92" s="326" t="inlineStr">
        <is>
          <t>Assist in creating a professional development calendar</t>
        </is>
      </c>
      <c r="B92" s="334" t="inlineStr">
        <is>
          <t>Develop a professional development calendar aligned with instructional needs, teacher performance standards, and school improvement priorities.</t>
        </is>
      </c>
      <c r="C92" s="334" t="inlineStr">
        <is>
          <t>Build an organizational professional development schedule that reflects strategic learning goals and is aligned with the school's mission.</t>
        </is>
      </c>
      <c r="D92" s="334" t="inlineStr">
        <is>
          <t>Coordinate the operational design of a PD calendar that effectively manages time, resources, and staff learning needs throughout the year.</t>
        </is>
      </c>
      <c r="E92" s="334" t="inlineStr">
        <is>
          <t>Ensure the PD calendar includes sessions that address equity, culturally responsive teaching, and the needs of diverse student populations.</t>
        </is>
      </c>
      <c r="F92" s="334" t="inlineStr">
        <is>
          <t>Model professional responsibility by contributing to a thoughtful, inclusive PD calendar that supports continuous learning for all staff.</t>
        </is>
      </c>
      <c r="G92" s="334" t="inlineStr">
        <is>
          <t>Advocate for high-quality, policy-aligned professional development by ensuring the calendar reflects research-based practices and division priorities.</t>
        </is>
      </c>
      <c r="H92" s="317" t="n"/>
      <c r="I92" s="317" t="n"/>
      <c r="J92" s="317" t="n"/>
      <c r="K92" s="317" t="n"/>
      <c r="L92" s="317" t="n"/>
      <c r="M92" s="317" t="n"/>
      <c r="N92" s="317" t="n"/>
      <c r="O92" s="317" t="n"/>
      <c r="P92" s="317" t="n"/>
      <c r="Q92" s="317" t="n"/>
      <c r="R92" s="317" t="n"/>
      <c r="S92" s="317" t="n"/>
      <c r="T92" s="317" t="n"/>
      <c r="U92" s="317" t="n"/>
      <c r="V92" s="317" t="n"/>
      <c r="W92" s="317" t="n"/>
      <c r="X92" s="317" t="n"/>
      <c r="Y92" s="317" t="n"/>
      <c r="Z92" s="333" t="n"/>
      <c r="AA92" s="317" t="n"/>
    </row>
    <row r="93" ht="15.75" customHeight="1" s="372">
      <c r="A93" s="326" t="inlineStr">
        <is>
          <t>Develop a basic professional development plan using school data</t>
        </is>
      </c>
      <c r="B93" s="335" t="inlineStr">
        <is>
          <t>Analyze school data to identify instructional gaps and develop a targeted professional development plan aligned with teacher performance standards.</t>
        </is>
      </c>
      <c r="C93" s="335" t="inlineStr">
        <is>
          <t>Use school-level data to build an organizational professional development plan that supports strategic improvement and aligns with division goals.</t>
        </is>
      </c>
      <c r="D93" s="335" t="inlineStr">
        <is>
          <t>Apply operational management skills to design a professional development plan that is data-informed, resource-efficient, and systematically implemented.</t>
        </is>
      </c>
      <c r="E93" s="335" t="inlineStr">
        <is>
          <t>Develop a PD plan that is responsive to the diverse instructional needs of all students, with targeted supports for equity-focused improvement.</t>
        </is>
      </c>
      <c r="F93" s="335" t="inlineStr">
        <is>
          <t>Model professional accountability and ethical data use by developing a PD plan grounded in honest analysis of teacher and student performance data.</t>
        </is>
      </c>
      <c r="G93" s="335" t="inlineStr">
        <is>
          <t>Advocate for evidence-based professional development by using school data to justify PD priorities and connect them to state and division improvement goals.</t>
        </is>
      </c>
      <c r="H93" s="317" t="n"/>
      <c r="I93" s="317" t="n"/>
      <c r="J93" s="317" t="n"/>
      <c r="K93" s="317" t="n"/>
      <c r="L93" s="317" t="n"/>
      <c r="M93" s="317" t="n"/>
      <c r="N93" s="317" t="n"/>
      <c r="O93" s="317" t="n"/>
      <c r="P93" s="317" t="n"/>
      <c r="Q93" s="317" t="n"/>
      <c r="R93" s="317" t="n"/>
      <c r="S93" s="317" t="n"/>
      <c r="T93" s="317" t="n"/>
      <c r="U93" s="317" t="n"/>
      <c r="V93" s="317" t="n"/>
      <c r="W93" s="317" t="n"/>
      <c r="X93" s="317" t="n"/>
      <c r="Y93" s="317" t="n"/>
      <c r="Z93" s="333" t="n"/>
      <c r="AA93" s="317" t="n"/>
    </row>
    <row r="94" ht="15.75" customHeight="1" s="372">
      <c r="A94" s="326" t="inlineStr">
        <is>
          <t>Work with curriculum coordinators on curriculum alignment</t>
        </is>
      </c>
      <c r="B94" s="334" t="inlineStr">
        <is>
          <t>Collaborate with curriculum coordinators to ensure instructional materials and assessment practices are aligned with standards and student learning goals.</t>
        </is>
      </c>
      <c r="C94" s="334" t="inlineStr">
        <is>
          <t>Develop organizational curriculum leadership skills by participating in curriculum alignment and refinement processes led by instructional coordinators.</t>
        </is>
      </c>
      <c r="D94" s="334" t="inlineStr">
        <is>
          <t>Support the operational function of curriculum alignment by participating in the review, documentation, and refinement of instructional programs.</t>
        </is>
      </c>
      <c r="E94" s="334" t="inlineStr">
        <is>
          <t>Examine curriculum alignment processes for equity implications, ensuring all students have access to rigorous, standards-aligned instructional experiences.</t>
        </is>
      </c>
      <c r="F94" s="334" t="inlineStr">
        <is>
          <t>Model professional collaboration and ethical engagement by working responsibly with curriculum coordinators to improve instructional quality.</t>
        </is>
      </c>
      <c r="G94" s="334" t="inlineStr">
        <is>
          <t>Advocate for standards-aligned, equitable curriculum by participating in refinement processes that connect instructional materials to student success outcomes.</t>
        </is>
      </c>
      <c r="H94" s="317" t="n"/>
      <c r="I94" s="317" t="n"/>
      <c r="J94" s="317" t="n"/>
      <c r="K94" s="317" t="n"/>
      <c r="L94" s="317" t="n"/>
      <c r="M94" s="317" t="n"/>
      <c r="N94" s="317" t="n"/>
      <c r="O94" s="317" t="n"/>
      <c r="P94" s="317" t="n"/>
      <c r="Q94" s="317" t="n"/>
      <c r="R94" s="317" t="n"/>
      <c r="S94" s="317" t="n"/>
      <c r="T94" s="317" t="n"/>
      <c r="U94" s="317" t="n"/>
      <c r="V94" s="317" t="n"/>
      <c r="W94" s="317" t="n"/>
      <c r="X94" s="317" t="n"/>
      <c r="Y94" s="317" t="n"/>
      <c r="Z94" s="333" t="n"/>
      <c r="AA94" s="317" t="n"/>
    </row>
    <row r="95" ht="15.75" customHeight="1" s="372">
      <c r="A95" s="326" t="inlineStr">
        <is>
          <t>Facilitate a school-wide survey on improvement priorities</t>
        </is>
      </c>
      <c r="B95" s="335" t="inlineStr">
        <is>
          <t>Design and administer a school-wide survey to gather staff and family input on instructional improvement priorities and school climate concerns.</t>
        </is>
      </c>
      <c r="C95" s="335" t="inlineStr">
        <is>
          <t>Facilitate an organizational survey process that gathers broad stakeholder input to inform strategic planning and school improvement goal-setting.</t>
        </is>
      </c>
      <c r="D95" s="335" t="inlineStr">
        <is>
          <t>Use a school-wide survey as an operational tool for gathering management-relevant data on improvement priorities across all school stakeholders.</t>
        </is>
      </c>
      <c r="E95" s="335" t="inlineStr">
        <is>
          <t>Design the survey to ensure all voices are represented, including those from diverse, marginalized, and underrepresented school community members.</t>
        </is>
      </c>
      <c r="F95" s="335" t="inlineStr">
        <is>
          <t>Model ethical data collection by designing a transparent, confidential survey process that builds stakeholder trust and reflects professional integrity.</t>
        </is>
      </c>
      <c r="G95" s="335" t="inlineStr">
        <is>
          <t>Advocate for community-informed improvement by using survey data to elevate stakeholder priorities in school and division-level policy discussions.</t>
        </is>
      </c>
      <c r="H95" s="317" t="n"/>
      <c r="I95" s="317" t="n"/>
      <c r="J95" s="317" t="n"/>
      <c r="K95" s="317" t="n"/>
      <c r="L95" s="317" t="n"/>
      <c r="M95" s="317" t="n"/>
      <c r="N95" s="317" t="n"/>
      <c r="O95" s="317" t="n"/>
      <c r="P95" s="317" t="n"/>
      <c r="Q95" s="317" t="n"/>
      <c r="R95" s="317" t="n"/>
      <c r="S95" s="317" t="n"/>
      <c r="T95" s="317" t="n"/>
      <c r="U95" s="317" t="n"/>
      <c r="V95" s="317" t="n"/>
      <c r="W95" s="317" t="n"/>
      <c r="X95" s="317" t="n"/>
      <c r="Y95" s="317" t="n"/>
      <c r="Z95" s="333" t="n"/>
      <c r="AA95" s="317" t="n"/>
    </row>
    <row r="96" ht="15.75" customHeight="1" s="372">
      <c r="A96" s="326" t="inlineStr">
        <is>
          <t>Work with special education departments on IEP compliance</t>
        </is>
      </c>
      <c r="B96" s="334" t="inlineStr">
        <is>
          <t>Develop practical knowledge of IEP legal requirements and their implications for instructional planning and student-centered support.</t>
        </is>
      </c>
      <c r="C96" s="334" t="inlineStr">
        <is>
          <t>Understand how special education compliance functions as an organizational responsibility that requires coordination, documentation, and strategic planning.</t>
        </is>
      </c>
      <c r="D96" s="334" t="inlineStr">
        <is>
          <t>Build operational knowledge of IEP processes by working with special education teams on compliance monitoring, documentation, and legal requirements.</t>
        </is>
      </c>
      <c r="E96" s="334" t="inlineStr">
        <is>
          <t>Engage with IEP compliance as an equity commitment, ensuring students with disabilities receive the individualized, intensive support they are entitled to.</t>
        </is>
      </c>
      <c r="F96" s="334" t="inlineStr">
        <is>
          <t>Model professional and ethical responsibility by learning how to uphold legal obligations to students with disabilities with care and integrity.</t>
        </is>
      </c>
      <c r="G96" s="334" t="inlineStr">
        <is>
          <t>Advocate for students with disabilities by developing a thorough understanding of the policies that protect their educational rights and access.</t>
        </is>
      </c>
      <c r="H96" s="317" t="n"/>
      <c r="I96" s="317" t="n"/>
      <c r="J96" s="317" t="n"/>
      <c r="K96" s="317" t="n"/>
      <c r="L96" s="317" t="n"/>
      <c r="M96" s="317" t="n"/>
      <c r="N96" s="317" t="n"/>
      <c r="O96" s="317" t="n"/>
      <c r="P96" s="317" t="n"/>
      <c r="Q96" s="317" t="n"/>
      <c r="R96" s="317" t="n"/>
      <c r="S96" s="317" t="n"/>
      <c r="T96" s="317" t="n"/>
      <c r="U96" s="317" t="n"/>
      <c r="V96" s="317" t="n"/>
      <c r="W96" s="317" t="n"/>
      <c r="X96" s="317" t="n"/>
      <c r="Y96" s="317" t="n"/>
      <c r="Z96" s="333" t="n"/>
      <c r="AA96" s="317" t="n"/>
    </row>
    <row r="97" ht="15.75" customHeight="1" s="372">
      <c r="A97" s="326" t="inlineStr">
        <is>
          <t>Collaborate on a school safety plan update</t>
        </is>
      </c>
      <c r="B97" s="335" t="inlineStr">
        <is>
          <t>Examine how the school safety plan addresses student learning environments and ensures all students—especially vulnerable groups—can learn safely.</t>
        </is>
      </c>
      <c r="C97" s="335" t="inlineStr">
        <is>
          <t>Participate in an organizational safety planning process that aligns emergency management with strategic school improvement and community trust-building.</t>
        </is>
      </c>
      <c r="D97" s="335" t="inlineStr">
        <is>
          <t>Develop operational safety management skills by working with administrators to review, update, and improve the school's safety plan and protocols.</t>
        </is>
      </c>
      <c r="E97" s="335" t="inlineStr">
        <is>
          <t>Review the safety plan through an equity lens, ensuring that protocols protect and account for the needs of all students, including those most vulnerable.</t>
        </is>
      </c>
      <c r="F97" s="335" t="inlineStr">
        <is>
          <t>Model professional and ethical commitment to student well-being by participating responsibly in the development of a comprehensive school safety plan.</t>
        </is>
      </c>
      <c r="G97" s="335" t="inlineStr">
        <is>
          <t>Develop advocacy knowledge by understanding how school safety planning connects to local, state, and federal policy requirements and funding priorities.</t>
        </is>
      </c>
      <c r="H97" s="317" t="n"/>
      <c r="I97" s="317" t="n"/>
      <c r="J97" s="317" t="n"/>
      <c r="K97" s="317" t="n"/>
      <c r="L97" s="317" t="n"/>
      <c r="M97" s="317" t="n"/>
      <c r="N97" s="317" t="n"/>
      <c r="O97" s="317" t="n"/>
      <c r="P97" s="317" t="n"/>
      <c r="Q97" s="317" t="n"/>
      <c r="R97" s="317" t="n"/>
      <c r="S97" s="317" t="n"/>
      <c r="T97" s="317" t="n"/>
      <c r="U97" s="317" t="n"/>
      <c r="V97" s="317" t="n"/>
      <c r="W97" s="317" t="n"/>
      <c r="X97" s="317" t="n"/>
      <c r="Y97" s="317" t="n"/>
      <c r="Z97" s="333" t="n"/>
      <c r="AA97" s="317" t="n"/>
    </row>
    <row r="98" ht="15.75" customHeight="1" s="372">
      <c r="A98" s="326" t="inlineStr">
        <is>
          <t>Participate in admin meetings on school-wide problem-solving</t>
        </is>
      </c>
      <c r="B98" s="334" t="inlineStr">
        <is>
          <t>Observe and contribute to administrative problem-solving sessions that address school-wide instructional challenges and student support needs.</t>
        </is>
      </c>
      <c r="C98" s="334" t="inlineStr">
        <is>
          <t>Participate in organizational problem-solving meetings where administrators navigate complex challenges related to school management and improvement.</t>
        </is>
      </c>
      <c r="D98" s="334" t="inlineStr">
        <is>
          <t>Develop operational management skills by observing and contributing to administrative problem-solving on issues including scheduling, resources, and policy.</t>
        </is>
      </c>
      <c r="E98" s="334" t="inlineStr">
        <is>
          <t>Observe how equity considerations are integrated—or overlooked—in administrative problem-solving and advocate for equitable approaches to school decisions.</t>
        </is>
      </c>
      <c r="F98" s="334" t="inlineStr">
        <is>
          <t>Model professional engagement by contributing constructively to administrative problem-solving with integrity, honesty, and a commitment to student success.</t>
        </is>
      </c>
      <c r="G98" s="334" t="inlineStr">
        <is>
          <t>Analyze how school-level problem-solving connects to district and state policy and how administrative decisions can serve as a form of systemic advocacy.</t>
        </is>
      </c>
      <c r="H98" s="317" t="n"/>
      <c r="I98" s="317" t="n"/>
      <c r="J98" s="317" t="n"/>
      <c r="K98" s="317" t="n"/>
      <c r="L98" s="317" t="n"/>
      <c r="M98" s="317" t="n"/>
      <c r="N98" s="317" t="n"/>
      <c r="O98" s="317" t="n"/>
      <c r="P98" s="317" t="n"/>
      <c r="Q98" s="317" t="n"/>
      <c r="R98" s="317" t="n"/>
      <c r="S98" s="317" t="n"/>
      <c r="T98" s="317" t="n"/>
      <c r="U98" s="317" t="n"/>
      <c r="V98" s="317" t="n"/>
      <c r="W98" s="317" t="n"/>
      <c r="X98" s="317" t="n"/>
      <c r="Y98" s="317" t="n"/>
      <c r="Z98" s="333" t="n"/>
      <c r="AA98" s="317" t="n"/>
    </row>
    <row r="99" ht="15.75" customHeight="1" s="372">
      <c r="A99" s="326" t="inlineStr">
        <is>
          <t>Collaborate with teachers on data for instructional decisions</t>
        </is>
      </c>
      <c r="B99" s="335" t="inlineStr">
        <is>
          <t>Work with teachers to systematically review student data and use evidence to drive instructional planning and curricular decision-making.</t>
        </is>
      </c>
      <c r="C99" s="335" t="inlineStr">
        <is>
          <t>Build organizational capacity for data-informed instructional leadership by collaborating with teachers on structured data review processes.</t>
        </is>
      </c>
      <c r="D99" s="335" t="inlineStr">
        <is>
          <t>Apply operational data management and analysis skills by working with teachers to use student learning data for program and instructional decisions.</t>
        </is>
      </c>
      <c r="E99" s="335" t="inlineStr">
        <is>
          <t>Ensure data review with teachers includes equity analysis to identify instructional gaps and develop responsive strategies for underserved students.</t>
        </is>
      </c>
      <c r="F99" s="335" t="inlineStr">
        <is>
          <t>Model professional collaboration and ethical data use by engaging with teachers in honest, growth-oriented conversations about student performance.</t>
        </is>
      </c>
      <c r="G99" s="335" t="inlineStr">
        <is>
          <t>Advocate for evidence-based instructional decision-making by demonstrating how collaborative data use drives improvement and informs school policy.</t>
        </is>
      </c>
      <c r="H99" s="317" t="n"/>
      <c r="I99" s="317" t="n"/>
      <c r="J99" s="317" t="n"/>
      <c r="K99" s="317" t="n"/>
      <c r="L99" s="317" t="n"/>
      <c r="M99" s="317" t="n"/>
      <c r="N99" s="317" t="n"/>
      <c r="O99" s="317" t="n"/>
      <c r="P99" s="317" t="n"/>
      <c r="Q99" s="317" t="n"/>
      <c r="R99" s="317" t="n"/>
      <c r="S99" s="317" t="n"/>
      <c r="T99" s="317" t="n"/>
      <c r="U99" s="317" t="n"/>
      <c r="V99" s="317" t="n"/>
      <c r="W99" s="317" t="n"/>
      <c r="X99" s="317" t="n"/>
      <c r="Y99" s="317" t="n"/>
      <c r="Z99" s="333" t="n"/>
      <c r="AA99" s="317" t="n"/>
    </row>
    <row r="100" ht="15.75" customHeight="1" s="372">
      <c r="A100" s="326" t="inlineStr">
        <is>
          <t>Collect data on attendance and tardiness for interventions</t>
        </is>
      </c>
      <c r="B100" s="334" t="inlineStr">
        <is>
          <t>Use attendance and tardiness data to identify students in need of targeted instructional support and develop appropriate intervention strategies.</t>
        </is>
      </c>
      <c r="C100" s="334" t="inlineStr">
        <is>
          <t>Apply attendance data analysis as an organizational tool for identifying systemic challenges and developing strategic student support plans.</t>
        </is>
      </c>
      <c r="D100" s="334" t="inlineStr">
        <is>
          <t>Build operational management skills by collecting and analyzing attendance data to identify trends and develop data-driven intervention plans.</t>
        </is>
      </c>
      <c r="E100" s="334" t="inlineStr">
        <is>
          <t>Examine attendance data through an equity lens to identify whether chronic absence disproportionately affects specific student populations.</t>
        </is>
      </c>
      <c r="F100" s="334" t="inlineStr">
        <is>
          <t>Model professional accountability and ethical data use by collecting and analyzing student attendance data with care, accuracy, and confidentiality.</t>
        </is>
      </c>
      <c r="G100" s="334" t="inlineStr">
        <is>
          <t>Advocate for systemic attendance interventions by using data to demonstrate the need for targeted support programs and policy investments.</t>
        </is>
      </c>
      <c r="H100" s="317" t="n"/>
      <c r="I100" s="317" t="n"/>
      <c r="J100" s="317" t="n"/>
      <c r="K100" s="317" t="n"/>
      <c r="L100" s="317" t="n"/>
      <c r="M100" s="317" t="n"/>
      <c r="N100" s="317" t="n"/>
      <c r="O100" s="317" t="n"/>
      <c r="P100" s="317" t="n"/>
      <c r="Q100" s="317" t="n"/>
      <c r="R100" s="317" t="n"/>
      <c r="S100" s="317" t="n"/>
      <c r="T100" s="317" t="n"/>
      <c r="U100" s="317" t="n"/>
      <c r="V100" s="317" t="n"/>
      <c r="W100" s="317" t="n"/>
      <c r="X100" s="317" t="n"/>
      <c r="Y100" s="317" t="n"/>
      <c r="Z100" s="333" t="n"/>
      <c r="AA100" s="317" t="n"/>
    </row>
    <row r="101" ht="15.75" customHeight="1" s="372">
      <c r="A101" s="326" t="inlineStr">
        <is>
          <t>Practice crisis communication skills via simulation</t>
        </is>
      </c>
      <c r="B101" s="335" t="inlineStr">
        <is>
          <t>Develop crisis communication skills for managing school emergencies in ways that minimize instructional disruption and protect student safety.</t>
        </is>
      </c>
      <c r="C101" s="335" t="inlineStr">
        <is>
          <t>Build organizational crisis communication capacity by practicing or designing a communication plan for a hypothetical school emergency scenario.</t>
        </is>
      </c>
      <c r="D101" s="335" t="inlineStr">
        <is>
          <t>Develop operational crisis management skills by practicing structured communication planning that addresses school safety and stakeholder notification.</t>
        </is>
      </c>
      <c r="E101" s="335" t="inlineStr">
        <is>
          <t>Ensure crisis communication planning accounts for the diverse needs of all families, including accessibility and multilingual communication strategies.</t>
        </is>
      </c>
      <c r="F101" s="335" t="inlineStr">
        <is>
          <t>Model professional and ethical leadership by developing honest, transparent crisis communication strategies that build trust with all stakeholders.</t>
        </is>
      </c>
      <c r="G101" s="335" t="inlineStr">
        <is>
          <t>Develop advocacy knowledge by understanding how school crisis communication connects to state and federal policy requirements for emergency management.</t>
        </is>
      </c>
      <c r="H101" s="317" t="n"/>
      <c r="I101" s="317" t="n"/>
      <c r="J101" s="317" t="n"/>
      <c r="K101" s="317" t="n"/>
      <c r="L101" s="317" t="n"/>
      <c r="M101" s="317" t="n"/>
      <c r="N101" s="317" t="n"/>
      <c r="O101" s="317" t="n"/>
      <c r="P101" s="317" t="n"/>
      <c r="Q101" s="317" t="n"/>
      <c r="R101" s="317" t="n"/>
      <c r="S101" s="317" t="n"/>
      <c r="T101" s="317" t="n"/>
      <c r="U101" s="317" t="n"/>
      <c r="V101" s="317" t="n"/>
      <c r="W101" s="317" t="n"/>
      <c r="X101" s="317" t="n"/>
      <c r="Y101" s="317" t="n"/>
      <c r="Z101" s="333" t="n"/>
      <c r="AA101" s="317" t="n"/>
    </row>
    <row r="102" ht="15.75" customHeight="1" s="372">
      <c r="A102" s="326" t="inlineStr">
        <is>
          <t>Lead a continuous improvement team</t>
        </is>
      </c>
      <c r="B102" s="334" t="inlineStr">
        <is>
          <t>Form and lead a school improvement team that follows a structured continuous improvement cycle to address a specific instructional or school-wide goal.</t>
        </is>
      </c>
      <c r="C102" s="334" t="inlineStr">
        <is>
          <t>Lead an organizational continuous improvement team that applies structured problem-solving processes to advance strategic school improvement goals.</t>
        </is>
      </c>
      <c r="D102" s="334" t="inlineStr">
        <is>
          <t>Manage the operational functions of a continuous improvement team, including meeting design, data collection, action planning, and progress monitoring.</t>
        </is>
      </c>
      <c r="E102" s="334" t="inlineStr">
        <is>
          <t>Center equity in the continuous improvement process by ensuring the team's goals explicitly address disparities in outcomes for diverse student groups.</t>
        </is>
      </c>
      <c r="F102" s="334" t="inlineStr">
        <is>
          <t>Model professional accountability and ethical leadership by facilitating a transparent, honest continuous improvement process with shared ownership.</t>
        </is>
      </c>
      <c r="G102" s="334" t="inlineStr">
        <is>
          <t>Advocate for systemic school improvement by connecting the continuous improvement team's work to division-level priorities and policy frameworks.</t>
        </is>
      </c>
      <c r="H102" s="317" t="n"/>
      <c r="I102" s="317" t="n"/>
      <c r="J102" s="317" t="n"/>
      <c r="K102" s="317" t="n"/>
      <c r="L102" s="317" t="n"/>
      <c r="M102" s="317" t="n"/>
      <c r="N102" s="317" t="n"/>
      <c r="O102" s="317" t="n"/>
      <c r="P102" s="317" t="n"/>
      <c r="Q102" s="317" t="n"/>
      <c r="R102" s="317" t="n"/>
      <c r="S102" s="317" t="n"/>
      <c r="T102" s="317" t="n"/>
      <c r="U102" s="317" t="n"/>
      <c r="V102" s="317" t="n"/>
      <c r="W102" s="317" t="n"/>
      <c r="X102" s="317" t="n"/>
      <c r="Y102" s="317" t="n"/>
      <c r="Z102" s="333" t="n"/>
      <c r="AA102" s="317" t="n"/>
    </row>
    <row r="103" ht="15.75" customHeight="1" s="372">
      <c r="A103" s="326" t="inlineStr">
        <is>
          <t>Help a teacher develop a classroom action plan</t>
        </is>
      </c>
      <c r="B103" s="335" t="inlineStr">
        <is>
          <t>Collaborate with a teacher to identify a classroom improvement goal (e.g., reading engagement) and develop a targeted instructional action plan.</t>
        </is>
      </c>
      <c r="C103" s="335" t="inlineStr">
        <is>
          <t>Support organizational improvement by helping a teacher design a structured action plan that aligns with school-wide goals and improvement priorities.</t>
        </is>
      </c>
      <c r="D103" s="335" t="inlineStr">
        <is>
          <t>Apply operational coaching skills by collaborating with a teacher to create, implement, and monitor a classroom-level instructional action plan.</t>
        </is>
      </c>
      <c r="E103" s="335" t="inlineStr">
        <is>
          <t>Ensure the action plan is designed to meet the diverse learning needs of all students in the classroom, with attention to equity and differentiation.</t>
        </is>
      </c>
      <c r="F103" s="335" t="inlineStr">
        <is>
          <t>Model professional mentorship and ethical support by collaborating constructively and respectfully with a teacher to advance professional growth.</t>
        </is>
      </c>
      <c r="G103" s="335" t="inlineStr">
        <is>
          <t>Advocate for job-embedded, teacher-driven improvement by demonstrating how classroom-level action planning contributes to school-wide outcomes.</t>
        </is>
      </c>
      <c r="H103" s="317" t="n"/>
      <c r="I103" s="317" t="n"/>
      <c r="J103" s="317" t="n"/>
      <c r="K103" s="317" t="n"/>
      <c r="L103" s="317" t="n"/>
      <c r="M103" s="317" t="n"/>
      <c r="N103" s="317" t="n"/>
      <c r="O103" s="317" t="n"/>
      <c r="P103" s="317" t="n"/>
      <c r="Q103" s="317" t="n"/>
      <c r="R103" s="317" t="n"/>
      <c r="S103" s="317" t="n"/>
      <c r="T103" s="317" t="n"/>
      <c r="U103" s="317" t="n"/>
      <c r="V103" s="317" t="n"/>
      <c r="W103" s="317" t="n"/>
      <c r="X103" s="317" t="n"/>
      <c r="Y103" s="317" t="n"/>
      <c r="Z103" s="333" t="n"/>
      <c r="AA103" s="317" t="n"/>
    </row>
    <row r="104" ht="15.75" customHeight="1" s="372">
      <c r="A104" s="326" t="inlineStr">
        <is>
          <t>Lead a workshop on problem-solving for teacher teams</t>
        </is>
      </c>
      <c r="B104" s="334" t="inlineStr">
        <is>
          <t>Design and lead a workshop that builds teacher teams' problem-solving capacity for addressing instructional challenges and student learning barriers.</t>
        </is>
      </c>
      <c r="C104" s="334" t="inlineStr">
        <is>
          <t>Lead an organizational capacity-building workshop on problem-solving strategies that support teacher teams in navigating school improvement challenges.</t>
        </is>
      </c>
      <c r="D104" s="334" t="inlineStr">
        <is>
          <t>Develop operational leadership skills by designing and delivering a structured workshop that equips teacher teams with effective problem-solving tools.</t>
        </is>
      </c>
      <c r="E104" s="334" t="inlineStr">
        <is>
          <t>Embed equity considerations into the problem-solving workshop by examining how systemic challenges disproportionately affect diverse student populations.</t>
        </is>
      </c>
      <c r="F104" s="334" t="inlineStr">
        <is>
          <t>Model collaborative professionalism by designing a workshop that fosters honest, respectful, and constructive problem-solving among teacher teams.</t>
        </is>
      </c>
      <c r="G104" s="334" t="inlineStr">
        <is>
          <t>Advocate for systemic improvement by connecting problem-solving workshop outcomes to school-wide improvement goals and broader policy priorities.</t>
        </is>
      </c>
      <c r="H104" s="317" t="n"/>
      <c r="I104" s="317" t="n"/>
      <c r="J104" s="317" t="n"/>
      <c r="K104" s="317" t="n"/>
      <c r="L104" s="317" t="n"/>
      <c r="M104" s="317" t="n"/>
      <c r="N104" s="317" t="n"/>
      <c r="O104" s="317" t="n"/>
      <c r="P104" s="317" t="n"/>
      <c r="Q104" s="317" t="n"/>
      <c r="R104" s="317" t="n"/>
      <c r="S104" s="317" t="n"/>
      <c r="T104" s="317" t="n"/>
      <c r="U104" s="317" t="n"/>
      <c r="V104" s="317" t="n"/>
      <c r="W104" s="317" t="n"/>
      <c r="X104" s="317" t="n"/>
      <c r="Y104" s="317" t="n"/>
      <c r="Z104" s="333" t="n"/>
      <c r="AA104" s="317" t="n"/>
    </row>
    <row r="105" ht="15.75" customHeight="1" s="372">
      <c r="A105" s="326" t="inlineStr">
        <is>
          <t>Analyze collective bargaining agreement provisions</t>
        </is>
      </c>
      <c r="B105" s="335" t="inlineStr">
        <is>
          <t>Understand how collective bargaining provisions shape the conditions for instructional work, including planning time, evaluation, and professional development.</t>
        </is>
      </c>
      <c r="C105" s="335" t="inlineStr">
        <is>
          <t>Review the school division's Collective Bargaining Agreement to understand how it shapes organizational structure, operations, and leadership decisions.</t>
        </is>
      </c>
      <c r="D105" s="335" t="inlineStr">
        <is>
          <t>Develop operational knowledge of collective bargaining by reviewing key provisions governing employment, compensation, and workplace conditions.</t>
        </is>
      </c>
      <c r="E105" s="335" t="inlineStr">
        <is>
          <t>Examine how collective bargaining provisions affect equity in working conditions, compensation, and professional support for diverse staff.</t>
        </is>
      </c>
      <c r="F105" s="335" t="inlineStr">
        <is>
          <t>Model professional responsibility by developing an informed, ethical understanding of collective bargaining obligations and their implications for leadership.</t>
        </is>
      </c>
      <c r="G105" s="335" t="inlineStr">
        <is>
          <t>Advocate for staff and student interests by understanding how collective bargaining agreements connect to broader policy frameworks and labor rights.</t>
        </is>
      </c>
      <c r="H105" s="317" t="n"/>
      <c r="I105" s="317" t="n"/>
      <c r="J105" s="317" t="n"/>
      <c r="K105" s="317" t="n"/>
      <c r="L105" s="317" t="n"/>
      <c r="M105" s="317" t="n"/>
      <c r="N105" s="317" t="n"/>
      <c r="O105" s="317" t="n"/>
      <c r="P105" s="317" t="n"/>
      <c r="Q105" s="317" t="n"/>
      <c r="R105" s="317" t="n"/>
      <c r="S105" s="317" t="n"/>
      <c r="T105" s="317" t="n"/>
      <c r="U105" s="317" t="n"/>
      <c r="V105" s="317" t="n"/>
      <c r="W105" s="317" t="n"/>
      <c r="X105" s="317" t="n"/>
      <c r="Y105" s="317" t="n"/>
      <c r="Z105" s="333" t="n"/>
      <c r="AA105" s="317" t="n"/>
    </row>
    <row r="106" ht="15.75" customHeight="1" s="372">
      <c r="A106" s="326" t="inlineStr">
        <is>
          <t>Plan and facilitate a virtual community engagement event</t>
        </is>
      </c>
      <c r="B106" s="334" t="inlineStr">
        <is>
          <t>Use a virtual community event to share information about instructional programs and provide families with resources to support student learning.</t>
        </is>
      </c>
      <c r="C106" s="334" t="inlineStr">
        <is>
          <t>Design and facilitate a virtual organizational engagement event that builds community trust and supports the school's strategic communication goals.</t>
        </is>
      </c>
      <c r="D106" s="334" t="inlineStr">
        <is>
          <t>Manage the operational logistics of a virtual community event, including technology selection, promotion, facilitation design, and participant support.</t>
        </is>
      </c>
      <c r="E106" s="334" t="inlineStr">
        <is>
          <t>Design a virtual event that ensures all families—including those from diverse, underserved, and digitally underconnected communities—can participate.</t>
        </is>
      </c>
      <c r="F106" s="334" t="inlineStr">
        <is>
          <t>Model ethical, inclusive professional communication by designing a virtual event that prioritizes transparency, accessibility, and respect for all families.</t>
        </is>
      </c>
      <c r="G106" s="334" t="inlineStr">
        <is>
          <t>Advocate for equitable community engagement by using virtual platforms to expand participation and ensure all voices are included in school dialogue.</t>
        </is>
      </c>
      <c r="H106" s="317" t="n"/>
      <c r="I106" s="317" t="n"/>
      <c r="J106" s="317" t="n"/>
      <c r="K106" s="317" t="n"/>
      <c r="L106" s="317" t="n"/>
      <c r="M106" s="317" t="n"/>
      <c r="N106" s="317" t="n"/>
      <c r="O106" s="317" t="n"/>
      <c r="P106" s="317" t="n"/>
      <c r="Q106" s="317" t="n"/>
      <c r="R106" s="317" t="n"/>
      <c r="S106" s="317" t="n"/>
      <c r="T106" s="317" t="n"/>
      <c r="U106" s="317" t="n"/>
      <c r="V106" s="317" t="n"/>
      <c r="W106" s="317" t="n"/>
      <c r="X106" s="317" t="n"/>
      <c r="Y106" s="317" t="n"/>
      <c r="Z106" s="333" t="n"/>
      <c r="AA106" s="317" t="n"/>
    </row>
    <row r="107" ht="15.75" customHeight="1" s="372">
      <c r="A107" s="326" t="inlineStr">
        <is>
          <t>Meet with PTA treasurer and school leader</t>
        </is>
      </c>
      <c r="B107" s="335" t="inlineStr">
        <is>
          <t>Understand how the PTA budget supports instructional programs and family engagement initiatives aligned with the school's instructional goals.</t>
        </is>
      </c>
      <c r="C107" s="335" t="inlineStr">
        <is>
          <t>Observe how school leadership collaborates with the PTA on organizational financial planning and community engagement priorities.</t>
        </is>
      </c>
      <c r="D107" s="335" t="inlineStr">
        <is>
          <t>Develop operational knowledge of how the PTA budget and financial oversight connect to the school's overall fiscal management practices.</t>
        </is>
      </c>
      <c r="E107" s="335" t="inlineStr">
        <is>
          <t>Examine how PTA financial resources are allocated to ensure equitable support for diverse student programs and family engagement initiatives.</t>
        </is>
      </c>
      <c r="F107" s="335" t="inlineStr">
        <is>
          <t>Model professional financial responsibility by learning how transparent, ethical financial reporting builds trust with school community stakeholders.</t>
        </is>
      </c>
      <c r="G107" s="335" t="inlineStr">
        <is>
          <t>Advocate for community investment in school priorities by understanding how PTA financial support connects to broader advocacy for school resources.</t>
        </is>
      </c>
      <c r="H107" s="317" t="n"/>
      <c r="I107" s="317" t="n"/>
      <c r="J107" s="317" t="n"/>
      <c r="K107" s="317" t="n"/>
      <c r="L107" s="317" t="n"/>
      <c r="M107" s="317" t="n"/>
      <c r="N107" s="317" t="n"/>
      <c r="O107" s="317" t="n"/>
      <c r="P107" s="317" t="n"/>
      <c r="Q107" s="317" t="n"/>
      <c r="R107" s="317" t="n"/>
      <c r="S107" s="317" t="n"/>
      <c r="T107" s="317" t="n"/>
      <c r="U107" s="317" t="n"/>
      <c r="V107" s="317" t="n"/>
      <c r="W107" s="317" t="n"/>
      <c r="X107" s="317" t="n"/>
      <c r="Y107" s="317" t="n"/>
      <c r="Z107" s="333" t="n"/>
      <c r="AA107" s="317" t="n"/>
    </row>
    <row r="108" ht="15.75" customHeight="1" s="372">
      <c r="A108" s="326" t="inlineStr">
        <is>
          <t>Analysis of critical partnership issues and solutions</t>
        </is>
      </c>
      <c r="B108" s="334" t="inlineStr">
        <is>
          <t>Analyze critical barriers in school-community partnerships and identify technology-supported solutions to improve instructional support delivery.</t>
        </is>
      </c>
      <c r="C108" s="334" t="inlineStr">
        <is>
          <t>Conduct a strategic analysis of partnership challenges to inform organizational planning for sustainable, mission-aligned community collaboration.</t>
        </is>
      </c>
      <c r="D108" s="334" t="inlineStr">
        <is>
          <t>Apply operational management thinking to review critical partnership barriers and propose practical, technology-supported solutions for improvement.</t>
        </is>
      </c>
      <c r="E108" s="334" t="inlineStr">
        <is>
          <t>Examine how partnership barriers disproportionately affect diverse and underserved student populations and develop equity-centered solutions.</t>
        </is>
      </c>
      <c r="F108" s="334" t="inlineStr">
        <is>
          <t>Model professional problem-solving and ethical engagement by conducting a rigorous, honest analysis of critical partnership challenges.</t>
        </is>
      </c>
      <c r="G108" s="334" t="inlineStr">
        <is>
          <t>Advocate for systemic partnership improvements by identifying barriers and proposing evidence-based, technology-supported solutions to school leaders.</t>
        </is>
      </c>
      <c r="H108" s="317" t="n"/>
      <c r="I108" s="317" t="n"/>
      <c r="J108" s="317" t="n"/>
      <c r="K108" s="317" t="n"/>
      <c r="L108" s="317" t="n"/>
      <c r="M108" s="317" t="n"/>
      <c r="N108" s="317" t="n"/>
      <c r="O108" s="317" t="n"/>
      <c r="P108" s="317" t="n"/>
      <c r="Q108" s="317" t="n"/>
      <c r="R108" s="317" t="n"/>
      <c r="S108" s="317" t="n"/>
      <c r="T108" s="317" t="n"/>
      <c r="U108" s="317" t="n"/>
      <c r="V108" s="317" t="n"/>
      <c r="W108" s="317" t="n"/>
      <c r="X108" s="317" t="n"/>
      <c r="Y108" s="317" t="n"/>
      <c r="Z108" s="333" t="n"/>
      <c r="AA108" s="317" t="n"/>
    </row>
    <row r="109" ht="15.75" customHeight="1" s="372">
      <c r="A109" s="326" t="inlineStr">
        <is>
          <t>Fiscal management review and budget proposal development</t>
        </is>
      </c>
      <c r="B109" s="335" t="inlineStr">
        <is>
          <t>Develop a budget proposal for a school or division initiative that connects financial decisions to instructional priorities and student learning goals.</t>
        </is>
      </c>
      <c r="C109" s="335" t="inlineStr">
        <is>
          <t>Participate in division or school budget planning to develop skills in aligning financial proposals with organizational mission and strategic goals.</t>
        </is>
      </c>
      <c r="D109" s="335" t="inlineStr">
        <is>
          <t>Build operational fiscal management skills by shadowing the financial officer and developing a budget proposal aligned with school constraints.</t>
        </is>
      </c>
      <c r="E109" s="335" t="inlineStr">
        <is>
          <t>Develop a budget proposal that prioritizes equitable resource allocation, ensuring underserved programs and student populations are adequately supported.</t>
        </is>
      </c>
      <c r="F109" s="335" t="inlineStr">
        <is>
          <t>Model ethical stewardship by developing a transparent, honest budget proposal that reflects professional responsibility for public school resources.</t>
        </is>
      </c>
      <c r="G109" s="335" t="inlineStr">
        <is>
          <t>Advocate for student-centered resource allocation by creating a budget proposal that connects investment decisions to equity goals and policy priorities.</t>
        </is>
      </c>
      <c r="H109" s="317" t="n"/>
      <c r="I109" s="317" t="n"/>
      <c r="J109" s="317" t="n"/>
      <c r="K109" s="317" t="n"/>
      <c r="L109" s="317" t="n"/>
      <c r="M109" s="317" t="n"/>
      <c r="N109" s="317" t="n"/>
      <c r="O109" s="317" t="n"/>
      <c r="P109" s="317" t="n"/>
      <c r="Q109" s="317" t="n"/>
      <c r="R109" s="317" t="n"/>
      <c r="S109" s="317" t="n"/>
      <c r="T109" s="317" t="n"/>
      <c r="U109" s="317" t="n"/>
      <c r="V109" s="317" t="n"/>
      <c r="W109" s="317" t="n"/>
      <c r="X109" s="317" t="n"/>
      <c r="Y109" s="317" t="n"/>
      <c r="Z109" s="333" t="n"/>
      <c r="AA109" s="317" t="n"/>
    </row>
    <row r="110" ht="15.75" customHeight="1" s="372">
      <c r="A110" s="326" t="inlineStr">
        <is>
          <t>Develop a reflection protocol for teachers after PD</t>
        </is>
      </c>
      <c r="B110" s="334" t="inlineStr">
        <is>
          <t>Design a structured teacher reflection protocol for use after professional development to reinforce learning and promote instructional application.</t>
        </is>
      </c>
      <c r="C110" s="334" t="inlineStr">
        <is>
          <t>Develop an organizational professional learning tool that supports ongoing reflection and continuous improvement following professional development.</t>
        </is>
      </c>
      <c r="D110" s="334" t="inlineStr">
        <is>
          <t>Build an operational professional development support structure by creating a reflection protocol that tracks follow-through and monitors implementation.</t>
        </is>
      </c>
      <c r="E110" s="334" t="inlineStr">
        <is>
          <t>Design the reflection protocol to include equity-focused prompts that encourage teachers to examine the impact of their practice on diverse learners.</t>
        </is>
      </c>
      <c r="F110" s="334" t="inlineStr">
        <is>
          <t>Model a commitment to professional learning and growth by developing a reflection protocol grounded in honesty, self-awareness, and collegial accountability.</t>
        </is>
      </c>
      <c r="G110" s="334" t="inlineStr">
        <is>
          <t>Advocate for continuous, evidence-based professional learning by creating a reflection tool that connects PD outcomes to school improvement goals.</t>
        </is>
      </c>
      <c r="H110" s="317" t="n"/>
      <c r="I110" s="317" t="n"/>
      <c r="J110" s="317" t="n"/>
      <c r="K110" s="317" t="n"/>
      <c r="L110" s="317" t="n"/>
      <c r="M110" s="317" t="n"/>
      <c r="N110" s="317" t="n"/>
      <c r="O110" s="317" t="n"/>
      <c r="P110" s="317" t="n"/>
      <c r="Q110" s="317" t="n"/>
      <c r="R110" s="317" t="n"/>
      <c r="S110" s="317" t="n"/>
      <c r="T110" s="317" t="n"/>
      <c r="U110" s="317" t="n"/>
      <c r="V110" s="317" t="n"/>
      <c r="W110" s="317" t="n"/>
      <c r="X110" s="317" t="n"/>
      <c r="Y110" s="317" t="n"/>
      <c r="Z110" s="333" t="n"/>
      <c r="AA110" s="317" t="n"/>
    </row>
    <row r="111" ht="15.75" customHeight="1" s="372">
      <c r="A111" s="326" t="inlineStr">
        <is>
          <t>Organize mock interview panel for prospective instructional staff</t>
        </is>
      </c>
      <c r="B111" s="335" t="inlineStr">
        <is>
          <t>Lead a structured mock interview process for prospective instructional staff to assess pedagogical readiness, instructional fit, and professional values.</t>
        </is>
      </c>
      <c r="C111" s="335" t="inlineStr">
        <is>
          <t>Organize and lead a mock interview panel as an organizational human resources practice aligned with the school's talent management strategy.</t>
        </is>
      </c>
      <c r="D111" s="335" t="inlineStr">
        <is>
          <t>Develop operational human resources skills by designing and facilitating a structured, equitable mock interview process for hiring instructional staff.</t>
        </is>
      </c>
      <c r="E111" s="335" t="inlineStr">
        <is>
          <t>Design the mock interview process to prioritize assessment of candidates' commitment to culturally responsive teaching and diverse learner support.</t>
        </is>
      </c>
      <c r="F111" s="335" t="inlineStr">
        <is>
          <t>Model professional integrity by facilitating a fair, structured, and legally compliant mock interview process that reflects ethical hiring standards.</t>
        </is>
      </c>
      <c r="G111" s="335" t="inlineStr">
        <is>
          <t>Advocate for equitable talent recruitment by designing mock interview protocols that identify candidates aligned with the school's equity-focused mission.</t>
        </is>
      </c>
      <c r="H111" s="317" t="n"/>
      <c r="I111" s="317" t="n"/>
      <c r="J111" s="317" t="n"/>
      <c r="K111" s="317" t="n"/>
      <c r="L111" s="317" t="n"/>
      <c r="M111" s="317" t="n"/>
      <c r="N111" s="317" t="n"/>
      <c r="O111" s="317" t="n"/>
      <c r="P111" s="317" t="n"/>
      <c r="Q111" s="317" t="n"/>
      <c r="R111" s="317" t="n"/>
      <c r="S111" s="317" t="n"/>
      <c r="T111" s="317" t="n"/>
      <c r="U111" s="317" t="n"/>
      <c r="V111" s="317" t="n"/>
      <c r="W111" s="317" t="n"/>
      <c r="X111" s="317" t="n"/>
      <c r="Y111" s="317" t="n"/>
      <c r="Z111" s="333" t="n"/>
      <c r="AA111" s="317" t="n"/>
    </row>
    <row r="112" ht="15.75" customHeight="1" s="372">
      <c r="A112" s="326" t="inlineStr">
        <is>
          <t>Lead student mental health &amp; wellness planning</t>
        </is>
      </c>
      <c r="B112" s="334" t="inlineStr">
        <is>
          <t>Collaborate with counselors and social workers to design a schoolwide MTSS-based wellness plan that reduces barriers to student learning and academic engagement.</t>
        </is>
      </c>
      <c r="C112" s="334" t="inlineStr">
        <is>
          <t>Lead the organizational development of a proactive student wellness system, aligning tiered mental health supports with the school's strategic improvement goals.</t>
        </is>
      </c>
      <c r="D112" s="334" t="inlineStr">
        <is>
          <t>Manage the operational coordination of mental health support structures, including scheduling counseling services, referral processes, and crisis intervention protocols.</t>
        </is>
      </c>
      <c r="E112" s="334" t="inlineStr">
        <is>
          <t>Design wellness initiatives that are culturally responsive and equitably accessible to all students, with targeted supports for historically underserved populations.</t>
        </is>
      </c>
      <c r="F112" s="334" t="inlineStr">
        <is>
          <t>Model ethical, student-centered leadership by prioritizing student mental health as a core professional responsibility and school community value.</t>
        </is>
      </c>
      <c r="G112" s="334" t="inlineStr">
        <is>
          <t>Advocate for adequate mental health resources and policy supports by documenting student wellness needs and presenting evidence-based recommendations to division leadership.</t>
        </is>
      </c>
      <c r="H112" s="317" t="n"/>
      <c r="I112" s="317" t="n"/>
      <c r="J112" s="317" t="n"/>
      <c r="K112" s="317" t="n"/>
      <c r="L112" s="317" t="n"/>
      <c r="M112" s="317" t="n"/>
      <c r="N112" s="317" t="n"/>
      <c r="O112" s="317" t="n"/>
      <c r="P112" s="317" t="n"/>
      <c r="Q112" s="317" t="n"/>
      <c r="R112" s="317" t="n"/>
      <c r="S112" s="317" t="n"/>
      <c r="T112" s="317" t="n"/>
      <c r="U112" s="317" t="n"/>
      <c r="V112" s="317" t="n"/>
      <c r="W112" s="317" t="n"/>
      <c r="X112" s="317" t="n"/>
      <c r="Y112" s="317" t="n"/>
      <c r="Z112" s="333" t="n"/>
      <c r="AA112" s="317" t="n"/>
    </row>
    <row r="113" ht="15.75" customHeight="1" s="372">
      <c r="A113" s="326" t="inlineStr">
        <is>
          <t>Lead the full teacher evaluation cycle</t>
        </is>
      </c>
      <c r="B113" s="335" t="inlineStr">
        <is>
          <t>Conduct a complete teacher evaluation cycle—pre-conference, classroom observation, and post-conference coaching—using Virginia's Uniform Performance Standards to support instructional growth.</t>
        </is>
      </c>
      <c r="C113" s="335" t="inlineStr">
        <is>
          <t>Apply organizational human resources knowledge by managing the full teacher evaluation cycle as a strategic tool for professional development and school improvement.</t>
        </is>
      </c>
      <c r="D113" s="335" t="inlineStr">
        <is>
          <t>Build operational expertise in teacher evaluation by completing all stages of the evaluation process in compliance with Virginia's Guidelines for Uniform Performance Standards.</t>
        </is>
      </c>
      <c r="E113" s="335" t="inlineStr">
        <is>
          <t>Apply an equity lens to teacher evaluation by examining whether instructional practices meet the needs of all learners, particularly those from diverse or underserved backgrounds.</t>
        </is>
      </c>
      <c r="F113" s="335" t="inlineStr">
        <is>
          <t>Model ethical, professional evaluation practice by conducting honest, constructive, and legally compliant observations and coaching conversations with teachers.</t>
        </is>
      </c>
      <c r="G113" s="335" t="inlineStr">
        <is>
          <t>Advocate for teacher growth and professional accountability by using evaluation data to identify systemic professional development needs and inform division-level policy.</t>
        </is>
      </c>
      <c r="H113" s="317" t="n"/>
      <c r="I113" s="317" t="n"/>
      <c r="J113" s="317" t="n"/>
      <c r="K113" s="317" t="n"/>
      <c r="L113" s="317" t="n"/>
      <c r="M113" s="317" t="n"/>
      <c r="N113" s="317" t="n"/>
      <c r="O113" s="317" t="n"/>
      <c r="P113" s="317" t="n"/>
      <c r="Q113" s="317" t="n"/>
      <c r="R113" s="317" t="n"/>
      <c r="S113" s="317" t="n"/>
      <c r="T113" s="317" t="n"/>
      <c r="U113" s="317" t="n"/>
      <c r="V113" s="317" t="n"/>
      <c r="W113" s="317" t="n"/>
      <c r="X113" s="317" t="n"/>
      <c r="Y113" s="317" t="n"/>
      <c r="Z113" s="333" t="n"/>
      <c r="AA113" s="317" t="n"/>
    </row>
    <row r="114" ht="15.75" customHeight="1" s="372">
      <c r="A114" s="326" t="inlineStr">
        <is>
          <t>Co-design new teacher induction program</t>
        </is>
      </c>
      <c r="B114" s="334" t="inlineStr">
        <is>
          <t>Design a new teacher induction program grounded in adult learning theory that connects beginning teachers to instructional expectations, mentors, and school improvement goals.</t>
        </is>
      </c>
      <c r="C114" s="334" t="inlineStr">
        <is>
          <t>Develop an organizational induction strategy that builds new teacher capacity, reduces early attrition, and aligns onboarding with the school's mission and strategic priorities.</t>
        </is>
      </c>
      <c r="D114" s="334" t="inlineStr">
        <is>
          <t>Coordinate the operational design and implementation of a new staff induction and onboarding program, including orientation, scheduling, and mentor assignment.</t>
        </is>
      </c>
      <c r="E114" s="334" t="inlineStr">
        <is>
          <t>Build an induction program that is inclusive and culturally responsive, explicitly preparing new teachers to serve the school's diverse student population with equity and care.</t>
        </is>
      </c>
      <c r="F114" s="334" t="inlineStr">
        <is>
          <t>Model professional commitment to colleague support by designing an induction program that fosters a collaborative, welcoming, and professionally ethical school culture.</t>
        </is>
      </c>
      <c r="G114" s="334" t="inlineStr">
        <is>
          <t>Advocate for systemic investment in new teacher support by demonstrating how strong induction programs reduce turnover and improve student outcomes across the division.</t>
        </is>
      </c>
      <c r="H114" s="317" t="n"/>
      <c r="I114" s="317" t="n"/>
      <c r="J114" s="317" t="n"/>
      <c r="K114" s="317" t="n"/>
      <c r="L114" s="317" t="n"/>
      <c r="M114" s="317" t="n"/>
      <c r="N114" s="317" t="n"/>
      <c r="O114" s="317" t="n"/>
      <c r="P114" s="317" t="n"/>
      <c r="Q114" s="317" t="n"/>
      <c r="R114" s="317" t="n"/>
      <c r="S114" s="317" t="n"/>
      <c r="T114" s="317" t="n"/>
      <c r="U114" s="317" t="n"/>
      <c r="V114" s="317" t="n"/>
      <c r="W114" s="317" t="n"/>
      <c r="X114" s="317" t="n"/>
      <c r="Y114" s="317" t="n"/>
      <c r="Z114" s="333" t="n"/>
      <c r="AA114" s="317" t="n"/>
    </row>
    <row r="115" ht="15.75" customHeight="1" s="372">
      <c r="A115" s="326" t="inlineStr">
        <is>
          <t>Lead a sustained instructional walkthrough cycle</t>
        </is>
      </c>
      <c r="B115" s="335" t="inlineStr">
        <is>
          <t>Conduct a structured, multi-classroom walkthrough cycle to collect schoolwide instructional data, identify patterns, and present findings to the leadership team.</t>
        </is>
      </c>
      <c r="C115" s="335" t="inlineStr">
        <is>
          <t>Apply organizational data collection strategies through a sustained walkthrough process that builds shared understanding of instructional strengths and improvement needs.</t>
        </is>
      </c>
      <c r="D115" s="335" t="inlineStr">
        <is>
          <t>Develop operational leadership skills by designing and managing a walkthrough cycle with clear protocols, data collection tools, and structured debrief processes.</t>
        </is>
      </c>
      <c r="E115" s="335" t="inlineStr">
        <is>
          <t>Embed equity analysis in the walkthrough cycle by examining whether all students—especially those from underserved groups—have consistent access to rigorous instruction.</t>
        </is>
      </c>
      <c r="F115" s="335" t="inlineStr">
        <is>
          <t>Model professional learning leadership by conducting walkthroughs with integrity, using evidence-based feedback to support teacher growth and continuous improvement.</t>
        </is>
      </c>
      <c r="G115" s="335" t="inlineStr">
        <is>
          <t>Advocate for systemic instructional quality by using walkthrough data to make evidence-based recommendations that connect classroom practice to school-level improvement goals.</t>
        </is>
      </c>
      <c r="H115" s="317" t="n"/>
      <c r="I115" s="317" t="n"/>
      <c r="J115" s="317" t="n"/>
      <c r="K115" s="317" t="n"/>
      <c r="L115" s="317" t="n"/>
      <c r="M115" s="317" t="n"/>
      <c r="N115" s="317" t="n"/>
      <c r="O115" s="317" t="n"/>
      <c r="P115" s="317" t="n"/>
      <c r="Q115" s="317" t="n"/>
      <c r="R115" s="317" t="n"/>
      <c r="S115" s="317" t="n"/>
      <c r="T115" s="317" t="n"/>
      <c r="U115" s="317" t="n"/>
      <c r="V115" s="317" t="n"/>
      <c r="W115" s="317" t="n"/>
      <c r="X115" s="317" t="n"/>
      <c r="Y115" s="317" t="n"/>
      <c r="Z115" s="333" t="n"/>
      <c r="AA115" s="317" t="n"/>
    </row>
    <row r="116" ht="15.75" customHeight="1" s="372">
      <c r="A116" s="326" t="inlineStr">
        <is>
          <t>Shadow central office leaders across divisions</t>
        </is>
      </c>
      <c r="B116" s="334" t="inlineStr">
        <is>
          <t>Shadow central office curriculum, HR, or instructional leaders to understand how division-level decisions shape school-level instructional priorities and resource deployment.</t>
        </is>
      </c>
      <c r="C116" s="334" t="inlineStr">
        <is>
          <t>Develop organizational leadership knowledge by observing how central office leaders align division strategy, policy implementation, and resource allocation across schools.</t>
        </is>
      </c>
      <c r="D116" s="334" t="inlineStr">
        <is>
          <t>Examine how division-level operational management functions—including HR, finance, and curriculum—support and constrain school-level management decisions.</t>
        </is>
      </c>
      <c r="E116" s="334" t="inlineStr">
        <is>
          <t>Observe how central office leaders address systemic equity priorities across the division, including resource distribution, program access, and policy compliance.</t>
        </is>
      </c>
      <c r="F116" s="334" t="inlineStr">
        <is>
          <t>Reflect on the professional responsibilities of central office leaders and the ethical dimensions of division-level decisions that affect schools, staff, and students.</t>
        </is>
      </c>
      <c r="G116" s="334" t="inlineStr">
        <is>
          <t>Develop advocacy skills by observing how central office leaders engage with school board priorities, state policy requirements, and community advocacy efforts.</t>
        </is>
      </c>
      <c r="H116" s="317" t="n"/>
      <c r="I116" s="317" t="n"/>
      <c r="J116" s="317" t="n"/>
      <c r="K116" s="317" t="n"/>
      <c r="L116" s="317" t="n"/>
      <c r="M116" s="317" t="n"/>
      <c r="N116" s="317" t="n"/>
      <c r="O116" s="317" t="n"/>
      <c r="P116" s="317" t="n"/>
      <c r="Q116" s="317" t="n"/>
      <c r="R116" s="317" t="n"/>
      <c r="S116" s="317" t="n"/>
      <c r="T116" s="317" t="n"/>
      <c r="U116" s="317" t="n"/>
      <c r="V116" s="317" t="n"/>
      <c r="W116" s="317" t="n"/>
      <c r="X116" s="317" t="n"/>
      <c r="Y116" s="317" t="n"/>
      <c r="Z116" s="333" t="n"/>
      <c r="AA116" s="317" t="n"/>
    </row>
    <row r="117" ht="15.75" customHeight="1" s="372">
      <c r="A117" s="326" t="inlineStr">
        <is>
          <t>Navigate student discipline cases and restorative practices</t>
        </is>
      </c>
      <c r="B117" s="335" t="inlineStr">
        <is>
          <t>Examine how student discipline decisions connect to instructional access, examining how exclusionary practices affect student learning time and academic outcomes.</t>
        </is>
      </c>
      <c r="C117" s="335" t="inlineStr">
        <is>
          <t>Observe and participate in student discipline processes, learning how leaders navigate organizational compliance, due process requirements, and stakeholder communication.</t>
        </is>
      </c>
      <c r="D117" s="335" t="inlineStr">
        <is>
          <t>Develop operational expertise in student discipline management, including documentation, manifestation determination meetings, and alternative placement decisions.</t>
        </is>
      </c>
      <c r="E117" s="335" t="inlineStr">
        <is>
          <t>Apply restorative practices and examine discipline data through an equity lens to identify and address disproportionate disciplinary impacts on diverse student populations.</t>
        </is>
      </c>
      <c r="F117" s="335" t="inlineStr">
        <is>
          <t>Model ethical and legally compliant discipline leadership by ensuring all disciplinary processes reflect fairness, dignity, and respect for student and family rights.</t>
        </is>
      </c>
      <c r="G117" s="335" t="inlineStr">
        <is>
          <t>Advocate for equitable, restorative discipline policy by using data on disciplinary disparities to inform systemic policy revisions at the school and division level.</t>
        </is>
      </c>
      <c r="H117" s="317" t="n"/>
      <c r="I117" s="317" t="n"/>
      <c r="J117" s="317" t="n"/>
      <c r="K117" s="317" t="n"/>
      <c r="L117" s="317" t="n"/>
      <c r="M117" s="317" t="n"/>
      <c r="N117" s="317" t="n"/>
      <c r="O117" s="317" t="n"/>
      <c r="P117" s="317" t="n"/>
      <c r="Q117" s="317" t="n"/>
      <c r="R117" s="317" t="n"/>
      <c r="S117" s="317" t="n"/>
      <c r="T117" s="317" t="n"/>
      <c r="U117" s="317" t="n"/>
      <c r="V117" s="317" t="n"/>
      <c r="W117" s="317" t="n"/>
      <c r="X117" s="317" t="n"/>
      <c r="Y117" s="317" t="n"/>
      <c r="Z117" s="333" t="n"/>
      <c r="AA117" s="317" t="n"/>
    </row>
    <row r="118" ht="15.75" customHeight="1" s="372">
      <c r="A118" s="326" t="inlineStr">
        <is>
          <t>Participate in school improvement or accreditation process</t>
        </is>
      </c>
      <c r="B118" s="334" t="inlineStr">
        <is>
          <t>Engage in a school improvement or accreditation process that integrates data analysis, strategic planning, instructional review, and stakeholder communication.</t>
        </is>
      </c>
      <c r="C118" s="334" t="inlineStr">
        <is>
          <t>Participate in a formal school improvement or accreditation cycle to build organizational planning skills, including goal-setting, evidence collection, and progress monitoring.</t>
        </is>
      </c>
      <c r="D118" s="334" t="inlineStr">
        <is>
          <t>Develop operational management competency by participating in the full cycle of a school improvement or accreditation review, including documentation and reporting requirements.</t>
        </is>
      </c>
      <c r="E118" s="334" t="inlineStr">
        <is>
          <t>Ensure equity considerations are embedded in the improvement or accreditation process by examining outcomes for all student subgroups and addressing identified disparities.</t>
        </is>
      </c>
      <c r="F118" s="334" t="inlineStr">
        <is>
          <t>Model professional accountability and ethical leadership by engaging honestly and rigorously in a school improvement process grounded in data and shared responsibility.</t>
        </is>
      </c>
      <c r="G118" s="334" t="inlineStr">
        <is>
          <t>Advocate for systemic improvement by using the accreditation or improvement process as a vehicle for documenting school needs and influencing division-level resource and policy decisions.</t>
        </is>
      </c>
      <c r="H118" s="317" t="n"/>
      <c r="I118" s="317" t="n"/>
      <c r="J118" s="317" t="n"/>
      <c r="K118" s="317" t="n"/>
      <c r="L118" s="317" t="n"/>
      <c r="M118" s="317" t="n"/>
      <c r="N118" s="317" t="n"/>
      <c r="O118" s="317" t="n"/>
      <c r="P118" s="317" t="n"/>
      <c r="Q118" s="317" t="n"/>
      <c r="R118" s="317" t="n"/>
      <c r="S118" s="317" t="n"/>
      <c r="T118" s="317" t="n"/>
      <c r="U118" s="317" t="n"/>
      <c r="V118" s="317" t="n"/>
      <c r="W118" s="317" t="n"/>
      <c r="X118" s="317" t="n"/>
      <c r="Y118" s="317" t="n"/>
      <c r="Z118" s="333" t="n"/>
      <c r="AA118" s="317" t="n"/>
    </row>
    <row r="119" ht="15.75" customHeight="1" s="372">
      <c r="A119" s="326" t="inlineStr">
        <is>
          <t>Practice difficult staff conversations</t>
        </is>
      </c>
      <c r="B119" s="335" t="inlineStr">
        <is>
          <t>Develop skills for initiating difficult conversations with teachers about instructional performance, professional conduct, or classroom management concerns.</t>
        </is>
      </c>
      <c r="C119" s="335" t="inlineStr">
        <is>
          <t>Build organizational leadership capacity by practicing structured, evidence-based conversations that address staff performance concerns and support professional growth.</t>
        </is>
      </c>
      <c r="D119" s="335" t="inlineStr">
        <is>
          <t>Apply operational human resources management skills by learning how to navigate difficult staff conversations within legal and contractual frameworks.</t>
        </is>
      </c>
      <c r="E119" s="335" t="inlineStr">
        <is>
          <t>Approach difficult staff conversations with an equity lens, examining whether performance concerns reflect systemic barriers, implicit bias, or inadequate support structures.</t>
        </is>
      </c>
      <c r="F119" s="335" t="inlineStr">
        <is>
          <t>Model ethical, professional leadership by conducting difficult staff conversations with honesty, care, confidentiality, and respect for staff dignity and rights.</t>
        </is>
      </c>
      <c r="G119" s="335" t="inlineStr">
        <is>
          <t>Develop advocacy capacity by understanding how school leaders can use difficult conversations to build a culture of professional accountability and continuous improvement.</t>
        </is>
      </c>
      <c r="H119" s="317" t="n"/>
      <c r="I119" s="317" t="n"/>
      <c r="J119" s="317" t="n"/>
      <c r="K119" s="317" t="n"/>
      <c r="L119" s="317" t="n"/>
      <c r="M119" s="317" t="n"/>
      <c r="N119" s="317" t="n"/>
      <c r="O119" s="317" t="n"/>
      <c r="P119" s="317" t="n"/>
      <c r="Q119" s="317" t="n"/>
      <c r="R119" s="317" t="n"/>
      <c r="S119" s="317" t="n"/>
      <c r="T119" s="317" t="n"/>
      <c r="U119" s="317" t="n"/>
      <c r="V119" s="317" t="n"/>
      <c r="W119" s="317" t="n"/>
      <c r="X119" s="317" t="n"/>
      <c r="Y119" s="317" t="n"/>
      <c r="Z119" s="333" t="n"/>
      <c r="AA119" s="317" t="n"/>
    </row>
    <row r="120" ht="15.75" customHeight="1" s="372">
      <c r="A120" s="326" t="inlineStr">
        <is>
          <t>Participate in master schedule development</t>
        </is>
      </c>
      <c r="B120" s="334" t="inlineStr">
        <is>
          <t>Analyze how the master schedule is constructed to protect instructional time, support special education requirements, and enable differentiated course offerings for all learners.</t>
        </is>
      </c>
      <c r="C120" s="334" t="inlineStr">
        <is>
          <t>Participate in master schedule development to understand how scheduling decisions reflect and reinforce the school's strategic priorities and organizational structure.</t>
        </is>
      </c>
      <c r="D120" s="334" t="inlineStr">
        <is>
          <t>Develop operational management expertise by participating in the complex, constraint-driven process of building a school master schedule.</t>
        </is>
      </c>
      <c r="E120" s="334" t="inlineStr">
        <is>
          <t>Examine how scheduling decisions create or eliminate access to advanced coursework, electives, and support programs for diverse student populations.</t>
        </is>
      </c>
      <c r="F120" s="334" t="inlineStr">
        <is>
          <t>Model professional diligence by engaging responsibly in schedule-building as an operational leadership task that has direct consequences for all students and staff.</t>
        </is>
      </c>
      <c r="G120" s="334" t="inlineStr">
        <is>
          <t>Advocate for equitable scheduling practices by identifying and challenging scheduling structures that disproportionately limit opportunities for underserved students.</t>
        </is>
      </c>
      <c r="H120" s="317" t="n"/>
      <c r="I120" s="317" t="n"/>
      <c r="J120" s="317" t="n"/>
      <c r="K120" s="317" t="n"/>
      <c r="L120" s="317" t="n"/>
      <c r="M120" s="317" t="n"/>
      <c r="N120" s="317" t="n"/>
      <c r="O120" s="317" t="n"/>
      <c r="P120" s="317" t="n"/>
      <c r="Q120" s="317" t="n"/>
      <c r="R120" s="317" t="n"/>
      <c r="S120" s="317" t="n"/>
      <c r="T120" s="317" t="n"/>
      <c r="U120" s="317" t="n"/>
      <c r="V120" s="317" t="n"/>
      <c r="W120" s="317" t="n"/>
      <c r="X120" s="317" t="n"/>
      <c r="Y120" s="317" t="n"/>
      <c r="Z120" s="333" t="n"/>
      <c r="AA120" s="317" t="n"/>
    </row>
    <row r="121" ht="15.75" customHeight="1" s="372">
      <c r="A121" s="326" t="inlineStr">
        <is>
          <t>Lead trauma-informed community crisis response</t>
        </is>
      </c>
      <c r="B121" s="335" t="inlineStr">
        <is>
          <t>Develop and practice a trauma-informed school response to a community crisis event, ensuring students have access to counseling, stability, and continued academic support.</t>
        </is>
      </c>
      <c r="C121" s="335" t="inlineStr">
        <is>
          <t>Lead an organizational response to a school or community trauma event, coordinating communication, counseling resources, and staff support in a structured, calm manner.</t>
        </is>
      </c>
      <c r="D121" s="335" t="inlineStr">
        <is>
          <t>Manage the operational logistics of a community crisis response, including staff deployment, family communication, counseling coordination, and return-to-normalcy planning.</t>
        </is>
      </c>
      <c r="E121" s="335" t="inlineStr">
        <is>
          <t>Design a crisis response that is culturally responsive and attentive to the differentiated needs of all students, especially those from vulnerable or trauma-affected communities.</t>
        </is>
      </c>
      <c r="F121" s="335" t="inlineStr">
        <is>
          <t>Model ethical, compassionate professional leadership during a community crisis by prioritizing transparency, student well-being, and respect for all families and staff.</t>
        </is>
      </c>
      <c r="G121" s="335" t="inlineStr">
        <is>
          <t>Advocate for adequate school-based mental health and crisis response resources by documenting the school's response and connecting findings to division and state policy needs.</t>
        </is>
      </c>
      <c r="H121" s="317" t="n"/>
      <c r="I121" s="317" t="n"/>
      <c r="J121" s="317" t="n"/>
      <c r="K121" s="317" t="n"/>
      <c r="L121" s="317" t="n"/>
      <c r="M121" s="317" t="n"/>
      <c r="N121" s="317" t="n"/>
      <c r="O121" s="317" t="n"/>
      <c r="P121" s="317" t="n"/>
      <c r="Q121" s="317" t="n"/>
      <c r="R121" s="317" t="n"/>
      <c r="S121" s="317" t="n"/>
      <c r="T121" s="317" t="n"/>
      <c r="U121" s="317" t="n"/>
      <c r="V121" s="317" t="n"/>
      <c r="W121" s="317" t="n"/>
      <c r="X121" s="317" t="n"/>
      <c r="Y121" s="317" t="n"/>
      <c r="Z121" s="333" t="n"/>
      <c r="AA121" s="317" t="n"/>
    </row>
    <row r="122" ht="15.75" customHeight="1" s="372">
      <c r="A122" s="326" t="inlineStr">
        <is>
          <t>Attend and prepare for school board engagement</t>
        </is>
      </c>
      <c r="B122" s="334" t="inlineStr">
        <is>
          <t>Observe and prepare materials for a school board meeting to understand how board-level policy decisions shape instructional priorities, resources, and school improvement goals.</t>
        </is>
      </c>
      <c r="C122" s="334" t="inlineStr">
        <is>
          <t>Develop organizational advocacy skills by attending school board meetings and observing how administrators present data, communicate strategic goals, and respond to board priorities.</t>
        </is>
      </c>
      <c r="D122" s="334" t="inlineStr">
        <is>
          <t>Understand the operational and legal relationship between the school board, division leadership, and school-level management by attending and analyzing board proceedings.</t>
        </is>
      </c>
      <c r="E122" s="334" t="inlineStr">
        <is>
          <t>Observe how equity issues are raised, debated, and decided at the school board level and identify opportunities for school leaders to advocate for underserved students.</t>
        </is>
      </c>
      <c r="F122" s="334" t="inlineStr">
        <is>
          <t>Model professional engagement with governance by studying how ethical school leaders present honest, transparent information to elected and appointed policymakers.</t>
        </is>
      </c>
      <c r="G122" s="334" t="inlineStr">
        <is>
          <t>Develop advocacy skills by preparing a brief recommendation or school-level report for potential board presentation, connecting school data to division policy priorities.</t>
        </is>
      </c>
      <c r="H122" s="317" t="n"/>
      <c r="I122" s="317" t="n"/>
      <c r="J122" s="317" t="n"/>
      <c r="K122" s="317" t="n"/>
      <c r="L122" s="317" t="n"/>
      <c r="M122" s="317" t="n"/>
      <c r="N122" s="317" t="n"/>
      <c r="O122" s="317" t="n"/>
      <c r="P122" s="317" t="n"/>
      <c r="Q122" s="317" t="n"/>
      <c r="R122" s="317" t="n"/>
      <c r="S122" s="317" t="n"/>
      <c r="T122" s="317" t="n"/>
      <c r="U122" s="317" t="n"/>
      <c r="V122" s="317" t="n"/>
      <c r="W122" s="317" t="n"/>
      <c r="X122" s="317" t="n"/>
      <c r="Y122" s="317" t="n"/>
      <c r="Z122" s="333" t="n"/>
      <c r="AA122" s="317" t="n"/>
    </row>
    <row r="123" ht="15.75" customHeight="1" s="372">
      <c r="A123" s="326" t="inlineStr">
        <is>
          <t>Participate in a division-level equity task force</t>
        </is>
      </c>
      <c r="B123" s="335" t="inlineStr">
        <is>
          <t>Contribute to a division-level equity task force by analyzing cross-school instructional data to identify systemic disparities and recommend equity-focused improvement strategies.</t>
        </is>
      </c>
      <c r="C123" s="335" t="inlineStr">
        <is>
          <t>Engage in a division-level organizational equity review that examines how policies, practices, and resource allocation affect diverse student populations across all schools.</t>
        </is>
      </c>
      <c r="D123" s="335" t="inlineStr">
        <is>
          <t>Apply operational equity review skills at the division level, examining how management decisions in areas like staffing, scheduling, and program access affect student equity.</t>
        </is>
      </c>
      <c r="E123" s="335" t="inlineStr">
        <is>
          <t>Lead or contribute to a cross-school equity analysis that surfaces systemic inequities and develops actionable, data-driven recommendations for division-wide policy change.</t>
        </is>
      </c>
      <c r="F123" s="335" t="inlineStr">
        <is>
          <t>Model ethical professional leadership by engaging honestly and rigorously in a division-level equity task force that requires confronting uncomfortable data and systemic realities.</t>
        </is>
      </c>
      <c r="G123" s="335" t="inlineStr">
        <is>
          <t>Advocate for systemic equity policy by using task force findings to present evidence-based recommendations to division leadership, school board, and community stakeholders.</t>
        </is>
      </c>
      <c r="H123" s="317" t="n"/>
      <c r="I123" s="317" t="n"/>
      <c r="J123" s="317" t="n"/>
      <c r="K123" s="317" t="n"/>
      <c r="L123" s="317" t="n"/>
      <c r="M123" s="317" t="n"/>
      <c r="N123" s="317" t="n"/>
      <c r="O123" s="317" t="n"/>
      <c r="P123" s="317" t="n"/>
      <c r="Q123" s="317" t="n"/>
      <c r="R123" s="317" t="n"/>
      <c r="S123" s="317" t="n"/>
      <c r="T123" s="317" t="n"/>
      <c r="U123" s="317" t="n"/>
      <c r="V123" s="317" t="n"/>
      <c r="W123" s="317" t="n"/>
      <c r="X123" s="317" t="n"/>
      <c r="Y123" s="317" t="n"/>
      <c r="Z123" s="333" t="n"/>
      <c r="AA123" s="317" t="n"/>
    </row>
    <row r="124" ht="15.75" customHeight="1" s="372">
      <c r="A124" s="336" t="n"/>
      <c r="B124" s="337" t="n"/>
      <c r="C124" s="337" t="n"/>
      <c r="D124" s="337" t="n"/>
      <c r="E124" s="337" t="n"/>
      <c r="F124" s="337" t="n"/>
      <c r="G124" s="337" t="n"/>
      <c r="H124" s="317" t="n"/>
      <c r="I124" s="317" t="n"/>
      <c r="J124" s="317" t="n"/>
      <c r="K124" s="317" t="n"/>
      <c r="L124" s="317" t="n"/>
      <c r="M124" s="317" t="n"/>
      <c r="N124" s="317" t="n"/>
      <c r="O124" s="317" t="n"/>
      <c r="P124" s="317" t="n"/>
      <c r="Q124" s="317" t="n"/>
      <c r="R124" s="317" t="n"/>
      <c r="S124" s="317" t="n"/>
      <c r="T124" s="317" t="n"/>
      <c r="U124" s="317" t="n"/>
      <c r="V124" s="317" t="n"/>
      <c r="W124" s="317" t="n"/>
      <c r="X124" s="317" t="n"/>
      <c r="Y124" s="317" t="n"/>
      <c r="Z124" s="333" t="n"/>
      <c r="AA124" s="317" t="n"/>
    </row>
    <row r="125" ht="15.75" customHeight="1" s="372">
      <c r="A125" s="336" t="n"/>
      <c r="B125" s="337" t="n"/>
      <c r="C125" s="337" t="n"/>
      <c r="D125" s="337" t="n"/>
      <c r="E125" s="337" t="n"/>
      <c r="F125" s="337" t="n"/>
      <c r="G125" s="337" t="n"/>
      <c r="H125" s="317" t="n"/>
      <c r="I125" s="317" t="n"/>
      <c r="J125" s="317" t="n"/>
      <c r="K125" s="317" t="n"/>
      <c r="L125" s="317" t="n"/>
      <c r="M125" s="317" t="n"/>
      <c r="N125" s="317" t="n"/>
      <c r="O125" s="317" t="n"/>
      <c r="P125" s="317" t="n"/>
      <c r="Q125" s="317" t="n"/>
      <c r="R125" s="317" t="n"/>
      <c r="S125" s="317" t="n"/>
      <c r="T125" s="317" t="n"/>
      <c r="U125" s="317" t="n"/>
      <c r="V125" s="317" t="n"/>
      <c r="W125" s="317" t="n"/>
      <c r="X125" s="317" t="n"/>
      <c r="Y125" s="317" t="n"/>
      <c r="Z125" s="333" t="n"/>
      <c r="AA125" s="317" t="n"/>
    </row>
    <row r="126" ht="15.75" customHeight="1" s="372">
      <c r="A126" s="336" t="n"/>
      <c r="B126" s="337" t="n"/>
      <c r="C126" s="337" t="n"/>
      <c r="D126" s="337" t="n"/>
      <c r="E126" s="337" t="n"/>
      <c r="F126" s="337" t="n"/>
      <c r="G126" s="337" t="n"/>
      <c r="H126" s="317" t="n"/>
      <c r="I126" s="317" t="n"/>
      <c r="J126" s="317" t="n"/>
      <c r="K126" s="317" t="n"/>
      <c r="L126" s="317" t="n"/>
      <c r="M126" s="317" t="n"/>
      <c r="N126" s="317" t="n"/>
      <c r="O126" s="317" t="n"/>
      <c r="P126" s="317" t="n"/>
      <c r="Q126" s="317" t="n"/>
      <c r="R126" s="317" t="n"/>
      <c r="S126" s="317" t="n"/>
      <c r="T126" s="317" t="n"/>
      <c r="U126" s="317" t="n"/>
      <c r="V126" s="317" t="n"/>
      <c r="W126" s="317" t="n"/>
      <c r="X126" s="317" t="n"/>
      <c r="Y126" s="317" t="n"/>
      <c r="Z126" s="333" t="n"/>
      <c r="AA126" s="317" t="n"/>
    </row>
    <row r="127" ht="15.75" customHeight="1" s="372">
      <c r="A127" s="336" t="n"/>
      <c r="B127" s="337" t="n"/>
      <c r="C127" s="337" t="n"/>
      <c r="D127" s="337" t="n"/>
      <c r="E127" s="337" t="n"/>
      <c r="F127" s="337" t="n"/>
      <c r="G127" s="337" t="n"/>
      <c r="H127" s="317" t="n"/>
      <c r="I127" s="317" t="n"/>
      <c r="J127" s="317" t="n"/>
      <c r="K127" s="317" t="n"/>
      <c r="L127" s="317" t="n"/>
      <c r="M127" s="317" t="n"/>
      <c r="N127" s="317" t="n"/>
      <c r="O127" s="317" t="n"/>
      <c r="P127" s="317" t="n"/>
      <c r="Q127" s="317" t="n"/>
      <c r="R127" s="317" t="n"/>
      <c r="S127" s="317" t="n"/>
      <c r="T127" s="317" t="n"/>
      <c r="U127" s="317" t="n"/>
      <c r="V127" s="317" t="n"/>
      <c r="W127" s="317" t="n"/>
      <c r="X127" s="317" t="n"/>
      <c r="Y127" s="317" t="n"/>
      <c r="Z127" s="333" t="n"/>
      <c r="AA127" s="317" t="n"/>
    </row>
    <row r="128" ht="15.75" customHeight="1" s="372">
      <c r="A128" s="336" t="n"/>
      <c r="B128" s="337" t="n"/>
      <c r="C128" s="337" t="n"/>
      <c r="D128" s="337" t="n"/>
      <c r="E128" s="337" t="n"/>
      <c r="F128" s="337" t="n"/>
      <c r="G128" s="337" t="n"/>
      <c r="H128" s="317" t="n"/>
      <c r="I128" s="317" t="n"/>
      <c r="J128" s="317" t="n"/>
      <c r="K128" s="317" t="n"/>
      <c r="L128" s="317" t="n"/>
      <c r="M128" s="317" t="n"/>
      <c r="N128" s="317" t="n"/>
      <c r="O128" s="317" t="n"/>
      <c r="P128" s="317" t="n"/>
      <c r="Q128" s="317" t="n"/>
      <c r="R128" s="317" t="n"/>
      <c r="S128" s="317" t="n"/>
      <c r="T128" s="317" t="n"/>
      <c r="U128" s="317" t="n"/>
      <c r="V128" s="317" t="n"/>
      <c r="W128" s="317" t="n"/>
      <c r="X128" s="317" t="n"/>
      <c r="Y128" s="317" t="n"/>
      <c r="Z128" s="333" t="n"/>
      <c r="AA128" s="317" t="n"/>
    </row>
    <row r="129" ht="15.75" customHeight="1" s="372">
      <c r="A129" s="336" t="n"/>
      <c r="B129" s="337" t="n"/>
      <c r="C129" s="337" t="n"/>
      <c r="D129" s="337" t="n"/>
      <c r="E129" s="337" t="n"/>
      <c r="F129" s="337" t="n"/>
      <c r="G129" s="337" t="n"/>
      <c r="H129" s="317" t="n"/>
      <c r="I129" s="317" t="n"/>
      <c r="J129" s="317" t="n"/>
      <c r="K129" s="317" t="n"/>
      <c r="L129" s="317" t="n"/>
      <c r="M129" s="317" t="n"/>
      <c r="N129" s="317" t="n"/>
      <c r="O129" s="317" t="n"/>
      <c r="P129" s="317" t="n"/>
      <c r="Q129" s="317" t="n"/>
      <c r="R129" s="317" t="n"/>
      <c r="S129" s="317" t="n"/>
      <c r="T129" s="317" t="n"/>
      <c r="U129" s="317" t="n"/>
      <c r="V129" s="317" t="n"/>
      <c r="W129" s="317" t="n"/>
      <c r="X129" s="317" t="n"/>
      <c r="Y129" s="317" t="n"/>
      <c r="Z129" s="333" t="n"/>
      <c r="AA129" s="317" t="n"/>
    </row>
    <row r="130" ht="15.75" customHeight="1" s="372">
      <c r="A130" s="336" t="n"/>
      <c r="B130" s="337" t="n"/>
      <c r="C130" s="337" t="n"/>
      <c r="D130" s="337" t="n"/>
      <c r="E130" s="337" t="n"/>
      <c r="F130" s="337" t="n"/>
      <c r="G130" s="337" t="n"/>
      <c r="H130" s="317" t="n"/>
      <c r="I130" s="317" t="n"/>
      <c r="J130" s="317" t="n"/>
      <c r="K130" s="317" t="n"/>
      <c r="L130" s="317" t="n"/>
      <c r="M130" s="317" t="n"/>
      <c r="N130" s="317" t="n"/>
      <c r="O130" s="317" t="n"/>
      <c r="P130" s="317" t="n"/>
      <c r="Q130" s="317" t="n"/>
      <c r="R130" s="317" t="n"/>
      <c r="S130" s="317" t="n"/>
      <c r="T130" s="317" t="n"/>
      <c r="U130" s="317" t="n"/>
      <c r="V130" s="317" t="n"/>
      <c r="W130" s="317" t="n"/>
      <c r="X130" s="317" t="n"/>
      <c r="Y130" s="317" t="n"/>
      <c r="Z130" s="333" t="n"/>
      <c r="AA130" s="317" t="n"/>
    </row>
    <row r="131" ht="15.75" customHeight="1" s="372">
      <c r="A131" s="336" t="n"/>
      <c r="B131" s="337" t="n"/>
      <c r="C131" s="337" t="n"/>
      <c r="D131" s="337" t="n"/>
      <c r="E131" s="337" t="n"/>
      <c r="F131" s="337" t="n"/>
      <c r="G131" s="337" t="n"/>
      <c r="H131" s="317" t="n"/>
      <c r="I131" s="317" t="n"/>
      <c r="J131" s="317" t="n"/>
      <c r="K131" s="317" t="n"/>
      <c r="L131" s="317" t="n"/>
      <c r="M131" s="317" t="n"/>
      <c r="N131" s="317" t="n"/>
      <c r="O131" s="317" t="n"/>
      <c r="P131" s="317" t="n"/>
      <c r="Q131" s="317" t="n"/>
      <c r="R131" s="317" t="n"/>
      <c r="S131" s="317" t="n"/>
      <c r="T131" s="317" t="n"/>
      <c r="U131" s="317" t="n"/>
      <c r="V131" s="317" t="n"/>
      <c r="W131" s="317" t="n"/>
      <c r="X131" s="317" t="n"/>
      <c r="Y131" s="317" t="n"/>
      <c r="Z131" s="333" t="n"/>
      <c r="AA131" s="317" t="n"/>
    </row>
    <row r="132" ht="15.75" customHeight="1" s="372">
      <c r="A132" s="336" t="n"/>
      <c r="B132" s="337" t="n"/>
      <c r="C132" s="337" t="n"/>
      <c r="D132" s="337" t="n"/>
      <c r="E132" s="337" t="n"/>
      <c r="F132" s="337" t="n"/>
      <c r="G132" s="337" t="n"/>
      <c r="H132" s="317" t="n"/>
      <c r="I132" s="317" t="n"/>
      <c r="J132" s="317" t="n"/>
      <c r="K132" s="317" t="n"/>
      <c r="L132" s="317" t="n"/>
      <c r="M132" s="317" t="n"/>
      <c r="N132" s="317" t="n"/>
      <c r="O132" s="317" t="n"/>
      <c r="P132" s="317" t="n"/>
      <c r="Q132" s="317" t="n"/>
      <c r="R132" s="317" t="n"/>
      <c r="S132" s="317" t="n"/>
      <c r="T132" s="317" t="n"/>
      <c r="U132" s="317" t="n"/>
      <c r="V132" s="317" t="n"/>
      <c r="W132" s="317" t="n"/>
      <c r="X132" s="317" t="n"/>
      <c r="Y132" s="317" t="n"/>
      <c r="Z132" s="333" t="n"/>
      <c r="AA132" s="317" t="n"/>
    </row>
    <row r="133" ht="15.75" customHeight="1" s="372">
      <c r="A133" s="336" t="n"/>
      <c r="B133" s="337" t="n"/>
      <c r="C133" s="337" t="n"/>
      <c r="D133" s="337" t="n"/>
      <c r="E133" s="337" t="n"/>
      <c r="F133" s="337" t="n"/>
      <c r="G133" s="337" t="n"/>
      <c r="H133" s="317" t="n"/>
      <c r="I133" s="317" t="n"/>
      <c r="J133" s="317" t="n"/>
      <c r="K133" s="317" t="n"/>
      <c r="L133" s="317" t="n"/>
      <c r="M133" s="317" t="n"/>
      <c r="N133" s="317" t="n"/>
      <c r="O133" s="317" t="n"/>
      <c r="P133" s="317" t="n"/>
      <c r="Q133" s="317" t="n"/>
      <c r="R133" s="317" t="n"/>
      <c r="S133" s="317" t="n"/>
      <c r="T133" s="317" t="n"/>
      <c r="U133" s="317" t="n"/>
      <c r="V133" s="317" t="n"/>
      <c r="W133" s="317" t="n"/>
      <c r="X133" s="317" t="n"/>
      <c r="Y133" s="317" t="n"/>
      <c r="Z133" s="333" t="n"/>
      <c r="AA133" s="317" t="n"/>
    </row>
    <row r="134" ht="15.75" customHeight="1" s="372">
      <c r="A134" s="336" t="n"/>
      <c r="B134" s="337" t="n"/>
      <c r="C134" s="337" t="n"/>
      <c r="D134" s="337" t="n"/>
      <c r="E134" s="337" t="n"/>
      <c r="F134" s="337" t="n"/>
      <c r="G134" s="337" t="n"/>
      <c r="H134" s="317" t="n"/>
      <c r="I134" s="317" t="n"/>
      <c r="J134" s="317" t="n"/>
      <c r="K134" s="317" t="n"/>
      <c r="L134" s="317" t="n"/>
      <c r="M134" s="317" t="n"/>
      <c r="N134" s="317" t="n"/>
      <c r="O134" s="317" t="n"/>
      <c r="P134" s="317" t="n"/>
      <c r="Q134" s="317" t="n"/>
      <c r="R134" s="317" t="n"/>
      <c r="S134" s="317" t="n"/>
      <c r="T134" s="317" t="n"/>
      <c r="U134" s="317" t="n"/>
      <c r="V134" s="317" t="n"/>
      <c r="W134" s="317" t="n"/>
      <c r="X134" s="317" t="n"/>
      <c r="Y134" s="317" t="n"/>
      <c r="Z134" s="333" t="n"/>
      <c r="AA134" s="317" t="n"/>
    </row>
    <row r="135" ht="15.75" customHeight="1" s="372">
      <c r="A135" s="336" t="n"/>
      <c r="B135" s="337" t="n"/>
      <c r="C135" s="337" t="n"/>
      <c r="D135" s="337" t="n"/>
      <c r="E135" s="337" t="n"/>
      <c r="F135" s="337" t="n"/>
      <c r="G135" s="337" t="n"/>
      <c r="H135" s="317" t="n"/>
      <c r="I135" s="317" t="n"/>
      <c r="J135" s="317" t="n"/>
      <c r="K135" s="317" t="n"/>
      <c r="L135" s="317" t="n"/>
      <c r="M135" s="317" t="n"/>
      <c r="N135" s="317" t="n"/>
      <c r="O135" s="317" t="n"/>
      <c r="P135" s="317" t="n"/>
      <c r="Q135" s="317" t="n"/>
      <c r="R135" s="317" t="n"/>
      <c r="S135" s="317" t="n"/>
      <c r="T135" s="317" t="n"/>
      <c r="U135" s="317" t="n"/>
      <c r="V135" s="317" t="n"/>
      <c r="W135" s="317" t="n"/>
      <c r="X135" s="317" t="n"/>
      <c r="Y135" s="317" t="n"/>
      <c r="Z135" s="333" t="n"/>
      <c r="AA135" s="317" t="n"/>
    </row>
    <row r="136" ht="15.75" customHeight="1" s="372">
      <c r="A136" s="336" t="n"/>
      <c r="B136" s="337" t="n"/>
      <c r="C136" s="337" t="n"/>
      <c r="D136" s="337" t="n"/>
      <c r="E136" s="337" t="n"/>
      <c r="F136" s="337" t="n"/>
      <c r="G136" s="337" t="n"/>
      <c r="H136" s="317" t="n"/>
      <c r="I136" s="317" t="n"/>
      <c r="J136" s="317" t="n"/>
      <c r="K136" s="317" t="n"/>
      <c r="L136" s="317" t="n"/>
      <c r="M136" s="317" t="n"/>
      <c r="N136" s="317" t="n"/>
      <c r="O136" s="317" t="n"/>
      <c r="P136" s="317" t="n"/>
      <c r="Q136" s="317" t="n"/>
      <c r="R136" s="317" t="n"/>
      <c r="S136" s="317" t="n"/>
      <c r="T136" s="317" t="n"/>
      <c r="U136" s="317" t="n"/>
      <c r="V136" s="317" t="n"/>
      <c r="W136" s="317" t="n"/>
      <c r="X136" s="317" t="n"/>
      <c r="Y136" s="317" t="n"/>
      <c r="Z136" s="333" t="n"/>
      <c r="AA136" s="317" t="n"/>
    </row>
    <row r="137" ht="15.75" customHeight="1" s="372">
      <c r="A137" s="336" t="n"/>
      <c r="B137" s="337" t="n"/>
      <c r="C137" s="337" t="n"/>
      <c r="D137" s="337" t="n"/>
      <c r="E137" s="337" t="n"/>
      <c r="F137" s="337" t="n"/>
      <c r="G137" s="337" t="n"/>
      <c r="H137" s="317" t="n"/>
      <c r="I137" s="317" t="n"/>
      <c r="J137" s="317" t="n"/>
      <c r="K137" s="317" t="n"/>
      <c r="L137" s="317" t="n"/>
      <c r="M137" s="317" t="n"/>
      <c r="N137" s="317" t="n"/>
      <c r="O137" s="317" t="n"/>
      <c r="P137" s="317" t="n"/>
      <c r="Q137" s="317" t="n"/>
      <c r="R137" s="317" t="n"/>
      <c r="S137" s="317" t="n"/>
      <c r="T137" s="317" t="n"/>
      <c r="U137" s="317" t="n"/>
      <c r="V137" s="317" t="n"/>
      <c r="W137" s="317" t="n"/>
      <c r="X137" s="317" t="n"/>
      <c r="Y137" s="317" t="n"/>
      <c r="Z137" s="333" t="n"/>
      <c r="AA137" s="317" t="n"/>
    </row>
    <row r="138" ht="15.75" customHeight="1" s="372">
      <c r="A138" s="336" t="n"/>
      <c r="B138" s="337" t="n"/>
      <c r="C138" s="337" t="n"/>
      <c r="D138" s="337" t="n"/>
      <c r="E138" s="337" t="n"/>
      <c r="F138" s="337" t="n"/>
      <c r="G138" s="337" t="n"/>
      <c r="H138" s="317" t="n"/>
      <c r="I138" s="317" t="n"/>
      <c r="J138" s="317" t="n"/>
      <c r="K138" s="317" t="n"/>
      <c r="L138" s="317" t="n"/>
      <c r="M138" s="317" t="n"/>
      <c r="N138" s="317" t="n"/>
      <c r="O138" s="317" t="n"/>
      <c r="P138" s="317" t="n"/>
      <c r="Q138" s="317" t="n"/>
      <c r="R138" s="317" t="n"/>
      <c r="S138" s="317" t="n"/>
      <c r="T138" s="317" t="n"/>
      <c r="U138" s="317" t="n"/>
      <c r="V138" s="317" t="n"/>
      <c r="W138" s="317" t="n"/>
      <c r="X138" s="317" t="n"/>
      <c r="Y138" s="317" t="n"/>
      <c r="Z138" s="333" t="n"/>
      <c r="AA138" s="317" t="n"/>
    </row>
    <row r="139" ht="15.75" customHeight="1" s="372">
      <c r="A139" s="336" t="n"/>
      <c r="B139" s="337" t="n"/>
      <c r="C139" s="337" t="n"/>
      <c r="D139" s="337" t="n"/>
      <c r="E139" s="337" t="n"/>
      <c r="F139" s="337" t="n"/>
      <c r="G139" s="337" t="n"/>
      <c r="H139" s="317" t="n"/>
      <c r="I139" s="317" t="n"/>
      <c r="J139" s="317" t="n"/>
      <c r="K139" s="317" t="n"/>
      <c r="L139" s="317" t="n"/>
      <c r="M139" s="317" t="n"/>
      <c r="N139" s="317" t="n"/>
      <c r="O139" s="317" t="n"/>
      <c r="P139" s="317" t="n"/>
      <c r="Q139" s="317" t="n"/>
      <c r="R139" s="317" t="n"/>
      <c r="S139" s="317" t="n"/>
      <c r="T139" s="317" t="n"/>
      <c r="U139" s="317" t="n"/>
      <c r="V139" s="317" t="n"/>
      <c r="W139" s="317" t="n"/>
      <c r="X139" s="317" t="n"/>
      <c r="Y139" s="317" t="n"/>
      <c r="Z139" s="333" t="n"/>
      <c r="AA139" s="317" t="n"/>
    </row>
    <row r="140" ht="15.75" customHeight="1" s="372">
      <c r="A140" s="336" t="n"/>
      <c r="B140" s="337" t="n"/>
      <c r="C140" s="337" t="n"/>
      <c r="D140" s="337" t="n"/>
      <c r="E140" s="337" t="n"/>
      <c r="F140" s="337" t="n"/>
      <c r="G140" s="337" t="n"/>
      <c r="H140" s="317" t="n"/>
      <c r="I140" s="317" t="n"/>
      <c r="J140" s="317" t="n"/>
      <c r="K140" s="317" t="n"/>
      <c r="L140" s="317" t="n"/>
      <c r="M140" s="317" t="n"/>
      <c r="N140" s="317" t="n"/>
      <c r="O140" s="317" t="n"/>
      <c r="P140" s="317" t="n"/>
      <c r="Q140" s="317" t="n"/>
      <c r="R140" s="317" t="n"/>
      <c r="S140" s="317" t="n"/>
      <c r="T140" s="317" t="n"/>
      <c r="U140" s="317" t="n"/>
      <c r="V140" s="317" t="n"/>
      <c r="W140" s="317" t="n"/>
      <c r="X140" s="317" t="n"/>
      <c r="Y140" s="317" t="n"/>
      <c r="Z140" s="333" t="n"/>
      <c r="AA140" s="317" t="n"/>
    </row>
    <row r="141" ht="15.75" customHeight="1" s="372">
      <c r="A141" s="336" t="n"/>
      <c r="B141" s="337" t="n"/>
      <c r="C141" s="337" t="n"/>
      <c r="D141" s="337" t="n"/>
      <c r="E141" s="337" t="n"/>
      <c r="F141" s="337" t="n"/>
      <c r="G141" s="337" t="n"/>
      <c r="H141" s="317" t="n"/>
      <c r="I141" s="317" t="n"/>
      <c r="J141" s="317" t="n"/>
      <c r="K141" s="317" t="n"/>
      <c r="L141" s="317" t="n"/>
      <c r="M141" s="317" t="n"/>
      <c r="N141" s="317" t="n"/>
      <c r="O141" s="317" t="n"/>
      <c r="P141" s="317" t="n"/>
      <c r="Q141" s="317" t="n"/>
      <c r="R141" s="317" t="n"/>
      <c r="S141" s="317" t="n"/>
      <c r="T141" s="317" t="n"/>
      <c r="U141" s="317" t="n"/>
      <c r="V141" s="317" t="n"/>
      <c r="W141" s="317" t="n"/>
      <c r="X141" s="317" t="n"/>
      <c r="Y141" s="317" t="n"/>
      <c r="Z141" s="333" t="n"/>
      <c r="AA141" s="317" t="n"/>
    </row>
    <row r="142" ht="15.75" customHeight="1" s="372">
      <c r="A142" s="336" t="n"/>
      <c r="B142" s="337" t="n"/>
      <c r="C142" s="337" t="n"/>
      <c r="D142" s="337" t="n"/>
      <c r="E142" s="337" t="n"/>
      <c r="F142" s="337" t="n"/>
      <c r="G142" s="337" t="n"/>
      <c r="H142" s="317" t="n"/>
      <c r="I142" s="317" t="n"/>
      <c r="J142" s="317" t="n"/>
      <c r="K142" s="317" t="n"/>
      <c r="L142" s="317" t="n"/>
      <c r="M142" s="317" t="n"/>
      <c r="N142" s="317" t="n"/>
      <c r="O142" s="317" t="n"/>
      <c r="P142" s="317" t="n"/>
      <c r="Q142" s="317" t="n"/>
      <c r="R142" s="317" t="n"/>
      <c r="S142" s="317" t="n"/>
      <c r="T142" s="317" t="n"/>
      <c r="U142" s="317" t="n"/>
      <c r="V142" s="317" t="n"/>
      <c r="W142" s="317" t="n"/>
      <c r="X142" s="317" t="n"/>
      <c r="Y142" s="317" t="n"/>
      <c r="Z142" s="333" t="n"/>
      <c r="AA142" s="317" t="n"/>
    </row>
    <row r="143" ht="15.75" customHeight="1" s="372">
      <c r="A143" s="336" t="n"/>
      <c r="B143" s="337" t="n"/>
      <c r="C143" s="337" t="n"/>
      <c r="D143" s="337" t="n"/>
      <c r="E143" s="337" t="n"/>
      <c r="F143" s="337" t="n"/>
      <c r="G143" s="337" t="n"/>
      <c r="H143" s="317" t="n"/>
      <c r="I143" s="317" t="n"/>
      <c r="J143" s="317" t="n"/>
      <c r="K143" s="317" t="n"/>
      <c r="L143" s="317" t="n"/>
      <c r="M143" s="317" t="n"/>
      <c r="N143" s="317" t="n"/>
      <c r="O143" s="317" t="n"/>
      <c r="P143" s="317" t="n"/>
      <c r="Q143" s="317" t="n"/>
      <c r="R143" s="317" t="n"/>
      <c r="S143" s="317" t="n"/>
      <c r="T143" s="317" t="n"/>
      <c r="U143" s="317" t="n"/>
      <c r="V143" s="317" t="n"/>
      <c r="W143" s="317" t="n"/>
      <c r="X143" s="317" t="n"/>
      <c r="Y143" s="317" t="n"/>
      <c r="Z143" s="333" t="n"/>
      <c r="AA143" s="317" t="n"/>
    </row>
    <row r="144" ht="15.75" customHeight="1" s="372">
      <c r="A144" s="336" t="n"/>
      <c r="B144" s="337" t="n"/>
      <c r="C144" s="337" t="n"/>
      <c r="D144" s="337" t="n"/>
      <c r="E144" s="337" t="n"/>
      <c r="F144" s="337" t="n"/>
      <c r="G144" s="337" t="n"/>
      <c r="H144" s="317" t="n"/>
      <c r="I144" s="317" t="n"/>
      <c r="J144" s="317" t="n"/>
      <c r="K144" s="317" t="n"/>
      <c r="L144" s="317" t="n"/>
      <c r="M144" s="317" t="n"/>
      <c r="N144" s="317" t="n"/>
      <c r="O144" s="317" t="n"/>
      <c r="P144" s="317" t="n"/>
      <c r="Q144" s="317" t="n"/>
      <c r="R144" s="317" t="n"/>
      <c r="S144" s="317" t="n"/>
      <c r="T144" s="317" t="n"/>
      <c r="U144" s="317" t="n"/>
      <c r="V144" s="317" t="n"/>
      <c r="W144" s="317" t="n"/>
      <c r="X144" s="317" t="n"/>
      <c r="Y144" s="317" t="n"/>
      <c r="Z144" s="333" t="n"/>
      <c r="AA144" s="317" t="n"/>
    </row>
    <row r="145" ht="15.75" customHeight="1" s="372">
      <c r="A145" s="336" t="n"/>
      <c r="B145" s="337" t="n"/>
      <c r="C145" s="337" t="n"/>
      <c r="D145" s="337" t="n"/>
      <c r="E145" s="337" t="n"/>
      <c r="F145" s="337" t="n"/>
      <c r="G145" s="337" t="n"/>
      <c r="H145" s="317" t="n"/>
      <c r="I145" s="317" t="n"/>
      <c r="J145" s="317" t="n"/>
      <c r="K145" s="317" t="n"/>
      <c r="L145" s="317" t="n"/>
      <c r="M145" s="317" t="n"/>
      <c r="N145" s="317" t="n"/>
      <c r="O145" s="317" t="n"/>
      <c r="P145" s="317" t="n"/>
      <c r="Q145" s="317" t="n"/>
      <c r="R145" s="317" t="n"/>
      <c r="S145" s="317" t="n"/>
      <c r="T145" s="317" t="n"/>
      <c r="U145" s="317" t="n"/>
      <c r="V145" s="317" t="n"/>
      <c r="W145" s="317" t="n"/>
      <c r="X145" s="317" t="n"/>
      <c r="Y145" s="317" t="n"/>
      <c r="Z145" s="333" t="n"/>
      <c r="AA145" s="317" t="n"/>
    </row>
    <row r="146" ht="15.75" customHeight="1" s="372">
      <c r="A146" s="336" t="n"/>
      <c r="B146" s="337" t="n"/>
      <c r="C146" s="337" t="n"/>
      <c r="D146" s="337" t="n"/>
      <c r="E146" s="337" t="n"/>
      <c r="F146" s="337" t="n"/>
      <c r="G146" s="337" t="n"/>
      <c r="H146" s="317" t="n"/>
      <c r="I146" s="317" t="n"/>
      <c r="J146" s="317" t="n"/>
      <c r="K146" s="317" t="n"/>
      <c r="L146" s="317" t="n"/>
      <c r="M146" s="317" t="n"/>
      <c r="N146" s="317" t="n"/>
      <c r="O146" s="317" t="n"/>
      <c r="P146" s="317" t="n"/>
      <c r="Q146" s="317" t="n"/>
      <c r="R146" s="317" t="n"/>
      <c r="S146" s="317" t="n"/>
      <c r="T146" s="317" t="n"/>
      <c r="U146" s="317" t="n"/>
      <c r="V146" s="317" t="n"/>
      <c r="W146" s="317" t="n"/>
      <c r="X146" s="317" t="n"/>
      <c r="Y146" s="317" t="n"/>
      <c r="Z146" s="333" t="n"/>
      <c r="AA146" s="317" t="n"/>
    </row>
    <row r="147" ht="15.75" customHeight="1" s="372">
      <c r="A147" s="336" t="n"/>
      <c r="B147" s="337" t="n"/>
      <c r="C147" s="337" t="n"/>
      <c r="D147" s="337" t="n"/>
      <c r="E147" s="337" t="n"/>
      <c r="F147" s="337" t="n"/>
      <c r="G147" s="337" t="n"/>
      <c r="H147" s="317" t="n"/>
      <c r="I147" s="317" t="n"/>
      <c r="J147" s="317" t="n"/>
      <c r="K147" s="317" t="n"/>
      <c r="L147" s="317" t="n"/>
      <c r="M147" s="317" t="n"/>
      <c r="N147" s="317" t="n"/>
      <c r="O147" s="317" t="n"/>
      <c r="P147" s="317" t="n"/>
      <c r="Q147" s="317" t="n"/>
      <c r="R147" s="317" t="n"/>
      <c r="S147" s="317" t="n"/>
      <c r="T147" s="317" t="n"/>
      <c r="U147" s="317" t="n"/>
      <c r="V147" s="317" t="n"/>
      <c r="W147" s="317" t="n"/>
      <c r="X147" s="317" t="n"/>
      <c r="Y147" s="317" t="n"/>
      <c r="Z147" s="333" t="n"/>
      <c r="AA147" s="317" t="n"/>
    </row>
    <row r="148" ht="15.75" customHeight="1" s="372">
      <c r="A148" s="336" t="n"/>
      <c r="B148" s="337" t="n"/>
      <c r="C148" s="337" t="n"/>
      <c r="D148" s="337" t="n"/>
      <c r="E148" s="337" t="n"/>
      <c r="F148" s="337" t="n"/>
      <c r="G148" s="337" t="n"/>
      <c r="H148" s="317" t="n"/>
      <c r="I148" s="317" t="n"/>
      <c r="J148" s="317" t="n"/>
      <c r="K148" s="317" t="n"/>
      <c r="L148" s="317" t="n"/>
      <c r="M148" s="317" t="n"/>
      <c r="N148" s="317" t="n"/>
      <c r="O148" s="317" t="n"/>
      <c r="P148" s="317" t="n"/>
      <c r="Q148" s="317" t="n"/>
      <c r="R148" s="317" t="n"/>
      <c r="S148" s="317" t="n"/>
      <c r="T148" s="317" t="n"/>
      <c r="U148" s="317" t="n"/>
      <c r="V148" s="317" t="n"/>
      <c r="W148" s="317" t="n"/>
      <c r="X148" s="317" t="n"/>
      <c r="Y148" s="317" t="n"/>
      <c r="Z148" s="333" t="n"/>
      <c r="AA148" s="317" t="n"/>
    </row>
    <row r="149" ht="15.75" customHeight="1" s="372">
      <c r="A149" s="336" t="n"/>
      <c r="B149" s="337" t="n"/>
      <c r="C149" s="337" t="n"/>
      <c r="D149" s="337" t="n"/>
      <c r="E149" s="337" t="n"/>
      <c r="F149" s="337" t="n"/>
      <c r="G149" s="337" t="n"/>
      <c r="H149" s="317" t="n"/>
      <c r="I149" s="317" t="n"/>
      <c r="J149" s="317" t="n"/>
      <c r="K149" s="317" t="n"/>
      <c r="L149" s="317" t="n"/>
      <c r="M149" s="317" t="n"/>
      <c r="N149" s="317" t="n"/>
      <c r="O149" s="317" t="n"/>
      <c r="P149" s="317" t="n"/>
      <c r="Q149" s="317" t="n"/>
      <c r="R149" s="317" t="n"/>
      <c r="S149" s="317" t="n"/>
      <c r="T149" s="317" t="n"/>
      <c r="U149" s="317" t="n"/>
      <c r="V149" s="317" t="n"/>
      <c r="W149" s="317" t="n"/>
      <c r="X149" s="317" t="n"/>
      <c r="Y149" s="317" t="n"/>
      <c r="Z149" s="333" t="n"/>
      <c r="AA149" s="317" t="n"/>
    </row>
    <row r="150" ht="15.75" customHeight="1" s="372">
      <c r="A150" s="336" t="n"/>
      <c r="B150" s="337" t="n"/>
      <c r="C150" s="337" t="n"/>
      <c r="D150" s="337" t="n"/>
      <c r="E150" s="337" t="n"/>
      <c r="F150" s="337" t="n"/>
      <c r="G150" s="337" t="n"/>
      <c r="H150" s="317" t="n"/>
      <c r="I150" s="317" t="n"/>
      <c r="J150" s="317" t="n"/>
      <c r="K150" s="317" t="n"/>
      <c r="L150" s="317" t="n"/>
      <c r="M150" s="317" t="n"/>
      <c r="N150" s="317" t="n"/>
      <c r="O150" s="317" t="n"/>
      <c r="P150" s="317" t="n"/>
      <c r="Q150" s="317" t="n"/>
      <c r="R150" s="317" t="n"/>
      <c r="S150" s="317" t="n"/>
      <c r="T150" s="317" t="n"/>
      <c r="U150" s="317" t="n"/>
      <c r="V150" s="317" t="n"/>
      <c r="W150" s="317" t="n"/>
      <c r="X150" s="317" t="n"/>
      <c r="Y150" s="317" t="n"/>
      <c r="Z150" s="333" t="n"/>
      <c r="AA150" s="317" t="n"/>
    </row>
    <row r="151" ht="15.75" customHeight="1" s="372">
      <c r="A151" s="336" t="n"/>
      <c r="B151" s="337" t="n"/>
      <c r="C151" s="337" t="n"/>
      <c r="D151" s="337" t="n"/>
      <c r="E151" s="337" t="n"/>
      <c r="F151" s="337" t="n"/>
      <c r="G151" s="337" t="n"/>
      <c r="H151" s="317" t="n"/>
      <c r="I151" s="317" t="n"/>
      <c r="J151" s="317" t="n"/>
      <c r="K151" s="317" t="n"/>
      <c r="L151" s="317" t="n"/>
      <c r="M151" s="317" t="n"/>
      <c r="N151" s="317" t="n"/>
      <c r="O151" s="317" t="n"/>
      <c r="P151" s="317" t="n"/>
      <c r="Q151" s="317" t="n"/>
      <c r="R151" s="317" t="n"/>
      <c r="S151" s="317" t="n"/>
      <c r="T151" s="317" t="n"/>
      <c r="U151" s="317" t="n"/>
      <c r="V151" s="317" t="n"/>
      <c r="W151" s="317" t="n"/>
      <c r="X151" s="317" t="n"/>
      <c r="Y151" s="317" t="n"/>
      <c r="Z151" s="333" t="n"/>
      <c r="AA151" s="317" t="n"/>
    </row>
    <row r="152" ht="15.75" customHeight="1" s="372">
      <c r="A152" s="336" t="n"/>
      <c r="B152" s="337" t="n"/>
      <c r="C152" s="337" t="n"/>
      <c r="D152" s="337" t="n"/>
      <c r="E152" s="337" t="n"/>
      <c r="F152" s="337" t="n"/>
      <c r="G152" s="337" t="n"/>
      <c r="H152" s="317" t="n"/>
      <c r="I152" s="317" t="n"/>
      <c r="J152" s="317" t="n"/>
      <c r="K152" s="317" t="n"/>
      <c r="L152" s="317" t="n"/>
      <c r="M152" s="317" t="n"/>
      <c r="N152" s="317" t="n"/>
      <c r="O152" s="317" t="n"/>
      <c r="P152" s="317" t="n"/>
      <c r="Q152" s="317" t="n"/>
      <c r="R152" s="317" t="n"/>
      <c r="S152" s="317" t="n"/>
      <c r="T152" s="317" t="n"/>
      <c r="U152" s="317" t="n"/>
      <c r="V152" s="317" t="n"/>
      <c r="W152" s="317" t="n"/>
      <c r="X152" s="317" t="n"/>
      <c r="Y152" s="317" t="n"/>
      <c r="Z152" s="333" t="n"/>
      <c r="AA152" s="317" t="n"/>
    </row>
    <row r="153" ht="15.75" customHeight="1" s="372">
      <c r="A153" s="336" t="n"/>
      <c r="B153" s="337" t="n"/>
      <c r="C153" s="337" t="n"/>
      <c r="D153" s="337" t="n"/>
      <c r="E153" s="337" t="n"/>
      <c r="F153" s="337" t="n"/>
      <c r="G153" s="337" t="n"/>
      <c r="H153" s="317" t="n"/>
      <c r="I153" s="317" t="n"/>
      <c r="J153" s="317" t="n"/>
      <c r="K153" s="317" t="n"/>
      <c r="L153" s="317" t="n"/>
      <c r="M153" s="317" t="n"/>
      <c r="N153" s="317" t="n"/>
      <c r="O153" s="317" t="n"/>
      <c r="P153" s="317" t="n"/>
      <c r="Q153" s="317" t="n"/>
      <c r="R153" s="317" t="n"/>
      <c r="S153" s="317" t="n"/>
      <c r="T153" s="317" t="n"/>
      <c r="U153" s="317" t="n"/>
      <c r="V153" s="317" t="n"/>
      <c r="W153" s="317" t="n"/>
      <c r="X153" s="317" t="n"/>
      <c r="Y153" s="317" t="n"/>
      <c r="Z153" s="333" t="n"/>
      <c r="AA153" s="317" t="n"/>
    </row>
    <row r="154" ht="15.75" customHeight="1" s="372">
      <c r="A154" s="336" t="n"/>
      <c r="B154" s="337" t="n"/>
      <c r="C154" s="337" t="n"/>
      <c r="D154" s="337" t="n"/>
      <c r="E154" s="337" t="n"/>
      <c r="F154" s="337" t="n"/>
      <c r="G154" s="337" t="n"/>
      <c r="H154" s="317" t="n"/>
      <c r="I154" s="317" t="n"/>
      <c r="J154" s="317" t="n"/>
      <c r="K154" s="317" t="n"/>
      <c r="L154" s="317" t="n"/>
      <c r="M154" s="317" t="n"/>
      <c r="N154" s="317" t="n"/>
      <c r="O154" s="317" t="n"/>
      <c r="P154" s="317" t="n"/>
      <c r="Q154" s="317" t="n"/>
      <c r="R154" s="317" t="n"/>
      <c r="S154" s="317" t="n"/>
      <c r="T154" s="317" t="n"/>
      <c r="U154" s="317" t="n"/>
      <c r="V154" s="317" t="n"/>
      <c r="W154" s="317" t="n"/>
      <c r="X154" s="317" t="n"/>
      <c r="Y154" s="317" t="n"/>
      <c r="Z154" s="333" t="n"/>
      <c r="AA154" s="317" t="n"/>
    </row>
    <row r="155" ht="15.75" customHeight="1" s="372">
      <c r="A155" s="336" t="n"/>
      <c r="B155" s="337" t="n"/>
      <c r="C155" s="337" t="n"/>
      <c r="D155" s="337" t="n"/>
      <c r="E155" s="337" t="n"/>
      <c r="F155" s="337" t="n"/>
      <c r="G155" s="337" t="n"/>
      <c r="H155" s="317" t="n"/>
      <c r="I155" s="317" t="n"/>
      <c r="J155" s="317" t="n"/>
      <c r="K155" s="317" t="n"/>
      <c r="L155" s="317" t="n"/>
      <c r="M155" s="317" t="n"/>
      <c r="N155" s="317" t="n"/>
      <c r="O155" s="317" t="n"/>
      <c r="P155" s="317" t="n"/>
      <c r="Q155" s="317" t="n"/>
      <c r="R155" s="317" t="n"/>
      <c r="S155" s="317" t="n"/>
      <c r="T155" s="317" t="n"/>
      <c r="U155" s="317" t="n"/>
      <c r="V155" s="317" t="n"/>
      <c r="W155" s="317" t="n"/>
      <c r="X155" s="317" t="n"/>
      <c r="Y155" s="317" t="n"/>
      <c r="Z155" s="333" t="n"/>
      <c r="AA155" s="317" t="n"/>
    </row>
    <row r="156" ht="15.75" customHeight="1" s="372">
      <c r="A156" s="336" t="n"/>
      <c r="B156" s="337" t="n"/>
      <c r="C156" s="337" t="n"/>
      <c r="D156" s="337" t="n"/>
      <c r="E156" s="337" t="n"/>
      <c r="F156" s="337" t="n"/>
      <c r="G156" s="337" t="n"/>
      <c r="H156" s="317" t="n"/>
      <c r="I156" s="317" t="n"/>
      <c r="J156" s="317" t="n"/>
      <c r="K156" s="317" t="n"/>
      <c r="L156" s="317" t="n"/>
      <c r="M156" s="317" t="n"/>
      <c r="N156" s="317" t="n"/>
      <c r="O156" s="317" t="n"/>
      <c r="P156" s="317" t="n"/>
      <c r="Q156" s="317" t="n"/>
      <c r="R156" s="317" t="n"/>
      <c r="S156" s="317" t="n"/>
      <c r="T156" s="317" t="n"/>
      <c r="U156" s="317" t="n"/>
      <c r="V156" s="317" t="n"/>
      <c r="W156" s="317" t="n"/>
      <c r="X156" s="317" t="n"/>
      <c r="Y156" s="317" t="n"/>
      <c r="Z156" s="333" t="n"/>
      <c r="AA156" s="317" t="n"/>
    </row>
    <row r="157" ht="15.75" customHeight="1" s="372">
      <c r="A157" s="336" t="n"/>
      <c r="B157" s="337" t="n"/>
      <c r="C157" s="337" t="n"/>
      <c r="D157" s="337" t="n"/>
      <c r="E157" s="337" t="n"/>
      <c r="F157" s="337" t="n"/>
      <c r="G157" s="337" t="n"/>
      <c r="H157" s="317" t="n"/>
      <c r="I157" s="317" t="n"/>
      <c r="J157" s="317" t="n"/>
      <c r="K157" s="317" t="n"/>
      <c r="L157" s="317" t="n"/>
      <c r="M157" s="317" t="n"/>
      <c r="N157" s="317" t="n"/>
      <c r="O157" s="317" t="n"/>
      <c r="P157" s="317" t="n"/>
      <c r="Q157" s="317" t="n"/>
      <c r="R157" s="317" t="n"/>
      <c r="S157" s="317" t="n"/>
      <c r="T157" s="317" t="n"/>
      <c r="U157" s="317" t="n"/>
      <c r="V157" s="317" t="n"/>
      <c r="W157" s="317" t="n"/>
      <c r="X157" s="317" t="n"/>
      <c r="Y157" s="317" t="n"/>
      <c r="Z157" s="333" t="n"/>
      <c r="AA157" s="317" t="n"/>
    </row>
    <row r="158" ht="15.75" customHeight="1" s="372">
      <c r="A158" s="336" t="n"/>
      <c r="B158" s="337" t="n"/>
      <c r="C158" s="337" t="n"/>
      <c r="D158" s="337" t="n"/>
      <c r="E158" s="337" t="n"/>
      <c r="F158" s="337" t="n"/>
      <c r="G158" s="337" t="n"/>
      <c r="H158" s="317" t="n"/>
      <c r="I158" s="317" t="n"/>
      <c r="J158" s="317" t="n"/>
      <c r="K158" s="317" t="n"/>
      <c r="L158" s="317" t="n"/>
      <c r="M158" s="317" t="n"/>
      <c r="N158" s="317" t="n"/>
      <c r="O158" s="317" t="n"/>
      <c r="P158" s="317" t="n"/>
      <c r="Q158" s="317" t="n"/>
      <c r="R158" s="317" t="n"/>
      <c r="S158" s="317" t="n"/>
      <c r="T158" s="317" t="n"/>
      <c r="U158" s="317" t="n"/>
      <c r="V158" s="317" t="n"/>
      <c r="W158" s="317" t="n"/>
      <c r="X158" s="317" t="n"/>
      <c r="Y158" s="317" t="n"/>
      <c r="Z158" s="333" t="n"/>
      <c r="AA158" s="317" t="n"/>
    </row>
    <row r="159" ht="15.75" customHeight="1" s="372">
      <c r="A159" s="336" t="n"/>
      <c r="B159" s="337" t="n"/>
      <c r="C159" s="337" t="n"/>
      <c r="D159" s="337" t="n"/>
      <c r="E159" s="337" t="n"/>
      <c r="F159" s="337" t="n"/>
      <c r="G159" s="337" t="n"/>
      <c r="H159" s="317" t="n"/>
      <c r="I159" s="317" t="n"/>
      <c r="J159" s="317" t="n"/>
      <c r="K159" s="317" t="n"/>
      <c r="L159" s="317" t="n"/>
      <c r="M159" s="317" t="n"/>
      <c r="N159" s="317" t="n"/>
      <c r="O159" s="317" t="n"/>
      <c r="P159" s="317" t="n"/>
      <c r="Q159" s="317" t="n"/>
      <c r="R159" s="317" t="n"/>
      <c r="S159" s="317" t="n"/>
      <c r="T159" s="317" t="n"/>
      <c r="U159" s="317" t="n"/>
      <c r="V159" s="317" t="n"/>
      <c r="W159" s="317" t="n"/>
      <c r="X159" s="317" t="n"/>
      <c r="Y159" s="317" t="n"/>
      <c r="Z159" s="333" t="n"/>
      <c r="AA159" s="317" t="n"/>
    </row>
    <row r="160" ht="15.75" customHeight="1" s="372">
      <c r="A160" s="336" t="n"/>
      <c r="B160" s="337" t="n"/>
      <c r="C160" s="337" t="n"/>
      <c r="D160" s="337" t="n"/>
      <c r="E160" s="337" t="n"/>
      <c r="F160" s="337" t="n"/>
      <c r="G160" s="337" t="n"/>
      <c r="H160" s="317" t="n"/>
      <c r="I160" s="317" t="n"/>
      <c r="J160" s="317" t="n"/>
      <c r="K160" s="317" t="n"/>
      <c r="L160" s="317" t="n"/>
      <c r="M160" s="317" t="n"/>
      <c r="N160" s="317" t="n"/>
      <c r="O160" s="317" t="n"/>
      <c r="P160" s="317" t="n"/>
      <c r="Q160" s="317" t="n"/>
      <c r="R160" s="317" t="n"/>
      <c r="S160" s="317" t="n"/>
      <c r="T160" s="317" t="n"/>
      <c r="U160" s="317" t="n"/>
      <c r="V160" s="317" t="n"/>
      <c r="W160" s="317" t="n"/>
      <c r="X160" s="317" t="n"/>
      <c r="Y160" s="317" t="n"/>
      <c r="Z160" s="333" t="n"/>
      <c r="AA160" s="317" t="n"/>
    </row>
    <row r="161" ht="15.75" customHeight="1" s="372">
      <c r="A161" s="336" t="n"/>
      <c r="B161" s="337" t="n"/>
      <c r="C161" s="337" t="n"/>
      <c r="D161" s="337" t="n"/>
      <c r="E161" s="337" t="n"/>
      <c r="F161" s="337" t="n"/>
      <c r="G161" s="337" t="n"/>
      <c r="H161" s="317" t="n"/>
      <c r="I161" s="317" t="n"/>
      <c r="J161" s="317" t="n"/>
      <c r="K161" s="317" t="n"/>
      <c r="L161" s="317" t="n"/>
      <c r="M161" s="317" t="n"/>
      <c r="N161" s="317" t="n"/>
      <c r="O161" s="317" t="n"/>
      <c r="P161" s="317" t="n"/>
      <c r="Q161" s="317" t="n"/>
      <c r="R161" s="317" t="n"/>
      <c r="S161" s="317" t="n"/>
      <c r="T161" s="317" t="n"/>
      <c r="U161" s="317" t="n"/>
      <c r="V161" s="317" t="n"/>
      <c r="W161" s="317" t="n"/>
      <c r="X161" s="317" t="n"/>
      <c r="Y161" s="317" t="n"/>
      <c r="Z161" s="333" t="n"/>
      <c r="AA161" s="317" t="n"/>
    </row>
    <row r="162" ht="15.75" customHeight="1" s="372">
      <c r="A162" s="336" t="n"/>
      <c r="B162" s="337" t="n"/>
      <c r="C162" s="337" t="n"/>
      <c r="D162" s="337" t="n"/>
      <c r="E162" s="337" t="n"/>
      <c r="F162" s="337" t="n"/>
      <c r="G162" s="337" t="n"/>
      <c r="H162" s="317" t="n"/>
      <c r="I162" s="317" t="n"/>
      <c r="J162" s="317" t="n"/>
      <c r="K162" s="317" t="n"/>
      <c r="L162" s="317" t="n"/>
      <c r="M162" s="317" t="n"/>
      <c r="N162" s="317" t="n"/>
      <c r="O162" s="317" t="n"/>
      <c r="P162" s="317" t="n"/>
      <c r="Q162" s="317" t="n"/>
      <c r="R162" s="317" t="n"/>
      <c r="S162" s="317" t="n"/>
      <c r="T162" s="317" t="n"/>
      <c r="U162" s="317" t="n"/>
      <c r="V162" s="317" t="n"/>
      <c r="W162" s="317" t="n"/>
      <c r="X162" s="317" t="n"/>
      <c r="Y162" s="317" t="n"/>
      <c r="Z162" s="333" t="n"/>
      <c r="AA162" s="317" t="n"/>
    </row>
    <row r="163" ht="15.75" customHeight="1" s="372">
      <c r="A163" s="336" t="n"/>
      <c r="B163" s="337" t="n"/>
      <c r="C163" s="337" t="n"/>
      <c r="D163" s="337" t="n"/>
      <c r="E163" s="337" t="n"/>
      <c r="F163" s="337" t="n"/>
      <c r="G163" s="337" t="n"/>
      <c r="H163" s="317" t="n"/>
      <c r="I163" s="317" t="n"/>
      <c r="J163" s="317" t="n"/>
      <c r="K163" s="317" t="n"/>
      <c r="L163" s="317" t="n"/>
      <c r="M163" s="317" t="n"/>
      <c r="N163" s="317" t="n"/>
      <c r="O163" s="317" t="n"/>
      <c r="P163" s="317" t="n"/>
      <c r="Q163" s="317" t="n"/>
      <c r="R163" s="317" t="n"/>
      <c r="S163" s="317" t="n"/>
      <c r="T163" s="317" t="n"/>
      <c r="U163" s="317" t="n"/>
      <c r="V163" s="317" t="n"/>
      <c r="W163" s="317" t="n"/>
      <c r="X163" s="317" t="n"/>
      <c r="Y163" s="317" t="n"/>
      <c r="Z163" s="333" t="n"/>
      <c r="AA163" s="317" t="n"/>
    </row>
    <row r="164" ht="15.75" customHeight="1" s="372">
      <c r="A164" s="336" t="n"/>
      <c r="B164" s="337" t="n"/>
      <c r="C164" s="337" t="n"/>
      <c r="D164" s="337" t="n"/>
      <c r="E164" s="337" t="n"/>
      <c r="F164" s="337" t="n"/>
      <c r="G164" s="337" t="n"/>
      <c r="H164" s="317" t="n"/>
      <c r="I164" s="317" t="n"/>
      <c r="J164" s="317" t="n"/>
      <c r="K164" s="317" t="n"/>
      <c r="L164" s="317" t="n"/>
      <c r="M164" s="317" t="n"/>
      <c r="N164" s="317" t="n"/>
      <c r="O164" s="317" t="n"/>
      <c r="P164" s="317" t="n"/>
      <c r="Q164" s="317" t="n"/>
      <c r="R164" s="317" t="n"/>
      <c r="S164" s="317" t="n"/>
      <c r="T164" s="317" t="n"/>
      <c r="U164" s="317" t="n"/>
      <c r="V164" s="317" t="n"/>
      <c r="W164" s="317" t="n"/>
      <c r="X164" s="317" t="n"/>
      <c r="Y164" s="317" t="n"/>
      <c r="Z164" s="333" t="n"/>
      <c r="AA164" s="317" t="n"/>
    </row>
    <row r="165" ht="15.75" customHeight="1" s="372">
      <c r="A165" s="336" t="n"/>
      <c r="B165" s="337" t="n"/>
      <c r="C165" s="337" t="n"/>
      <c r="D165" s="337" t="n"/>
      <c r="E165" s="337" t="n"/>
      <c r="F165" s="337" t="n"/>
      <c r="G165" s="337" t="n"/>
      <c r="H165" s="317" t="n"/>
      <c r="I165" s="317" t="n"/>
      <c r="J165" s="317" t="n"/>
      <c r="K165" s="317" t="n"/>
      <c r="L165" s="317" t="n"/>
      <c r="M165" s="317" t="n"/>
      <c r="N165" s="317" t="n"/>
      <c r="O165" s="317" t="n"/>
      <c r="P165" s="317" t="n"/>
      <c r="Q165" s="317" t="n"/>
      <c r="R165" s="317" t="n"/>
      <c r="S165" s="317" t="n"/>
      <c r="T165" s="317" t="n"/>
      <c r="U165" s="317" t="n"/>
      <c r="V165" s="317" t="n"/>
      <c r="W165" s="317" t="n"/>
      <c r="X165" s="317" t="n"/>
      <c r="Y165" s="317" t="n"/>
      <c r="Z165" s="333" t="n"/>
      <c r="AA165" s="317" t="n"/>
    </row>
    <row r="166" ht="15.75" customHeight="1" s="372">
      <c r="A166" s="336" t="n"/>
      <c r="B166" s="337" t="n"/>
      <c r="C166" s="337" t="n"/>
      <c r="D166" s="337" t="n"/>
      <c r="E166" s="337" t="n"/>
      <c r="F166" s="337" t="n"/>
      <c r="G166" s="337" t="n"/>
      <c r="H166" s="317" t="n"/>
      <c r="I166" s="317" t="n"/>
      <c r="J166" s="317" t="n"/>
      <c r="K166" s="317" t="n"/>
      <c r="L166" s="317" t="n"/>
      <c r="M166" s="317" t="n"/>
      <c r="N166" s="317" t="n"/>
      <c r="O166" s="317" t="n"/>
      <c r="P166" s="317" t="n"/>
      <c r="Q166" s="317" t="n"/>
      <c r="R166" s="317" t="n"/>
      <c r="S166" s="317" t="n"/>
      <c r="T166" s="317" t="n"/>
      <c r="U166" s="317" t="n"/>
      <c r="V166" s="317" t="n"/>
      <c r="W166" s="317" t="n"/>
      <c r="X166" s="317" t="n"/>
      <c r="Y166" s="317" t="n"/>
      <c r="Z166" s="333" t="n"/>
      <c r="AA166" s="317" t="n"/>
    </row>
    <row r="167" ht="15.75" customHeight="1" s="372">
      <c r="A167" s="336" t="n"/>
      <c r="B167" s="337" t="n"/>
      <c r="C167" s="337" t="n"/>
      <c r="D167" s="337" t="n"/>
      <c r="E167" s="337" t="n"/>
      <c r="F167" s="337" t="n"/>
      <c r="G167" s="337" t="n"/>
      <c r="H167" s="317" t="n"/>
      <c r="I167" s="317" t="n"/>
      <c r="J167" s="317" t="n"/>
      <c r="K167" s="317" t="n"/>
      <c r="L167" s="317" t="n"/>
      <c r="M167" s="317" t="n"/>
      <c r="N167" s="317" t="n"/>
      <c r="O167" s="317" t="n"/>
      <c r="P167" s="317" t="n"/>
      <c r="Q167" s="317" t="n"/>
      <c r="R167" s="317" t="n"/>
      <c r="S167" s="317" t="n"/>
      <c r="T167" s="317" t="n"/>
      <c r="U167" s="317" t="n"/>
      <c r="V167" s="317" t="n"/>
      <c r="W167" s="317" t="n"/>
      <c r="X167" s="317" t="n"/>
      <c r="Y167" s="317" t="n"/>
      <c r="Z167" s="333" t="n"/>
      <c r="AA167" s="317" t="n"/>
    </row>
    <row r="168" ht="15.75" customHeight="1" s="372">
      <c r="A168" s="336" t="n"/>
      <c r="B168" s="337" t="n"/>
      <c r="C168" s="337" t="n"/>
      <c r="D168" s="337" t="n"/>
      <c r="E168" s="337" t="n"/>
      <c r="F168" s="337" t="n"/>
      <c r="G168" s="337" t="n"/>
      <c r="H168" s="317" t="n"/>
      <c r="I168" s="317" t="n"/>
      <c r="J168" s="317" t="n"/>
      <c r="K168" s="317" t="n"/>
      <c r="L168" s="317" t="n"/>
      <c r="M168" s="317" t="n"/>
      <c r="N168" s="317" t="n"/>
      <c r="O168" s="317" t="n"/>
      <c r="P168" s="317" t="n"/>
      <c r="Q168" s="317" t="n"/>
      <c r="R168" s="317" t="n"/>
      <c r="S168" s="317" t="n"/>
      <c r="T168" s="317" t="n"/>
      <c r="U168" s="317" t="n"/>
      <c r="V168" s="317" t="n"/>
      <c r="W168" s="317" t="n"/>
      <c r="X168" s="317" t="n"/>
      <c r="Y168" s="317" t="n"/>
      <c r="Z168" s="333" t="n"/>
      <c r="AA168" s="317" t="n"/>
    </row>
    <row r="169" ht="15.75" customHeight="1" s="372">
      <c r="A169" s="336" t="n"/>
      <c r="B169" s="337" t="n"/>
      <c r="C169" s="337" t="n"/>
      <c r="D169" s="337" t="n"/>
      <c r="E169" s="337" t="n"/>
      <c r="F169" s="337" t="n"/>
      <c r="G169" s="337" t="n"/>
      <c r="H169" s="317" t="n"/>
      <c r="I169" s="317" t="n"/>
      <c r="J169" s="317" t="n"/>
      <c r="K169" s="317" t="n"/>
      <c r="L169" s="317" t="n"/>
      <c r="M169" s="317" t="n"/>
      <c r="N169" s="317" t="n"/>
      <c r="O169" s="317" t="n"/>
      <c r="P169" s="317" t="n"/>
      <c r="Q169" s="317" t="n"/>
      <c r="R169" s="317" t="n"/>
      <c r="S169" s="317" t="n"/>
      <c r="T169" s="317" t="n"/>
      <c r="U169" s="317" t="n"/>
      <c r="V169" s="317" t="n"/>
      <c r="W169" s="317" t="n"/>
      <c r="X169" s="317" t="n"/>
      <c r="Y169" s="317" t="n"/>
      <c r="Z169" s="333" t="n"/>
      <c r="AA169" s="317" t="n"/>
    </row>
    <row r="170" ht="15.75" customHeight="1" s="372">
      <c r="A170" s="336" t="n"/>
      <c r="B170" s="337" t="n"/>
      <c r="C170" s="337" t="n"/>
      <c r="D170" s="337" t="n"/>
      <c r="E170" s="337" t="n"/>
      <c r="F170" s="337" t="n"/>
      <c r="G170" s="337" t="n"/>
      <c r="H170" s="317" t="n"/>
      <c r="I170" s="317" t="n"/>
      <c r="J170" s="317" t="n"/>
      <c r="K170" s="317" t="n"/>
      <c r="L170" s="317" t="n"/>
      <c r="M170" s="317" t="n"/>
      <c r="N170" s="317" t="n"/>
      <c r="O170" s="317" t="n"/>
      <c r="P170" s="317" t="n"/>
      <c r="Q170" s="317" t="n"/>
      <c r="R170" s="317" t="n"/>
      <c r="S170" s="317" t="n"/>
      <c r="T170" s="317" t="n"/>
      <c r="U170" s="317" t="n"/>
      <c r="V170" s="317" t="n"/>
      <c r="W170" s="317" t="n"/>
      <c r="X170" s="317" t="n"/>
      <c r="Y170" s="317" t="n"/>
      <c r="Z170" s="333" t="n"/>
      <c r="AA170" s="317" t="n"/>
    </row>
    <row r="171" ht="15.75" customHeight="1" s="372">
      <c r="A171" s="336" t="n"/>
      <c r="B171" s="337" t="n"/>
      <c r="C171" s="337" t="n"/>
      <c r="D171" s="337" t="n"/>
      <c r="E171" s="337" t="n"/>
      <c r="F171" s="337" t="n"/>
      <c r="G171" s="337" t="n"/>
      <c r="H171" s="317" t="n"/>
      <c r="I171" s="317" t="n"/>
      <c r="J171" s="317" t="n"/>
      <c r="K171" s="317" t="n"/>
      <c r="L171" s="317" t="n"/>
      <c r="M171" s="317" t="n"/>
      <c r="N171" s="317" t="n"/>
      <c r="O171" s="317" t="n"/>
      <c r="P171" s="317" t="n"/>
      <c r="Q171" s="317" t="n"/>
      <c r="R171" s="317" t="n"/>
      <c r="S171" s="317" t="n"/>
      <c r="T171" s="317" t="n"/>
      <c r="U171" s="317" t="n"/>
      <c r="V171" s="317" t="n"/>
      <c r="W171" s="317" t="n"/>
      <c r="X171" s="317" t="n"/>
      <c r="Y171" s="317" t="n"/>
      <c r="Z171" s="333" t="n"/>
      <c r="AA171" s="317" t="n"/>
    </row>
    <row r="172" ht="15.75" customHeight="1" s="372">
      <c r="A172" s="336" t="n"/>
      <c r="B172" s="337" t="n"/>
      <c r="C172" s="337" t="n"/>
      <c r="D172" s="337" t="n"/>
      <c r="E172" s="337" t="n"/>
      <c r="F172" s="337" t="n"/>
      <c r="G172" s="337" t="n"/>
      <c r="H172" s="317" t="n"/>
      <c r="I172" s="317" t="n"/>
      <c r="J172" s="317" t="n"/>
      <c r="K172" s="317" t="n"/>
      <c r="L172" s="317" t="n"/>
      <c r="M172" s="317" t="n"/>
      <c r="N172" s="317" t="n"/>
      <c r="O172" s="317" t="n"/>
      <c r="P172" s="317" t="n"/>
      <c r="Q172" s="317" t="n"/>
      <c r="R172" s="317" t="n"/>
      <c r="S172" s="317" t="n"/>
      <c r="T172" s="317" t="n"/>
      <c r="U172" s="317" t="n"/>
      <c r="V172" s="317" t="n"/>
      <c r="W172" s="317" t="n"/>
      <c r="X172" s="317" t="n"/>
      <c r="Y172" s="317" t="n"/>
      <c r="Z172" s="333" t="n"/>
      <c r="AA172" s="317" t="n"/>
    </row>
    <row r="173" ht="15.75" customHeight="1" s="372">
      <c r="A173" s="336" t="n"/>
      <c r="B173" s="337" t="n"/>
      <c r="C173" s="337" t="n"/>
      <c r="D173" s="337" t="n"/>
      <c r="E173" s="337" t="n"/>
      <c r="F173" s="337" t="n"/>
      <c r="G173" s="337" t="n"/>
      <c r="H173" s="317" t="n"/>
      <c r="I173" s="317" t="n"/>
      <c r="J173" s="317" t="n"/>
      <c r="K173" s="317" t="n"/>
      <c r="L173" s="317" t="n"/>
      <c r="M173" s="317" t="n"/>
      <c r="N173" s="317" t="n"/>
      <c r="O173" s="317" t="n"/>
      <c r="P173" s="317" t="n"/>
      <c r="Q173" s="317" t="n"/>
      <c r="R173" s="317" t="n"/>
      <c r="S173" s="317" t="n"/>
      <c r="T173" s="317" t="n"/>
      <c r="U173" s="317" t="n"/>
      <c r="V173" s="317" t="n"/>
      <c r="W173" s="317" t="n"/>
      <c r="X173" s="317" t="n"/>
      <c r="Y173" s="317" t="n"/>
      <c r="Z173" s="333" t="n"/>
      <c r="AA173" s="317" t="n"/>
    </row>
    <row r="174" ht="15.75" customHeight="1" s="372">
      <c r="A174" s="336" t="n"/>
      <c r="B174" s="337" t="n"/>
      <c r="C174" s="337" t="n"/>
      <c r="D174" s="337" t="n"/>
      <c r="E174" s="337" t="n"/>
      <c r="F174" s="337" t="n"/>
      <c r="G174" s="337" t="n"/>
      <c r="H174" s="317" t="n"/>
      <c r="I174" s="317" t="n"/>
      <c r="J174" s="317" t="n"/>
      <c r="K174" s="317" t="n"/>
      <c r="L174" s="317" t="n"/>
      <c r="M174" s="317" t="n"/>
      <c r="N174" s="317" t="n"/>
      <c r="O174" s="317" t="n"/>
      <c r="P174" s="317" t="n"/>
      <c r="Q174" s="317" t="n"/>
      <c r="R174" s="317" t="n"/>
      <c r="S174" s="317" t="n"/>
      <c r="T174" s="317" t="n"/>
      <c r="U174" s="317" t="n"/>
      <c r="V174" s="317" t="n"/>
      <c r="W174" s="317" t="n"/>
      <c r="X174" s="317" t="n"/>
      <c r="Y174" s="317" t="n"/>
      <c r="Z174" s="333" t="n"/>
      <c r="AA174" s="317" t="n"/>
    </row>
    <row r="175" ht="15.75" customHeight="1" s="372">
      <c r="A175" s="336" t="n"/>
      <c r="B175" s="337" t="n"/>
      <c r="C175" s="337" t="n"/>
      <c r="D175" s="337" t="n"/>
      <c r="E175" s="337" t="n"/>
      <c r="F175" s="337" t="n"/>
      <c r="G175" s="337" t="n"/>
      <c r="H175" s="317" t="n"/>
      <c r="I175" s="317" t="n"/>
      <c r="J175" s="317" t="n"/>
      <c r="K175" s="317" t="n"/>
      <c r="L175" s="317" t="n"/>
      <c r="M175" s="317" t="n"/>
      <c r="N175" s="317" t="n"/>
      <c r="O175" s="317" t="n"/>
      <c r="P175" s="317" t="n"/>
      <c r="Q175" s="317" t="n"/>
      <c r="R175" s="317" t="n"/>
      <c r="S175" s="317" t="n"/>
      <c r="T175" s="317" t="n"/>
      <c r="U175" s="317" t="n"/>
      <c r="V175" s="317" t="n"/>
      <c r="W175" s="317" t="n"/>
      <c r="X175" s="317" t="n"/>
      <c r="Y175" s="317" t="n"/>
      <c r="Z175" s="333" t="n"/>
      <c r="AA175" s="317" t="n"/>
    </row>
    <row r="176" ht="15.75" customHeight="1" s="372">
      <c r="A176" s="336" t="n"/>
      <c r="B176" s="337" t="n"/>
      <c r="C176" s="337" t="n"/>
      <c r="D176" s="337" t="n"/>
      <c r="E176" s="337" t="n"/>
      <c r="F176" s="337" t="n"/>
      <c r="G176" s="337" t="n"/>
      <c r="H176" s="317" t="n"/>
      <c r="I176" s="317" t="n"/>
      <c r="J176" s="317" t="n"/>
      <c r="K176" s="317" t="n"/>
      <c r="L176" s="317" t="n"/>
      <c r="M176" s="317" t="n"/>
      <c r="N176" s="317" t="n"/>
      <c r="O176" s="317" t="n"/>
      <c r="P176" s="317" t="n"/>
      <c r="Q176" s="317" t="n"/>
      <c r="R176" s="317" t="n"/>
      <c r="S176" s="317" t="n"/>
      <c r="T176" s="317" t="n"/>
      <c r="U176" s="317" t="n"/>
      <c r="V176" s="317" t="n"/>
      <c r="W176" s="317" t="n"/>
      <c r="X176" s="317" t="n"/>
      <c r="Y176" s="317" t="n"/>
      <c r="Z176" s="333" t="n"/>
      <c r="AA176" s="317" t="n"/>
    </row>
    <row r="177" ht="15.75" customHeight="1" s="372">
      <c r="A177" s="336" t="n"/>
      <c r="B177" s="337" t="n"/>
      <c r="C177" s="337" t="n"/>
      <c r="D177" s="337" t="n"/>
      <c r="E177" s="337" t="n"/>
      <c r="F177" s="337" t="n"/>
      <c r="G177" s="337" t="n"/>
      <c r="H177" s="317" t="n"/>
      <c r="I177" s="317" t="n"/>
      <c r="J177" s="317" t="n"/>
      <c r="K177" s="317" t="n"/>
      <c r="L177" s="317" t="n"/>
      <c r="M177" s="317" t="n"/>
      <c r="N177" s="317" t="n"/>
      <c r="O177" s="317" t="n"/>
      <c r="P177" s="317" t="n"/>
      <c r="Q177" s="317" t="n"/>
      <c r="R177" s="317" t="n"/>
      <c r="S177" s="317" t="n"/>
      <c r="T177" s="317" t="n"/>
      <c r="U177" s="317" t="n"/>
      <c r="V177" s="317" t="n"/>
      <c r="W177" s="317" t="n"/>
      <c r="X177" s="317" t="n"/>
      <c r="Y177" s="317" t="n"/>
      <c r="Z177" s="333" t="n"/>
      <c r="AA177" s="317" t="n"/>
    </row>
    <row r="178" ht="15.75" customHeight="1" s="372">
      <c r="A178" s="336" t="n"/>
      <c r="B178" s="337" t="n"/>
      <c r="C178" s="337" t="n"/>
      <c r="D178" s="337" t="n"/>
      <c r="E178" s="337" t="n"/>
      <c r="F178" s="337" t="n"/>
      <c r="G178" s="337" t="n"/>
      <c r="H178" s="317" t="n"/>
      <c r="I178" s="317" t="n"/>
      <c r="J178" s="317" t="n"/>
      <c r="K178" s="317" t="n"/>
      <c r="L178" s="317" t="n"/>
      <c r="M178" s="317" t="n"/>
      <c r="N178" s="317" t="n"/>
      <c r="O178" s="317" t="n"/>
      <c r="P178" s="317" t="n"/>
      <c r="Q178" s="317" t="n"/>
      <c r="R178" s="317" t="n"/>
      <c r="S178" s="317" t="n"/>
      <c r="T178" s="317" t="n"/>
      <c r="U178" s="317" t="n"/>
      <c r="V178" s="317" t="n"/>
      <c r="W178" s="317" t="n"/>
      <c r="X178" s="317" t="n"/>
      <c r="Y178" s="317" t="n"/>
      <c r="Z178" s="333" t="n"/>
      <c r="AA178" s="317" t="n"/>
    </row>
    <row r="179" ht="15.75" customHeight="1" s="372">
      <c r="A179" s="336" t="n"/>
      <c r="B179" s="337" t="n"/>
      <c r="C179" s="337" t="n"/>
      <c r="D179" s="337" t="n"/>
      <c r="E179" s="337" t="n"/>
      <c r="F179" s="337" t="n"/>
      <c r="G179" s="337" t="n"/>
      <c r="H179" s="317" t="n"/>
      <c r="I179" s="317" t="n"/>
      <c r="J179" s="317" t="n"/>
      <c r="K179" s="317" t="n"/>
      <c r="L179" s="317" t="n"/>
      <c r="M179" s="317" t="n"/>
      <c r="N179" s="317" t="n"/>
      <c r="O179" s="317" t="n"/>
      <c r="P179" s="317" t="n"/>
      <c r="Q179" s="317" t="n"/>
      <c r="R179" s="317" t="n"/>
      <c r="S179" s="317" t="n"/>
      <c r="T179" s="317" t="n"/>
      <c r="U179" s="317" t="n"/>
      <c r="V179" s="317" t="n"/>
      <c r="W179" s="317" t="n"/>
      <c r="X179" s="317" t="n"/>
      <c r="Y179" s="317" t="n"/>
      <c r="Z179" s="333" t="n"/>
      <c r="AA179" s="317" t="n"/>
    </row>
    <row r="180" ht="15.75" customHeight="1" s="372">
      <c r="A180" s="336" t="n"/>
      <c r="B180" s="337" t="n"/>
      <c r="C180" s="337" t="n"/>
      <c r="D180" s="337" t="n"/>
      <c r="E180" s="337" t="n"/>
      <c r="F180" s="337" t="n"/>
      <c r="G180" s="337" t="n"/>
      <c r="H180" s="317" t="n"/>
      <c r="I180" s="317" t="n"/>
      <c r="J180" s="317" t="n"/>
      <c r="K180" s="317" t="n"/>
      <c r="L180" s="317" t="n"/>
      <c r="M180" s="317" t="n"/>
      <c r="N180" s="317" t="n"/>
      <c r="O180" s="317" t="n"/>
      <c r="P180" s="317" t="n"/>
      <c r="Q180" s="317" t="n"/>
      <c r="R180" s="317" t="n"/>
      <c r="S180" s="317" t="n"/>
      <c r="T180" s="317" t="n"/>
      <c r="U180" s="317" t="n"/>
      <c r="V180" s="317" t="n"/>
      <c r="W180" s="317" t="n"/>
      <c r="X180" s="317" t="n"/>
      <c r="Y180" s="317" t="n"/>
      <c r="Z180" s="333" t="n"/>
      <c r="AA180" s="317" t="n"/>
    </row>
    <row r="181" ht="15.75" customHeight="1" s="372">
      <c r="A181" s="336" t="n"/>
      <c r="B181" s="337" t="n"/>
      <c r="C181" s="337" t="n"/>
      <c r="D181" s="337" t="n"/>
      <c r="E181" s="337" t="n"/>
      <c r="F181" s="337" t="n"/>
      <c r="G181" s="337" t="n"/>
      <c r="H181" s="317" t="n"/>
      <c r="I181" s="317" t="n"/>
      <c r="J181" s="317" t="n"/>
      <c r="K181" s="317" t="n"/>
      <c r="L181" s="317" t="n"/>
      <c r="M181" s="317" t="n"/>
      <c r="N181" s="317" t="n"/>
      <c r="O181" s="317" t="n"/>
      <c r="P181" s="317" t="n"/>
      <c r="Q181" s="317" t="n"/>
      <c r="R181" s="317" t="n"/>
      <c r="S181" s="317" t="n"/>
      <c r="T181" s="317" t="n"/>
      <c r="U181" s="317" t="n"/>
      <c r="V181" s="317" t="n"/>
      <c r="W181" s="317" t="n"/>
      <c r="X181" s="317" t="n"/>
      <c r="Y181" s="317" t="n"/>
      <c r="Z181" s="333" t="n"/>
      <c r="AA181" s="317" t="n"/>
    </row>
    <row r="182" ht="15.75" customHeight="1" s="372">
      <c r="A182" s="336" t="n"/>
      <c r="B182" s="337" t="n"/>
      <c r="C182" s="337" t="n"/>
      <c r="D182" s="337" t="n"/>
      <c r="E182" s="337" t="n"/>
      <c r="F182" s="337" t="n"/>
      <c r="G182" s="337" t="n"/>
      <c r="H182" s="317" t="n"/>
      <c r="I182" s="317" t="n"/>
      <c r="J182" s="317" t="n"/>
      <c r="K182" s="317" t="n"/>
      <c r="L182" s="317" t="n"/>
      <c r="M182" s="317" t="n"/>
      <c r="N182" s="317" t="n"/>
      <c r="O182" s="317" t="n"/>
      <c r="P182" s="317" t="n"/>
      <c r="Q182" s="317" t="n"/>
      <c r="R182" s="317" t="n"/>
      <c r="S182" s="317" t="n"/>
      <c r="T182" s="317" t="n"/>
      <c r="U182" s="317" t="n"/>
      <c r="V182" s="317" t="n"/>
      <c r="W182" s="317" t="n"/>
      <c r="X182" s="317" t="n"/>
      <c r="Y182" s="317" t="n"/>
      <c r="Z182" s="333" t="n"/>
      <c r="AA182" s="317" t="n"/>
    </row>
    <row r="183" ht="15.75" customHeight="1" s="372">
      <c r="A183" s="336" t="n"/>
      <c r="B183" s="337" t="n"/>
      <c r="C183" s="337" t="n"/>
      <c r="D183" s="337" t="n"/>
      <c r="E183" s="337" t="n"/>
      <c r="F183" s="337" t="n"/>
      <c r="G183" s="337" t="n"/>
      <c r="H183" s="317" t="n"/>
      <c r="I183" s="317" t="n"/>
      <c r="J183" s="317" t="n"/>
      <c r="K183" s="317" t="n"/>
      <c r="L183" s="317" t="n"/>
      <c r="M183" s="317" t="n"/>
      <c r="N183" s="317" t="n"/>
      <c r="O183" s="317" t="n"/>
      <c r="P183" s="317" t="n"/>
      <c r="Q183" s="317" t="n"/>
      <c r="R183" s="317" t="n"/>
      <c r="S183" s="317" t="n"/>
      <c r="T183" s="317" t="n"/>
      <c r="U183" s="317" t="n"/>
      <c r="V183" s="317" t="n"/>
      <c r="W183" s="317" t="n"/>
      <c r="X183" s="317" t="n"/>
      <c r="Y183" s="317" t="n"/>
      <c r="Z183" s="333" t="n"/>
      <c r="AA183" s="317" t="n"/>
    </row>
    <row r="184" ht="15.75" customHeight="1" s="372">
      <c r="A184" s="336" t="n"/>
      <c r="B184" s="337" t="n"/>
      <c r="C184" s="337" t="n"/>
      <c r="D184" s="337" t="n"/>
      <c r="E184" s="337" t="n"/>
      <c r="F184" s="337" t="n"/>
      <c r="G184" s="337" t="n"/>
      <c r="H184" s="317" t="n"/>
      <c r="I184" s="317" t="n"/>
      <c r="J184" s="317" t="n"/>
      <c r="K184" s="317" t="n"/>
      <c r="L184" s="317" t="n"/>
      <c r="M184" s="317" t="n"/>
      <c r="N184" s="317" t="n"/>
      <c r="O184" s="317" t="n"/>
      <c r="P184" s="317" t="n"/>
      <c r="Q184" s="317" t="n"/>
      <c r="R184" s="317" t="n"/>
      <c r="S184" s="317" t="n"/>
      <c r="T184" s="317" t="n"/>
      <c r="U184" s="317" t="n"/>
      <c r="V184" s="317" t="n"/>
      <c r="W184" s="317" t="n"/>
      <c r="X184" s="317" t="n"/>
      <c r="Y184" s="317" t="n"/>
      <c r="Z184" s="333" t="n"/>
      <c r="AA184" s="317" t="n"/>
    </row>
    <row r="185" ht="15.75" customHeight="1" s="372">
      <c r="A185" s="336" t="n"/>
      <c r="B185" s="337" t="n"/>
      <c r="C185" s="337" t="n"/>
      <c r="D185" s="337" t="n"/>
      <c r="E185" s="337" t="n"/>
      <c r="F185" s="337" t="n"/>
      <c r="G185" s="337" t="n"/>
      <c r="H185" s="317" t="n"/>
      <c r="I185" s="317" t="n"/>
      <c r="J185" s="317" t="n"/>
      <c r="K185" s="317" t="n"/>
      <c r="L185" s="317" t="n"/>
      <c r="M185" s="317" t="n"/>
      <c r="N185" s="317" t="n"/>
      <c r="O185" s="317" t="n"/>
      <c r="P185" s="317" t="n"/>
      <c r="Q185" s="317" t="n"/>
      <c r="R185" s="317" t="n"/>
      <c r="S185" s="317" t="n"/>
      <c r="T185" s="317" t="n"/>
      <c r="U185" s="317" t="n"/>
      <c r="V185" s="317" t="n"/>
      <c r="W185" s="317" t="n"/>
      <c r="X185" s="317" t="n"/>
      <c r="Y185" s="317" t="n"/>
      <c r="Z185" s="333" t="n"/>
      <c r="AA185" s="317" t="n"/>
    </row>
    <row r="186" ht="15.75" customHeight="1" s="372">
      <c r="A186" s="336" t="n"/>
      <c r="B186" s="337" t="n"/>
      <c r="C186" s="337" t="n"/>
      <c r="D186" s="337" t="n"/>
      <c r="E186" s="337" t="n"/>
      <c r="F186" s="337" t="n"/>
      <c r="G186" s="337" t="n"/>
      <c r="H186" s="317" t="n"/>
      <c r="I186" s="317" t="n"/>
      <c r="J186" s="317" t="n"/>
      <c r="K186" s="317" t="n"/>
      <c r="L186" s="317" t="n"/>
      <c r="M186" s="317" t="n"/>
      <c r="N186" s="317" t="n"/>
      <c r="O186" s="317" t="n"/>
      <c r="P186" s="317" t="n"/>
      <c r="Q186" s="317" t="n"/>
      <c r="R186" s="317" t="n"/>
      <c r="S186" s="317" t="n"/>
      <c r="T186" s="317" t="n"/>
      <c r="U186" s="317" t="n"/>
      <c r="V186" s="317" t="n"/>
      <c r="W186" s="317" t="n"/>
      <c r="X186" s="317" t="n"/>
      <c r="Y186" s="317" t="n"/>
      <c r="Z186" s="333" t="n"/>
      <c r="AA186" s="317" t="n"/>
    </row>
    <row r="187" ht="15.75" customHeight="1" s="372">
      <c r="A187" s="336" t="n"/>
      <c r="B187" s="337" t="n"/>
      <c r="C187" s="337" t="n"/>
      <c r="D187" s="337" t="n"/>
      <c r="E187" s="337" t="n"/>
      <c r="F187" s="337" t="n"/>
      <c r="G187" s="337" t="n"/>
      <c r="H187" s="317" t="n"/>
      <c r="I187" s="317" t="n"/>
      <c r="J187" s="317" t="n"/>
      <c r="K187" s="317" t="n"/>
      <c r="L187" s="317" t="n"/>
      <c r="M187" s="317" t="n"/>
      <c r="N187" s="317" t="n"/>
      <c r="O187" s="317" t="n"/>
      <c r="P187" s="317" t="n"/>
      <c r="Q187" s="317" t="n"/>
      <c r="R187" s="317" t="n"/>
      <c r="S187" s="317" t="n"/>
      <c r="T187" s="317" t="n"/>
      <c r="U187" s="317" t="n"/>
      <c r="V187" s="317" t="n"/>
      <c r="W187" s="317" t="n"/>
      <c r="X187" s="317" t="n"/>
      <c r="Y187" s="317" t="n"/>
      <c r="Z187" s="333" t="n"/>
      <c r="AA187" s="317" t="n"/>
    </row>
    <row r="188" ht="15.75" customHeight="1" s="372">
      <c r="A188" s="336" t="n"/>
      <c r="B188" s="337" t="n"/>
      <c r="C188" s="337" t="n"/>
      <c r="D188" s="337" t="n"/>
      <c r="E188" s="337" t="n"/>
      <c r="F188" s="337" t="n"/>
      <c r="G188" s="337" t="n"/>
      <c r="H188" s="317" t="n"/>
      <c r="I188" s="317" t="n"/>
      <c r="J188" s="317" t="n"/>
      <c r="K188" s="317" t="n"/>
      <c r="L188" s="317" t="n"/>
      <c r="M188" s="317" t="n"/>
      <c r="N188" s="317" t="n"/>
      <c r="O188" s="317" t="n"/>
      <c r="P188" s="317" t="n"/>
      <c r="Q188" s="317" t="n"/>
      <c r="R188" s="317" t="n"/>
      <c r="S188" s="317" t="n"/>
      <c r="T188" s="317" t="n"/>
      <c r="U188" s="317" t="n"/>
      <c r="V188" s="317" t="n"/>
      <c r="W188" s="317" t="n"/>
      <c r="X188" s="317" t="n"/>
      <c r="Y188" s="317" t="n"/>
      <c r="Z188" s="333" t="n"/>
      <c r="AA188" s="317" t="n"/>
    </row>
    <row r="189" ht="15.75" customHeight="1" s="372">
      <c r="A189" s="336" t="n"/>
      <c r="B189" s="337" t="n"/>
      <c r="C189" s="337" t="n"/>
      <c r="D189" s="337" t="n"/>
      <c r="E189" s="337" t="n"/>
      <c r="F189" s="337" t="n"/>
      <c r="G189" s="337" t="n"/>
      <c r="H189" s="317" t="n"/>
      <c r="I189" s="317" t="n"/>
      <c r="J189" s="317" t="n"/>
      <c r="K189" s="317" t="n"/>
      <c r="L189" s="317" t="n"/>
      <c r="M189" s="317" t="n"/>
      <c r="N189" s="317" t="n"/>
      <c r="O189" s="317" t="n"/>
      <c r="P189" s="317" t="n"/>
      <c r="Q189" s="317" t="n"/>
      <c r="R189" s="317" t="n"/>
      <c r="S189" s="317" t="n"/>
      <c r="T189" s="317" t="n"/>
      <c r="U189" s="317" t="n"/>
      <c r="V189" s="317" t="n"/>
      <c r="W189" s="317" t="n"/>
      <c r="X189" s="317" t="n"/>
      <c r="Y189" s="317" t="n"/>
      <c r="Z189" s="333" t="n"/>
      <c r="AA189" s="317" t="n"/>
    </row>
    <row r="190" ht="15.75" customHeight="1" s="372">
      <c r="A190" s="336" t="n"/>
      <c r="B190" s="337" t="n"/>
      <c r="C190" s="337" t="n"/>
      <c r="D190" s="337" t="n"/>
      <c r="E190" s="337" t="n"/>
      <c r="F190" s="337" t="n"/>
      <c r="G190" s="337" t="n"/>
      <c r="H190" s="317" t="n"/>
      <c r="I190" s="317" t="n"/>
      <c r="J190" s="317" t="n"/>
      <c r="K190" s="317" t="n"/>
      <c r="L190" s="317" t="n"/>
      <c r="M190" s="317" t="n"/>
      <c r="N190" s="317" t="n"/>
      <c r="O190" s="317" t="n"/>
      <c r="P190" s="317" t="n"/>
      <c r="Q190" s="317" t="n"/>
      <c r="R190" s="317" t="n"/>
      <c r="S190" s="317" t="n"/>
      <c r="T190" s="317" t="n"/>
      <c r="U190" s="317" t="n"/>
      <c r="V190" s="317" t="n"/>
      <c r="W190" s="317" t="n"/>
      <c r="X190" s="317" t="n"/>
      <c r="Y190" s="317" t="n"/>
      <c r="Z190" s="333" t="n"/>
      <c r="AA190" s="317" t="n"/>
    </row>
    <row r="191" ht="15.75" customHeight="1" s="372">
      <c r="A191" s="336" t="n"/>
      <c r="B191" s="337" t="n"/>
      <c r="C191" s="337" t="n"/>
      <c r="D191" s="337" t="n"/>
      <c r="E191" s="337" t="n"/>
      <c r="F191" s="337" t="n"/>
      <c r="G191" s="337" t="n"/>
      <c r="H191" s="317" t="n"/>
      <c r="I191" s="317" t="n"/>
      <c r="J191" s="317" t="n"/>
      <c r="K191" s="317" t="n"/>
      <c r="L191" s="317" t="n"/>
      <c r="M191" s="317" t="n"/>
      <c r="N191" s="317" t="n"/>
      <c r="O191" s="317" t="n"/>
      <c r="P191" s="317" t="n"/>
      <c r="Q191" s="317" t="n"/>
      <c r="R191" s="317" t="n"/>
      <c r="S191" s="317" t="n"/>
      <c r="T191" s="317" t="n"/>
      <c r="U191" s="317" t="n"/>
      <c r="V191" s="317" t="n"/>
      <c r="W191" s="317" t="n"/>
      <c r="X191" s="317" t="n"/>
      <c r="Y191" s="317" t="n"/>
      <c r="Z191" s="333" t="n"/>
      <c r="AA191" s="317" t="n"/>
    </row>
    <row r="192" ht="15.75" customHeight="1" s="372">
      <c r="A192" s="336" t="n"/>
      <c r="B192" s="337" t="n"/>
      <c r="C192" s="337" t="n"/>
      <c r="D192" s="337" t="n"/>
      <c r="E192" s="337" t="n"/>
      <c r="F192" s="337" t="n"/>
      <c r="G192" s="337" t="n"/>
      <c r="H192" s="317" t="n"/>
      <c r="I192" s="317" t="n"/>
      <c r="J192" s="317" t="n"/>
      <c r="K192" s="317" t="n"/>
      <c r="L192" s="317" t="n"/>
      <c r="M192" s="317" t="n"/>
      <c r="N192" s="317" t="n"/>
      <c r="O192" s="317" t="n"/>
      <c r="P192" s="317" t="n"/>
      <c r="Q192" s="317" t="n"/>
      <c r="R192" s="317" t="n"/>
      <c r="S192" s="317" t="n"/>
      <c r="T192" s="317" t="n"/>
      <c r="U192" s="317" t="n"/>
      <c r="V192" s="317" t="n"/>
      <c r="W192" s="317" t="n"/>
      <c r="X192" s="317" t="n"/>
      <c r="Y192" s="317" t="n"/>
      <c r="Z192" s="333" t="n"/>
      <c r="AA192" s="317" t="n"/>
    </row>
    <row r="193" ht="15.75" customHeight="1" s="372">
      <c r="A193" s="336" t="n"/>
      <c r="B193" s="337" t="n"/>
      <c r="C193" s="337" t="n"/>
      <c r="D193" s="337" t="n"/>
      <c r="E193" s="337" t="n"/>
      <c r="F193" s="337" t="n"/>
      <c r="G193" s="337" t="n"/>
      <c r="H193" s="317" t="n"/>
      <c r="I193" s="317" t="n"/>
      <c r="J193" s="317" t="n"/>
      <c r="K193" s="317" t="n"/>
      <c r="L193" s="317" t="n"/>
      <c r="M193" s="317" t="n"/>
      <c r="N193" s="317" t="n"/>
      <c r="O193" s="317" t="n"/>
      <c r="P193" s="317" t="n"/>
      <c r="Q193" s="317" t="n"/>
      <c r="R193" s="317" t="n"/>
      <c r="S193" s="317" t="n"/>
      <c r="T193" s="317" t="n"/>
      <c r="U193" s="317" t="n"/>
      <c r="V193" s="317" t="n"/>
      <c r="W193" s="317" t="n"/>
      <c r="X193" s="317" t="n"/>
      <c r="Y193" s="317" t="n"/>
      <c r="Z193" s="333" t="n"/>
      <c r="AA193" s="317" t="n"/>
    </row>
    <row r="194" ht="15.75" customHeight="1" s="372">
      <c r="A194" s="336" t="n"/>
      <c r="B194" s="337" t="n"/>
      <c r="C194" s="337" t="n"/>
      <c r="D194" s="337" t="n"/>
      <c r="E194" s="337" t="n"/>
      <c r="F194" s="337" t="n"/>
      <c r="G194" s="337" t="n"/>
      <c r="H194" s="317" t="n"/>
      <c r="I194" s="317" t="n"/>
      <c r="J194" s="317" t="n"/>
      <c r="K194" s="317" t="n"/>
      <c r="L194" s="317" t="n"/>
      <c r="M194" s="317" t="n"/>
      <c r="N194" s="317" t="n"/>
      <c r="O194" s="317" t="n"/>
      <c r="P194" s="317" t="n"/>
      <c r="Q194" s="317" t="n"/>
      <c r="R194" s="317" t="n"/>
      <c r="S194" s="317" t="n"/>
      <c r="T194" s="317" t="n"/>
      <c r="U194" s="317" t="n"/>
      <c r="V194" s="317" t="n"/>
      <c r="W194" s="317" t="n"/>
      <c r="X194" s="317" t="n"/>
      <c r="Y194" s="317" t="n"/>
      <c r="Z194" s="333" t="n"/>
      <c r="AA194" s="317" t="n"/>
    </row>
    <row r="195" ht="15.75" customHeight="1" s="372">
      <c r="A195" s="336" t="n"/>
      <c r="B195" s="337" t="n"/>
      <c r="C195" s="337" t="n"/>
      <c r="D195" s="337" t="n"/>
      <c r="E195" s="337" t="n"/>
      <c r="F195" s="337" t="n"/>
      <c r="G195" s="337" t="n"/>
      <c r="H195" s="317" t="n"/>
      <c r="I195" s="317" t="n"/>
      <c r="J195" s="317" t="n"/>
      <c r="K195" s="317" t="n"/>
      <c r="L195" s="317" t="n"/>
      <c r="M195" s="317" t="n"/>
      <c r="N195" s="317" t="n"/>
      <c r="O195" s="317" t="n"/>
      <c r="P195" s="317" t="n"/>
      <c r="Q195" s="317" t="n"/>
      <c r="R195" s="317" t="n"/>
      <c r="S195" s="317" t="n"/>
      <c r="T195" s="317" t="n"/>
      <c r="U195" s="317" t="n"/>
      <c r="V195" s="317" t="n"/>
      <c r="W195" s="317" t="n"/>
      <c r="X195" s="317" t="n"/>
      <c r="Y195" s="317" t="n"/>
      <c r="Z195" s="333" t="n"/>
      <c r="AA195" s="317" t="n"/>
    </row>
    <row r="196" ht="15.75" customHeight="1" s="372">
      <c r="A196" s="336" t="n"/>
      <c r="B196" s="337" t="n"/>
      <c r="C196" s="337" t="n"/>
      <c r="D196" s="337" t="n"/>
      <c r="E196" s="337" t="n"/>
      <c r="F196" s="337" t="n"/>
      <c r="G196" s="337" t="n"/>
      <c r="H196" s="317" t="n"/>
      <c r="I196" s="317" t="n"/>
      <c r="J196" s="317" t="n"/>
      <c r="K196" s="317" t="n"/>
      <c r="L196" s="317" t="n"/>
      <c r="M196" s="317" t="n"/>
      <c r="N196" s="317" t="n"/>
      <c r="O196" s="317" t="n"/>
      <c r="P196" s="317" t="n"/>
      <c r="Q196" s="317" t="n"/>
      <c r="R196" s="317" t="n"/>
      <c r="S196" s="317" t="n"/>
      <c r="T196" s="317" t="n"/>
      <c r="U196" s="317" t="n"/>
      <c r="V196" s="317" t="n"/>
      <c r="W196" s="317" t="n"/>
      <c r="X196" s="317" t="n"/>
      <c r="Y196" s="317" t="n"/>
      <c r="Z196" s="333" t="n"/>
      <c r="AA196" s="317" t="n"/>
    </row>
    <row r="197" ht="15.75" customHeight="1" s="372">
      <c r="A197" s="336" t="n"/>
      <c r="B197" s="337" t="n"/>
      <c r="C197" s="337" t="n"/>
      <c r="D197" s="337" t="n"/>
      <c r="E197" s="337" t="n"/>
      <c r="F197" s="337" t="n"/>
      <c r="G197" s="337" t="n"/>
      <c r="H197" s="317" t="n"/>
      <c r="I197" s="317" t="n"/>
      <c r="J197" s="317" t="n"/>
      <c r="K197" s="317" t="n"/>
      <c r="L197" s="317" t="n"/>
      <c r="M197" s="317" t="n"/>
      <c r="N197" s="317" t="n"/>
      <c r="O197" s="317" t="n"/>
      <c r="P197" s="317" t="n"/>
      <c r="Q197" s="317" t="n"/>
      <c r="R197" s="317" t="n"/>
      <c r="S197" s="317" t="n"/>
      <c r="T197" s="317" t="n"/>
      <c r="U197" s="317" t="n"/>
      <c r="V197" s="317" t="n"/>
      <c r="W197" s="317" t="n"/>
      <c r="X197" s="317" t="n"/>
      <c r="Y197" s="317" t="n"/>
      <c r="Z197" s="333" t="n"/>
      <c r="AA197" s="317" t="n"/>
    </row>
    <row r="198" ht="15.75" customHeight="1" s="372">
      <c r="A198" s="336" t="n"/>
      <c r="B198" s="337" t="n"/>
      <c r="C198" s="337" t="n"/>
      <c r="D198" s="337" t="n"/>
      <c r="E198" s="337" t="n"/>
      <c r="F198" s="337" t="n"/>
      <c r="G198" s="337" t="n"/>
      <c r="H198" s="317" t="n"/>
      <c r="I198" s="317" t="n"/>
      <c r="J198" s="317" t="n"/>
      <c r="K198" s="317" t="n"/>
      <c r="L198" s="317" t="n"/>
      <c r="M198" s="317" t="n"/>
      <c r="N198" s="317" t="n"/>
      <c r="O198" s="317" t="n"/>
      <c r="P198" s="317" t="n"/>
      <c r="Q198" s="317" t="n"/>
      <c r="R198" s="317" t="n"/>
      <c r="S198" s="317" t="n"/>
      <c r="T198" s="317" t="n"/>
      <c r="U198" s="317" t="n"/>
      <c r="V198" s="317" t="n"/>
      <c r="W198" s="317" t="n"/>
      <c r="X198" s="317" t="n"/>
      <c r="Y198" s="317" t="n"/>
      <c r="Z198" s="333" t="n"/>
      <c r="AA198" s="317" t="n"/>
    </row>
    <row r="199" ht="15.75" customHeight="1" s="372">
      <c r="A199" s="336" t="n"/>
      <c r="B199" s="337" t="n"/>
      <c r="C199" s="337" t="n"/>
      <c r="D199" s="337" t="n"/>
      <c r="E199" s="337" t="n"/>
      <c r="F199" s="337" t="n"/>
      <c r="G199" s="337" t="n"/>
      <c r="H199" s="317" t="n"/>
      <c r="I199" s="317" t="n"/>
      <c r="J199" s="317" t="n"/>
      <c r="K199" s="317" t="n"/>
      <c r="L199" s="317" t="n"/>
      <c r="M199" s="317" t="n"/>
      <c r="N199" s="317" t="n"/>
      <c r="O199" s="317" t="n"/>
      <c r="P199" s="317" t="n"/>
      <c r="Q199" s="317" t="n"/>
      <c r="R199" s="317" t="n"/>
      <c r="S199" s="317" t="n"/>
      <c r="T199" s="317" t="n"/>
      <c r="U199" s="317" t="n"/>
      <c r="V199" s="317" t="n"/>
      <c r="W199" s="317" t="n"/>
      <c r="X199" s="317" t="n"/>
      <c r="Y199" s="317" t="n"/>
      <c r="Z199" s="333" t="n"/>
      <c r="AA199" s="317" t="n"/>
    </row>
    <row r="200" ht="15.75" customHeight="1" s="372">
      <c r="A200" s="336" t="n"/>
      <c r="B200" s="337" t="n"/>
      <c r="C200" s="337" t="n"/>
      <c r="D200" s="337" t="n"/>
      <c r="E200" s="337" t="n"/>
      <c r="F200" s="337" t="n"/>
      <c r="G200" s="337" t="n"/>
      <c r="H200" s="317" t="n"/>
      <c r="I200" s="317" t="n"/>
      <c r="J200" s="317" t="n"/>
      <c r="K200" s="317" t="n"/>
      <c r="L200" s="317" t="n"/>
      <c r="M200" s="317" t="n"/>
      <c r="N200" s="317" t="n"/>
      <c r="O200" s="317" t="n"/>
      <c r="P200" s="317" t="n"/>
      <c r="Q200" s="317" t="n"/>
      <c r="R200" s="317" t="n"/>
      <c r="S200" s="317" t="n"/>
      <c r="T200" s="317" t="n"/>
      <c r="U200" s="317" t="n"/>
      <c r="V200" s="317" t="n"/>
      <c r="W200" s="317" t="n"/>
      <c r="X200" s="317" t="n"/>
      <c r="Y200" s="317" t="n"/>
      <c r="Z200" s="333" t="n"/>
      <c r="AA200" s="317" t="n"/>
    </row>
    <row r="201" ht="15.75" customHeight="1" s="372">
      <c r="A201" s="336" t="n"/>
      <c r="B201" s="337" t="n"/>
      <c r="C201" s="337" t="n"/>
      <c r="D201" s="337" t="n"/>
      <c r="E201" s="337" t="n"/>
      <c r="F201" s="337" t="n"/>
      <c r="G201" s="337" t="n"/>
      <c r="H201" s="317" t="n"/>
      <c r="I201" s="317" t="n"/>
      <c r="J201" s="317" t="n"/>
      <c r="K201" s="317" t="n"/>
      <c r="L201" s="317" t="n"/>
      <c r="M201" s="317" t="n"/>
      <c r="N201" s="317" t="n"/>
      <c r="O201" s="317" t="n"/>
      <c r="P201" s="317" t="n"/>
      <c r="Q201" s="317" t="n"/>
      <c r="R201" s="317" t="n"/>
      <c r="S201" s="317" t="n"/>
      <c r="T201" s="317" t="n"/>
      <c r="U201" s="317" t="n"/>
      <c r="V201" s="317" t="n"/>
      <c r="W201" s="317" t="n"/>
      <c r="X201" s="317" t="n"/>
      <c r="Y201" s="317" t="n"/>
      <c r="Z201" s="333" t="n"/>
      <c r="AA201" s="317" t="n"/>
    </row>
    <row r="202" ht="15.75" customHeight="1" s="372">
      <c r="A202" s="336" t="n"/>
      <c r="B202" s="337" t="n"/>
      <c r="C202" s="337" t="n"/>
      <c r="D202" s="337" t="n"/>
      <c r="E202" s="337" t="n"/>
      <c r="F202" s="337" t="n"/>
      <c r="G202" s="337" t="n"/>
      <c r="H202" s="317" t="n"/>
      <c r="I202" s="317" t="n"/>
      <c r="J202" s="317" t="n"/>
      <c r="K202" s="317" t="n"/>
      <c r="L202" s="317" t="n"/>
      <c r="M202" s="317" t="n"/>
      <c r="N202" s="317" t="n"/>
      <c r="O202" s="317" t="n"/>
      <c r="P202" s="317" t="n"/>
      <c r="Q202" s="317" t="n"/>
      <c r="R202" s="317" t="n"/>
      <c r="S202" s="317" t="n"/>
      <c r="T202" s="317" t="n"/>
      <c r="U202" s="317" t="n"/>
      <c r="V202" s="317" t="n"/>
      <c r="W202" s="317" t="n"/>
      <c r="X202" s="317" t="n"/>
      <c r="Y202" s="317" t="n"/>
      <c r="Z202" s="333" t="n"/>
      <c r="AA202" s="317" t="n"/>
    </row>
    <row r="203" ht="15.75" customHeight="1" s="372">
      <c r="A203" s="336" t="n"/>
      <c r="B203" s="337" t="n"/>
      <c r="C203" s="337" t="n"/>
      <c r="D203" s="337" t="n"/>
      <c r="E203" s="337" t="n"/>
      <c r="F203" s="337" t="n"/>
      <c r="G203" s="337" t="n"/>
      <c r="H203" s="317" t="n"/>
      <c r="I203" s="317" t="n"/>
      <c r="J203" s="317" t="n"/>
      <c r="K203" s="317" t="n"/>
      <c r="L203" s="317" t="n"/>
      <c r="M203" s="317" t="n"/>
      <c r="N203" s="317" t="n"/>
      <c r="O203" s="317" t="n"/>
      <c r="P203" s="317" t="n"/>
      <c r="Q203" s="317" t="n"/>
      <c r="R203" s="317" t="n"/>
      <c r="S203" s="317" t="n"/>
      <c r="T203" s="317" t="n"/>
      <c r="U203" s="317" t="n"/>
      <c r="V203" s="317" t="n"/>
      <c r="W203" s="317" t="n"/>
      <c r="X203" s="317" t="n"/>
      <c r="Y203" s="317" t="n"/>
      <c r="Z203" s="333" t="n"/>
      <c r="AA203" s="317" t="n"/>
    </row>
    <row r="204" ht="15.75" customHeight="1" s="372">
      <c r="A204" s="336" t="n"/>
      <c r="B204" s="337" t="n"/>
      <c r="C204" s="337" t="n"/>
      <c r="D204" s="337" t="n"/>
      <c r="E204" s="337" t="n"/>
      <c r="F204" s="337" t="n"/>
      <c r="G204" s="337" t="n"/>
      <c r="H204" s="317" t="n"/>
      <c r="I204" s="317" t="n"/>
      <c r="J204" s="317" t="n"/>
      <c r="K204" s="317" t="n"/>
      <c r="L204" s="317" t="n"/>
      <c r="M204" s="317" t="n"/>
      <c r="N204" s="317" t="n"/>
      <c r="O204" s="317" t="n"/>
      <c r="P204" s="317" t="n"/>
      <c r="Q204" s="317" t="n"/>
      <c r="R204" s="317" t="n"/>
      <c r="S204" s="317" t="n"/>
      <c r="T204" s="317" t="n"/>
      <c r="U204" s="317" t="n"/>
      <c r="V204" s="317" t="n"/>
      <c r="W204" s="317" t="n"/>
      <c r="X204" s="317" t="n"/>
      <c r="Y204" s="317" t="n"/>
      <c r="Z204" s="333" t="n"/>
      <c r="AA204" s="317" t="n"/>
    </row>
    <row r="205" ht="15.75" customHeight="1" s="372">
      <c r="A205" s="336" t="n"/>
      <c r="B205" s="337" t="n"/>
      <c r="C205" s="337" t="n"/>
      <c r="D205" s="337" t="n"/>
      <c r="E205" s="337" t="n"/>
      <c r="F205" s="337" t="n"/>
      <c r="G205" s="337" t="n"/>
      <c r="H205" s="317" t="n"/>
      <c r="I205" s="317" t="n"/>
      <c r="J205" s="317" t="n"/>
      <c r="K205" s="317" t="n"/>
      <c r="L205" s="317" t="n"/>
      <c r="M205" s="317" t="n"/>
      <c r="N205" s="317" t="n"/>
      <c r="O205" s="317" t="n"/>
      <c r="P205" s="317" t="n"/>
      <c r="Q205" s="317" t="n"/>
      <c r="R205" s="317" t="n"/>
      <c r="S205" s="317" t="n"/>
      <c r="T205" s="317" t="n"/>
      <c r="U205" s="317" t="n"/>
      <c r="V205" s="317" t="n"/>
      <c r="W205" s="317" t="n"/>
      <c r="X205" s="317" t="n"/>
      <c r="Y205" s="317" t="n"/>
      <c r="Z205" s="333" t="n"/>
      <c r="AA205" s="317" t="n"/>
    </row>
    <row r="206" ht="15.75" customHeight="1" s="372">
      <c r="A206" s="336" t="n"/>
      <c r="B206" s="337" t="n"/>
      <c r="C206" s="337" t="n"/>
      <c r="D206" s="337" t="n"/>
      <c r="E206" s="337" t="n"/>
      <c r="F206" s="337" t="n"/>
      <c r="G206" s="337" t="n"/>
      <c r="H206" s="317" t="n"/>
      <c r="I206" s="317" t="n"/>
      <c r="J206" s="317" t="n"/>
      <c r="K206" s="317" t="n"/>
      <c r="L206" s="317" t="n"/>
      <c r="M206" s="317" t="n"/>
      <c r="N206" s="317" t="n"/>
      <c r="O206" s="317" t="n"/>
      <c r="P206" s="317" t="n"/>
      <c r="Q206" s="317" t="n"/>
      <c r="R206" s="317" t="n"/>
      <c r="S206" s="317" t="n"/>
      <c r="T206" s="317" t="n"/>
      <c r="U206" s="317" t="n"/>
      <c r="V206" s="317" t="n"/>
      <c r="W206" s="317" t="n"/>
      <c r="X206" s="317" t="n"/>
      <c r="Y206" s="317" t="n"/>
      <c r="Z206" s="333" t="n"/>
      <c r="AA206" s="317" t="n"/>
    </row>
    <row r="207" ht="15.75" customHeight="1" s="372">
      <c r="A207" s="336" t="n"/>
      <c r="B207" s="337" t="n"/>
      <c r="C207" s="337" t="n"/>
      <c r="D207" s="337" t="n"/>
      <c r="E207" s="337" t="n"/>
      <c r="F207" s="337" t="n"/>
      <c r="G207" s="337" t="n"/>
      <c r="H207" s="317" t="n"/>
      <c r="I207" s="317" t="n"/>
      <c r="J207" s="317" t="n"/>
      <c r="K207" s="317" t="n"/>
      <c r="L207" s="317" t="n"/>
      <c r="M207" s="317" t="n"/>
      <c r="N207" s="317" t="n"/>
      <c r="O207" s="317" t="n"/>
      <c r="P207" s="317" t="n"/>
      <c r="Q207" s="317" t="n"/>
      <c r="R207" s="317" t="n"/>
      <c r="S207" s="317" t="n"/>
      <c r="T207" s="317" t="n"/>
      <c r="U207" s="317" t="n"/>
      <c r="V207" s="317" t="n"/>
      <c r="W207" s="317" t="n"/>
      <c r="X207" s="317" t="n"/>
      <c r="Y207" s="317" t="n"/>
      <c r="Z207" s="333" t="n"/>
      <c r="AA207" s="317" t="n"/>
    </row>
    <row r="208" ht="15.75" customHeight="1" s="372">
      <c r="A208" s="336" t="n"/>
      <c r="B208" s="337" t="n"/>
      <c r="C208" s="337" t="n"/>
      <c r="D208" s="337" t="n"/>
      <c r="E208" s="337" t="n"/>
      <c r="F208" s="337" t="n"/>
      <c r="G208" s="337" t="n"/>
      <c r="H208" s="317" t="n"/>
      <c r="I208" s="317" t="n"/>
      <c r="J208" s="317" t="n"/>
      <c r="K208" s="317" t="n"/>
      <c r="L208" s="317" t="n"/>
      <c r="M208" s="317" t="n"/>
      <c r="N208" s="317" t="n"/>
      <c r="O208" s="317" t="n"/>
      <c r="P208" s="317" t="n"/>
      <c r="Q208" s="317" t="n"/>
      <c r="R208" s="317" t="n"/>
      <c r="S208" s="317" t="n"/>
      <c r="T208" s="317" t="n"/>
      <c r="U208" s="317" t="n"/>
      <c r="V208" s="317" t="n"/>
      <c r="W208" s="317" t="n"/>
      <c r="X208" s="317" t="n"/>
      <c r="Y208" s="317" t="n"/>
      <c r="Z208" s="333" t="n"/>
      <c r="AA208" s="317" t="n"/>
    </row>
    <row r="209" ht="15.75" customHeight="1" s="372">
      <c r="A209" s="336" t="n"/>
      <c r="B209" s="337" t="n"/>
      <c r="C209" s="337" t="n"/>
      <c r="D209" s="337" t="n"/>
      <c r="E209" s="337" t="n"/>
      <c r="F209" s="337" t="n"/>
      <c r="G209" s="337" t="n"/>
      <c r="H209" s="317" t="n"/>
      <c r="I209" s="317" t="n"/>
      <c r="J209" s="317" t="n"/>
      <c r="K209" s="317" t="n"/>
      <c r="L209" s="317" t="n"/>
      <c r="M209" s="317" t="n"/>
      <c r="N209" s="317" t="n"/>
      <c r="O209" s="317" t="n"/>
      <c r="P209" s="317" t="n"/>
      <c r="Q209" s="317" t="n"/>
      <c r="R209" s="317" t="n"/>
      <c r="S209" s="317" t="n"/>
      <c r="T209" s="317" t="n"/>
      <c r="U209" s="317" t="n"/>
      <c r="V209" s="317" t="n"/>
      <c r="W209" s="317" t="n"/>
      <c r="X209" s="317" t="n"/>
      <c r="Y209" s="317" t="n"/>
      <c r="Z209" s="333" t="n"/>
      <c r="AA209" s="317" t="n"/>
    </row>
    <row r="210" ht="15.75" customHeight="1" s="372">
      <c r="A210" s="336" t="n"/>
      <c r="B210" s="337" t="n"/>
      <c r="C210" s="337" t="n"/>
      <c r="D210" s="337" t="n"/>
      <c r="E210" s="337" t="n"/>
      <c r="F210" s="337" t="n"/>
      <c r="G210" s="337" t="n"/>
      <c r="H210" s="317" t="n"/>
      <c r="I210" s="317" t="n"/>
      <c r="J210" s="317" t="n"/>
      <c r="K210" s="317" t="n"/>
      <c r="L210" s="317" t="n"/>
      <c r="M210" s="317" t="n"/>
      <c r="N210" s="317" t="n"/>
      <c r="O210" s="317" t="n"/>
      <c r="P210" s="317" t="n"/>
      <c r="Q210" s="317" t="n"/>
      <c r="R210" s="317" t="n"/>
      <c r="S210" s="317" t="n"/>
      <c r="T210" s="317" t="n"/>
      <c r="U210" s="317" t="n"/>
      <c r="V210" s="317" t="n"/>
      <c r="W210" s="317" t="n"/>
      <c r="X210" s="317" t="n"/>
      <c r="Y210" s="317" t="n"/>
      <c r="Z210" s="333" t="n"/>
      <c r="AA210" s="317" t="n"/>
    </row>
    <row r="211" ht="15.75" customHeight="1" s="372">
      <c r="A211" s="336" t="n"/>
      <c r="B211" s="337" t="n"/>
      <c r="C211" s="337" t="n"/>
      <c r="D211" s="337" t="n"/>
      <c r="E211" s="337" t="n"/>
      <c r="F211" s="337" t="n"/>
      <c r="G211" s="337" t="n"/>
      <c r="H211" s="317" t="n"/>
      <c r="I211" s="317" t="n"/>
      <c r="J211" s="317" t="n"/>
      <c r="K211" s="317" t="n"/>
      <c r="L211" s="317" t="n"/>
      <c r="M211" s="317" t="n"/>
      <c r="N211" s="317" t="n"/>
      <c r="O211" s="317" t="n"/>
      <c r="P211" s="317" t="n"/>
      <c r="Q211" s="317" t="n"/>
      <c r="R211" s="317" t="n"/>
      <c r="S211" s="317" t="n"/>
      <c r="T211" s="317" t="n"/>
      <c r="U211" s="317" t="n"/>
      <c r="V211" s="317" t="n"/>
      <c r="W211" s="317" t="n"/>
      <c r="X211" s="317" t="n"/>
      <c r="Y211" s="317" t="n"/>
      <c r="Z211" s="333" t="n"/>
      <c r="AA211" s="317" t="n"/>
    </row>
    <row r="212" ht="15.75" customHeight="1" s="372">
      <c r="A212" s="336" t="n"/>
      <c r="B212" s="337" t="n"/>
      <c r="C212" s="337" t="n"/>
      <c r="D212" s="337" t="n"/>
      <c r="E212" s="337" t="n"/>
      <c r="F212" s="337" t="n"/>
      <c r="G212" s="337" t="n"/>
      <c r="H212" s="317" t="n"/>
      <c r="I212" s="317" t="n"/>
      <c r="J212" s="317" t="n"/>
      <c r="K212" s="317" t="n"/>
      <c r="L212" s="317" t="n"/>
      <c r="M212" s="317" t="n"/>
      <c r="N212" s="317" t="n"/>
      <c r="O212" s="317" t="n"/>
      <c r="P212" s="317" t="n"/>
      <c r="Q212" s="317" t="n"/>
      <c r="R212" s="317" t="n"/>
      <c r="S212" s="317" t="n"/>
      <c r="T212" s="317" t="n"/>
      <c r="U212" s="317" t="n"/>
      <c r="V212" s="317" t="n"/>
      <c r="W212" s="317" t="n"/>
      <c r="X212" s="317" t="n"/>
      <c r="Y212" s="317" t="n"/>
      <c r="Z212" s="333" t="n"/>
      <c r="AA212" s="317" t="n"/>
    </row>
    <row r="213" ht="15.75" customHeight="1" s="372">
      <c r="A213" s="336" t="n"/>
      <c r="B213" s="337" t="n"/>
      <c r="C213" s="337" t="n"/>
      <c r="D213" s="337" t="n"/>
      <c r="E213" s="337" t="n"/>
      <c r="F213" s="337" t="n"/>
      <c r="G213" s="337" t="n"/>
      <c r="H213" s="317" t="n"/>
      <c r="I213" s="317" t="n"/>
      <c r="J213" s="317" t="n"/>
      <c r="K213" s="317" t="n"/>
      <c r="L213" s="317" t="n"/>
      <c r="M213" s="317" t="n"/>
      <c r="N213" s="317" t="n"/>
      <c r="O213" s="317" t="n"/>
      <c r="P213" s="317" t="n"/>
      <c r="Q213" s="317" t="n"/>
      <c r="R213" s="317" t="n"/>
      <c r="S213" s="317" t="n"/>
      <c r="T213" s="317" t="n"/>
      <c r="U213" s="317" t="n"/>
      <c r="V213" s="317" t="n"/>
      <c r="W213" s="317" t="n"/>
      <c r="X213" s="317" t="n"/>
      <c r="Y213" s="317" t="n"/>
      <c r="Z213" s="333" t="n"/>
      <c r="AA213" s="317" t="n"/>
    </row>
    <row r="214" ht="15.75" customHeight="1" s="372">
      <c r="A214" s="336" t="n"/>
      <c r="B214" s="337" t="n"/>
      <c r="C214" s="337" t="n"/>
      <c r="D214" s="337" t="n"/>
      <c r="E214" s="337" t="n"/>
      <c r="F214" s="337" t="n"/>
      <c r="G214" s="337" t="n"/>
      <c r="H214" s="317" t="n"/>
      <c r="I214" s="317" t="n"/>
      <c r="J214" s="317" t="n"/>
      <c r="K214" s="317" t="n"/>
      <c r="L214" s="317" t="n"/>
      <c r="M214" s="317" t="n"/>
      <c r="N214" s="317" t="n"/>
      <c r="O214" s="317" t="n"/>
      <c r="P214" s="317" t="n"/>
      <c r="Q214" s="317" t="n"/>
      <c r="R214" s="317" t="n"/>
      <c r="S214" s="317" t="n"/>
      <c r="T214" s="317" t="n"/>
      <c r="U214" s="317" t="n"/>
      <c r="V214" s="317" t="n"/>
      <c r="W214" s="317" t="n"/>
      <c r="X214" s="317" t="n"/>
      <c r="Y214" s="317" t="n"/>
      <c r="Z214" s="333" t="n"/>
      <c r="AA214" s="317" t="n"/>
    </row>
    <row r="215" ht="15.75" customHeight="1" s="372">
      <c r="A215" s="336" t="n"/>
      <c r="B215" s="337" t="n"/>
      <c r="C215" s="337" t="n"/>
      <c r="D215" s="337" t="n"/>
      <c r="E215" s="337" t="n"/>
      <c r="F215" s="337" t="n"/>
      <c r="G215" s="337" t="n"/>
      <c r="H215" s="317" t="n"/>
      <c r="I215" s="317" t="n"/>
      <c r="J215" s="317" t="n"/>
      <c r="K215" s="317" t="n"/>
      <c r="L215" s="317" t="n"/>
      <c r="M215" s="317" t="n"/>
      <c r="N215" s="317" t="n"/>
      <c r="O215" s="317" t="n"/>
      <c r="P215" s="317" t="n"/>
      <c r="Q215" s="317" t="n"/>
      <c r="R215" s="317" t="n"/>
      <c r="S215" s="317" t="n"/>
      <c r="T215" s="317" t="n"/>
      <c r="U215" s="317" t="n"/>
      <c r="V215" s="317" t="n"/>
      <c r="W215" s="317" t="n"/>
      <c r="X215" s="317" t="n"/>
      <c r="Y215" s="317" t="n"/>
      <c r="Z215" s="333" t="n"/>
      <c r="AA215" s="317" t="n"/>
    </row>
    <row r="216" ht="15.75" customHeight="1" s="372">
      <c r="A216" s="336" t="n"/>
      <c r="B216" s="337" t="n"/>
      <c r="C216" s="337" t="n"/>
      <c r="D216" s="337" t="n"/>
      <c r="E216" s="337" t="n"/>
      <c r="F216" s="337" t="n"/>
      <c r="G216" s="337" t="n"/>
      <c r="H216" s="317" t="n"/>
      <c r="I216" s="317" t="n"/>
      <c r="J216" s="317" t="n"/>
      <c r="K216" s="317" t="n"/>
      <c r="L216" s="317" t="n"/>
      <c r="M216" s="317" t="n"/>
      <c r="N216" s="317" t="n"/>
      <c r="O216" s="317" t="n"/>
      <c r="P216" s="317" t="n"/>
      <c r="Q216" s="317" t="n"/>
      <c r="R216" s="317" t="n"/>
      <c r="S216" s="317" t="n"/>
      <c r="T216" s="317" t="n"/>
      <c r="U216" s="317" t="n"/>
      <c r="V216" s="317" t="n"/>
      <c r="W216" s="317" t="n"/>
      <c r="X216" s="317" t="n"/>
      <c r="Y216" s="317" t="n"/>
      <c r="Z216" s="333" t="n"/>
      <c r="AA216" s="317" t="n"/>
    </row>
    <row r="217" ht="15.75" customHeight="1" s="372">
      <c r="A217" s="336" t="n"/>
      <c r="B217" s="337" t="n"/>
      <c r="C217" s="337" t="n"/>
      <c r="D217" s="337" t="n"/>
      <c r="E217" s="337" t="n"/>
      <c r="F217" s="337" t="n"/>
      <c r="G217" s="337" t="n"/>
      <c r="H217" s="317" t="n"/>
      <c r="I217" s="317" t="n"/>
      <c r="J217" s="317" t="n"/>
      <c r="K217" s="317" t="n"/>
      <c r="L217" s="317" t="n"/>
      <c r="M217" s="317" t="n"/>
      <c r="N217" s="317" t="n"/>
      <c r="O217" s="317" t="n"/>
      <c r="P217" s="317" t="n"/>
      <c r="Q217" s="317" t="n"/>
      <c r="R217" s="317" t="n"/>
      <c r="S217" s="317" t="n"/>
      <c r="T217" s="317" t="n"/>
      <c r="U217" s="317" t="n"/>
      <c r="V217" s="317" t="n"/>
      <c r="W217" s="317" t="n"/>
      <c r="X217" s="317" t="n"/>
      <c r="Y217" s="317" t="n"/>
      <c r="Z217" s="333" t="n"/>
      <c r="AA217" s="317" t="n"/>
    </row>
    <row r="218" ht="15.75" customHeight="1" s="372">
      <c r="A218" s="336" t="n"/>
      <c r="B218" s="337" t="n"/>
      <c r="C218" s="337" t="n"/>
      <c r="D218" s="337" t="n"/>
      <c r="E218" s="337" t="n"/>
      <c r="F218" s="337" t="n"/>
      <c r="G218" s="337" t="n"/>
      <c r="H218" s="317" t="n"/>
      <c r="I218" s="317" t="n"/>
      <c r="J218" s="317" t="n"/>
      <c r="K218" s="317" t="n"/>
      <c r="L218" s="317" t="n"/>
      <c r="M218" s="317" t="n"/>
      <c r="N218" s="317" t="n"/>
      <c r="O218" s="317" t="n"/>
      <c r="P218" s="317" t="n"/>
      <c r="Q218" s="317" t="n"/>
      <c r="R218" s="317" t="n"/>
      <c r="S218" s="317" t="n"/>
      <c r="T218" s="317" t="n"/>
      <c r="U218" s="317" t="n"/>
      <c r="V218" s="317" t="n"/>
      <c r="W218" s="317" t="n"/>
      <c r="X218" s="317" t="n"/>
      <c r="Y218" s="317" t="n"/>
      <c r="Z218" s="333" t="n"/>
      <c r="AA218" s="317" t="n"/>
    </row>
    <row r="219" ht="15.75" customHeight="1" s="372">
      <c r="A219" s="336" t="n"/>
      <c r="B219" s="337" t="n"/>
      <c r="C219" s="337" t="n"/>
      <c r="D219" s="337" t="n"/>
      <c r="E219" s="337" t="n"/>
      <c r="F219" s="337" t="n"/>
      <c r="G219" s="337" t="n"/>
      <c r="H219" s="317" t="n"/>
      <c r="I219" s="317" t="n"/>
      <c r="J219" s="317" t="n"/>
      <c r="K219" s="317" t="n"/>
      <c r="L219" s="317" t="n"/>
      <c r="M219" s="317" t="n"/>
      <c r="N219" s="317" t="n"/>
      <c r="O219" s="317" t="n"/>
      <c r="P219" s="317" t="n"/>
      <c r="Q219" s="317" t="n"/>
      <c r="R219" s="317" t="n"/>
      <c r="S219" s="317" t="n"/>
      <c r="T219" s="317" t="n"/>
      <c r="U219" s="317" t="n"/>
      <c r="V219" s="317" t="n"/>
      <c r="W219" s="317" t="n"/>
      <c r="X219" s="317" t="n"/>
      <c r="Y219" s="317" t="n"/>
      <c r="Z219" s="333" t="n"/>
      <c r="AA219" s="317" t="n"/>
    </row>
    <row r="220" ht="15.75" customHeight="1" s="372">
      <c r="A220" s="336" t="n"/>
      <c r="B220" s="337" t="n"/>
      <c r="C220" s="337" t="n"/>
      <c r="D220" s="337" t="n"/>
      <c r="E220" s="337" t="n"/>
      <c r="F220" s="337" t="n"/>
      <c r="G220" s="337" t="n"/>
      <c r="H220" s="317" t="n"/>
      <c r="I220" s="317" t="n"/>
      <c r="J220" s="317" t="n"/>
      <c r="K220" s="317" t="n"/>
      <c r="L220" s="317" t="n"/>
      <c r="M220" s="317" t="n"/>
      <c r="N220" s="317" t="n"/>
      <c r="O220" s="317" t="n"/>
      <c r="P220" s="317" t="n"/>
      <c r="Q220" s="317" t="n"/>
      <c r="R220" s="317" t="n"/>
      <c r="S220" s="317" t="n"/>
      <c r="T220" s="317" t="n"/>
      <c r="U220" s="317" t="n"/>
      <c r="V220" s="317" t="n"/>
      <c r="W220" s="317" t="n"/>
      <c r="X220" s="317" t="n"/>
      <c r="Y220" s="317" t="n"/>
      <c r="Z220" s="333" t="n"/>
      <c r="AA220" s="317" t="n"/>
    </row>
    <row r="221" ht="15.75" customHeight="1" s="372">
      <c r="A221" s="336" t="n"/>
      <c r="B221" s="337" t="n"/>
      <c r="C221" s="337" t="n"/>
      <c r="D221" s="337" t="n"/>
      <c r="E221" s="337" t="n"/>
      <c r="F221" s="337" t="n"/>
      <c r="G221" s="337" t="n"/>
      <c r="H221" s="317" t="n"/>
      <c r="I221" s="317" t="n"/>
      <c r="J221" s="317" t="n"/>
      <c r="K221" s="317" t="n"/>
      <c r="L221" s="317" t="n"/>
      <c r="M221" s="317" t="n"/>
      <c r="N221" s="317" t="n"/>
      <c r="O221" s="317" t="n"/>
      <c r="P221" s="317" t="n"/>
      <c r="Q221" s="317" t="n"/>
      <c r="R221" s="317" t="n"/>
      <c r="S221" s="317" t="n"/>
      <c r="T221" s="317" t="n"/>
      <c r="U221" s="317" t="n"/>
      <c r="V221" s="317" t="n"/>
      <c r="W221" s="317" t="n"/>
      <c r="X221" s="317" t="n"/>
      <c r="Y221" s="317" t="n"/>
      <c r="Z221" s="333" t="n"/>
      <c r="AA221" s="317" t="n"/>
    </row>
    <row r="222" ht="15.75" customHeight="1" s="372">
      <c r="A222" s="336" t="n"/>
      <c r="B222" s="337" t="n"/>
      <c r="C222" s="337" t="n"/>
      <c r="D222" s="337" t="n"/>
      <c r="E222" s="337" t="n"/>
      <c r="F222" s="337" t="n"/>
      <c r="G222" s="337" t="n"/>
      <c r="H222" s="317" t="n"/>
      <c r="I222" s="317" t="n"/>
      <c r="J222" s="317" t="n"/>
      <c r="K222" s="317" t="n"/>
      <c r="L222" s="317" t="n"/>
      <c r="M222" s="317" t="n"/>
      <c r="N222" s="317" t="n"/>
      <c r="O222" s="317" t="n"/>
      <c r="P222" s="317" t="n"/>
      <c r="Q222" s="317" t="n"/>
      <c r="R222" s="317" t="n"/>
      <c r="S222" s="317" t="n"/>
      <c r="T222" s="317" t="n"/>
      <c r="U222" s="317" t="n"/>
      <c r="V222" s="317" t="n"/>
      <c r="W222" s="317" t="n"/>
      <c r="X222" s="317" t="n"/>
      <c r="Y222" s="317" t="n"/>
      <c r="Z222" s="333" t="n"/>
      <c r="AA222" s="317" t="n"/>
    </row>
    <row r="223" ht="15.75" customHeight="1" s="372">
      <c r="A223" s="336" t="n"/>
      <c r="B223" s="337" t="n"/>
      <c r="C223" s="337" t="n"/>
      <c r="D223" s="337" t="n"/>
      <c r="E223" s="337" t="n"/>
      <c r="F223" s="337" t="n"/>
      <c r="G223" s="337" t="n"/>
      <c r="H223" s="317" t="n"/>
      <c r="I223" s="317" t="n"/>
      <c r="J223" s="317" t="n"/>
      <c r="K223" s="317" t="n"/>
      <c r="L223" s="317" t="n"/>
      <c r="M223" s="317" t="n"/>
      <c r="N223" s="317" t="n"/>
      <c r="O223" s="317" t="n"/>
      <c r="P223" s="317" t="n"/>
      <c r="Q223" s="317" t="n"/>
      <c r="R223" s="317" t="n"/>
      <c r="S223" s="317" t="n"/>
      <c r="T223" s="317" t="n"/>
      <c r="U223" s="317" t="n"/>
      <c r="V223" s="317" t="n"/>
      <c r="W223" s="317" t="n"/>
      <c r="X223" s="317" t="n"/>
      <c r="Y223" s="317" t="n"/>
      <c r="Z223" s="333" t="n"/>
      <c r="AA223" s="317" t="n"/>
    </row>
    <row r="224" ht="15.75" customHeight="1" s="372">
      <c r="A224" s="336" t="n"/>
      <c r="B224" s="337" t="n"/>
      <c r="C224" s="337" t="n"/>
      <c r="D224" s="337" t="n"/>
      <c r="E224" s="337" t="n"/>
      <c r="F224" s="337" t="n"/>
      <c r="G224" s="337" t="n"/>
      <c r="H224" s="317" t="n"/>
      <c r="I224" s="317" t="n"/>
      <c r="J224" s="317" t="n"/>
      <c r="K224" s="317" t="n"/>
      <c r="L224" s="317" t="n"/>
      <c r="M224" s="317" t="n"/>
      <c r="N224" s="317" t="n"/>
      <c r="O224" s="317" t="n"/>
      <c r="P224" s="317" t="n"/>
      <c r="Q224" s="317" t="n"/>
      <c r="R224" s="317" t="n"/>
      <c r="S224" s="317" t="n"/>
      <c r="T224" s="317" t="n"/>
      <c r="U224" s="317" t="n"/>
      <c r="V224" s="317" t="n"/>
      <c r="W224" s="317" t="n"/>
      <c r="X224" s="317" t="n"/>
      <c r="Y224" s="317" t="n"/>
      <c r="Z224" s="333" t="n"/>
      <c r="AA224" s="317" t="n"/>
    </row>
    <row r="225" ht="15.75" customHeight="1" s="372">
      <c r="A225" s="336" t="n"/>
      <c r="B225" s="337" t="n"/>
      <c r="C225" s="337" t="n"/>
      <c r="D225" s="337" t="n"/>
      <c r="E225" s="337" t="n"/>
      <c r="F225" s="337" t="n"/>
      <c r="G225" s="337" t="n"/>
      <c r="H225" s="317" t="n"/>
      <c r="I225" s="317" t="n"/>
      <c r="J225" s="317" t="n"/>
      <c r="K225" s="317" t="n"/>
      <c r="L225" s="317" t="n"/>
      <c r="M225" s="317" t="n"/>
      <c r="N225" s="317" t="n"/>
      <c r="O225" s="317" t="n"/>
      <c r="P225" s="317" t="n"/>
      <c r="Q225" s="317" t="n"/>
      <c r="R225" s="317" t="n"/>
      <c r="S225" s="317" t="n"/>
      <c r="T225" s="317" t="n"/>
      <c r="U225" s="317" t="n"/>
      <c r="V225" s="317" t="n"/>
      <c r="W225" s="317" t="n"/>
      <c r="X225" s="317" t="n"/>
      <c r="Y225" s="317" t="n"/>
      <c r="Z225" s="333" t="n"/>
      <c r="AA225" s="317" t="n"/>
    </row>
    <row r="226" ht="15.75" customHeight="1" s="372">
      <c r="A226" s="336" t="n"/>
      <c r="B226" s="337" t="n"/>
      <c r="C226" s="337" t="n"/>
      <c r="D226" s="337" t="n"/>
      <c r="E226" s="337" t="n"/>
      <c r="F226" s="337" t="n"/>
      <c r="G226" s="337" t="n"/>
      <c r="H226" s="317" t="n"/>
      <c r="I226" s="317" t="n"/>
      <c r="J226" s="317" t="n"/>
      <c r="K226" s="317" t="n"/>
      <c r="L226" s="317" t="n"/>
      <c r="M226" s="317" t="n"/>
      <c r="N226" s="317" t="n"/>
      <c r="O226" s="317" t="n"/>
      <c r="P226" s="317" t="n"/>
      <c r="Q226" s="317" t="n"/>
      <c r="R226" s="317" t="n"/>
      <c r="S226" s="317" t="n"/>
      <c r="T226" s="317" t="n"/>
      <c r="U226" s="317" t="n"/>
      <c r="V226" s="317" t="n"/>
      <c r="W226" s="317" t="n"/>
      <c r="X226" s="317" t="n"/>
      <c r="Y226" s="317" t="n"/>
      <c r="Z226" s="333" t="n"/>
      <c r="AA226" s="317" t="n"/>
    </row>
    <row r="227" ht="15.75" customHeight="1" s="372">
      <c r="A227" s="336" t="n"/>
      <c r="B227" s="337" t="n"/>
      <c r="C227" s="337" t="n"/>
      <c r="D227" s="337" t="n"/>
      <c r="E227" s="337" t="n"/>
      <c r="F227" s="337" t="n"/>
      <c r="G227" s="337" t="n"/>
      <c r="H227" s="317" t="n"/>
      <c r="I227" s="317" t="n"/>
      <c r="J227" s="317" t="n"/>
      <c r="K227" s="317" t="n"/>
      <c r="L227" s="317" t="n"/>
      <c r="M227" s="317" t="n"/>
      <c r="N227" s="317" t="n"/>
      <c r="O227" s="317" t="n"/>
      <c r="P227" s="317" t="n"/>
      <c r="Q227" s="317" t="n"/>
      <c r="R227" s="317" t="n"/>
      <c r="S227" s="317" t="n"/>
      <c r="T227" s="317" t="n"/>
      <c r="U227" s="317" t="n"/>
      <c r="V227" s="317" t="n"/>
      <c r="W227" s="317" t="n"/>
      <c r="X227" s="317" t="n"/>
      <c r="Y227" s="317" t="n"/>
      <c r="Z227" s="333" t="n"/>
      <c r="AA227" s="317" t="n"/>
    </row>
    <row r="228" ht="15.75" customHeight="1" s="372">
      <c r="A228" s="336" t="n"/>
      <c r="B228" s="337" t="n"/>
      <c r="C228" s="337" t="n"/>
      <c r="D228" s="337" t="n"/>
      <c r="E228" s="337" t="n"/>
      <c r="F228" s="337" t="n"/>
      <c r="G228" s="337" t="n"/>
      <c r="H228" s="317" t="n"/>
      <c r="I228" s="317" t="n"/>
      <c r="J228" s="317" t="n"/>
      <c r="K228" s="317" t="n"/>
      <c r="L228" s="317" t="n"/>
      <c r="M228" s="317" t="n"/>
      <c r="N228" s="317" t="n"/>
      <c r="O228" s="317" t="n"/>
      <c r="P228" s="317" t="n"/>
      <c r="Q228" s="317" t="n"/>
      <c r="R228" s="317" t="n"/>
      <c r="S228" s="317" t="n"/>
      <c r="T228" s="317" t="n"/>
      <c r="U228" s="317" t="n"/>
      <c r="V228" s="317" t="n"/>
      <c r="W228" s="317" t="n"/>
      <c r="X228" s="317" t="n"/>
      <c r="Y228" s="317" t="n"/>
      <c r="Z228" s="333" t="n"/>
      <c r="AA228" s="317" t="n"/>
    </row>
    <row r="229" ht="15.75" customHeight="1" s="372">
      <c r="A229" s="336" t="n"/>
      <c r="B229" s="337" t="n"/>
      <c r="C229" s="337" t="n"/>
      <c r="D229" s="337" t="n"/>
      <c r="E229" s="337" t="n"/>
      <c r="F229" s="337" t="n"/>
      <c r="G229" s="337" t="n"/>
      <c r="H229" s="317" t="n"/>
      <c r="I229" s="317" t="n"/>
      <c r="J229" s="317" t="n"/>
      <c r="K229" s="317" t="n"/>
      <c r="L229" s="317" t="n"/>
      <c r="M229" s="317" t="n"/>
      <c r="N229" s="317" t="n"/>
      <c r="O229" s="317" t="n"/>
      <c r="P229" s="317" t="n"/>
      <c r="Q229" s="317" t="n"/>
      <c r="R229" s="317" t="n"/>
      <c r="S229" s="317" t="n"/>
      <c r="T229" s="317" t="n"/>
      <c r="U229" s="317" t="n"/>
      <c r="V229" s="317" t="n"/>
      <c r="W229" s="317" t="n"/>
      <c r="X229" s="317" t="n"/>
      <c r="Y229" s="317" t="n"/>
      <c r="Z229" s="333" t="n"/>
      <c r="AA229" s="317" t="n"/>
    </row>
    <row r="230" ht="15.75" customHeight="1" s="372">
      <c r="A230" s="336" t="n"/>
      <c r="B230" s="337" t="n"/>
      <c r="C230" s="337" t="n"/>
      <c r="D230" s="337" t="n"/>
      <c r="E230" s="337" t="n"/>
      <c r="F230" s="337" t="n"/>
      <c r="G230" s="337" t="n"/>
      <c r="H230" s="317" t="n"/>
      <c r="I230" s="317" t="n"/>
      <c r="J230" s="317" t="n"/>
      <c r="K230" s="317" t="n"/>
      <c r="L230" s="317" t="n"/>
      <c r="M230" s="317" t="n"/>
      <c r="N230" s="317" t="n"/>
      <c r="O230" s="317" t="n"/>
      <c r="P230" s="317" t="n"/>
      <c r="Q230" s="317" t="n"/>
      <c r="R230" s="317" t="n"/>
      <c r="S230" s="317" t="n"/>
      <c r="T230" s="317" t="n"/>
      <c r="U230" s="317" t="n"/>
      <c r="V230" s="317" t="n"/>
      <c r="W230" s="317" t="n"/>
      <c r="X230" s="317" t="n"/>
      <c r="Y230" s="317" t="n"/>
      <c r="Z230" s="333" t="n"/>
      <c r="AA230" s="317" t="n"/>
    </row>
    <row r="231" ht="15.75" customHeight="1" s="372">
      <c r="A231" s="336" t="n"/>
      <c r="B231" s="337" t="n"/>
      <c r="C231" s="337" t="n"/>
      <c r="D231" s="337" t="n"/>
      <c r="E231" s="337" t="n"/>
      <c r="F231" s="337" t="n"/>
      <c r="G231" s="337" t="n"/>
      <c r="H231" s="317" t="n"/>
      <c r="I231" s="317" t="n"/>
      <c r="J231" s="317" t="n"/>
      <c r="K231" s="317" t="n"/>
      <c r="L231" s="317" t="n"/>
      <c r="M231" s="317" t="n"/>
      <c r="N231" s="317" t="n"/>
      <c r="O231" s="317" t="n"/>
      <c r="P231" s="317" t="n"/>
      <c r="Q231" s="317" t="n"/>
      <c r="R231" s="317" t="n"/>
      <c r="S231" s="317" t="n"/>
      <c r="T231" s="317" t="n"/>
      <c r="U231" s="317" t="n"/>
      <c r="V231" s="317" t="n"/>
      <c r="W231" s="317" t="n"/>
      <c r="X231" s="317" t="n"/>
      <c r="Y231" s="317" t="n"/>
      <c r="Z231" s="333" t="n"/>
      <c r="AA231" s="317" t="n"/>
    </row>
    <row r="232" ht="15.75" customHeight="1" s="372">
      <c r="A232" s="336" t="n"/>
      <c r="B232" s="337" t="n"/>
      <c r="C232" s="337" t="n"/>
      <c r="D232" s="337" t="n"/>
      <c r="E232" s="337" t="n"/>
      <c r="F232" s="337" t="n"/>
      <c r="G232" s="337" t="n"/>
      <c r="H232" s="317" t="n"/>
      <c r="I232" s="317" t="n"/>
      <c r="J232" s="317" t="n"/>
      <c r="K232" s="317" t="n"/>
      <c r="L232" s="317" t="n"/>
      <c r="M232" s="317" t="n"/>
      <c r="N232" s="317" t="n"/>
      <c r="O232" s="317" t="n"/>
      <c r="P232" s="317" t="n"/>
      <c r="Q232" s="317" t="n"/>
      <c r="R232" s="317" t="n"/>
      <c r="S232" s="317" t="n"/>
      <c r="T232" s="317" t="n"/>
      <c r="U232" s="317" t="n"/>
      <c r="V232" s="317" t="n"/>
      <c r="W232" s="317" t="n"/>
      <c r="X232" s="317" t="n"/>
      <c r="Y232" s="317" t="n"/>
      <c r="Z232" s="333" t="n"/>
      <c r="AA232" s="317" t="n"/>
    </row>
    <row r="233" ht="15.75" customHeight="1" s="372">
      <c r="A233" s="336" t="n"/>
      <c r="B233" s="337" t="n"/>
      <c r="C233" s="337" t="n"/>
      <c r="D233" s="337" t="n"/>
      <c r="E233" s="337" t="n"/>
      <c r="F233" s="337" t="n"/>
      <c r="G233" s="337" t="n"/>
      <c r="H233" s="317" t="n"/>
      <c r="I233" s="317" t="n"/>
      <c r="J233" s="317" t="n"/>
      <c r="K233" s="317" t="n"/>
      <c r="L233" s="317" t="n"/>
      <c r="M233" s="317" t="n"/>
      <c r="N233" s="317" t="n"/>
      <c r="O233" s="317" t="n"/>
      <c r="P233" s="317" t="n"/>
      <c r="Q233" s="317" t="n"/>
      <c r="R233" s="317" t="n"/>
      <c r="S233" s="317" t="n"/>
      <c r="T233" s="317" t="n"/>
      <c r="U233" s="317" t="n"/>
      <c r="V233" s="317" t="n"/>
      <c r="W233" s="317" t="n"/>
      <c r="X233" s="317" t="n"/>
      <c r="Y233" s="317" t="n"/>
      <c r="Z233" s="333" t="n"/>
      <c r="AA233" s="317" t="n"/>
    </row>
    <row r="234" ht="15.75" customHeight="1" s="372">
      <c r="A234" s="336" t="n"/>
      <c r="B234" s="337" t="n"/>
      <c r="C234" s="337" t="n"/>
      <c r="D234" s="337" t="n"/>
      <c r="E234" s="337" t="n"/>
      <c r="F234" s="337" t="n"/>
      <c r="G234" s="337" t="n"/>
      <c r="H234" s="317" t="n"/>
      <c r="I234" s="317" t="n"/>
      <c r="J234" s="317" t="n"/>
      <c r="K234" s="317" t="n"/>
      <c r="L234" s="317" t="n"/>
      <c r="M234" s="317" t="n"/>
      <c r="N234" s="317" t="n"/>
      <c r="O234" s="317" t="n"/>
      <c r="P234" s="317" t="n"/>
      <c r="Q234" s="317" t="n"/>
      <c r="R234" s="317" t="n"/>
      <c r="S234" s="317" t="n"/>
      <c r="T234" s="317" t="n"/>
      <c r="U234" s="317" t="n"/>
      <c r="V234" s="317" t="n"/>
      <c r="W234" s="317" t="n"/>
      <c r="X234" s="317" t="n"/>
      <c r="Y234" s="317" t="n"/>
      <c r="Z234" s="333" t="n"/>
      <c r="AA234" s="317" t="n"/>
    </row>
    <row r="235" ht="15.75" customHeight="1" s="372">
      <c r="A235" s="336" t="n"/>
      <c r="B235" s="337" t="n"/>
      <c r="C235" s="337" t="n"/>
      <c r="D235" s="337" t="n"/>
      <c r="E235" s="337" t="n"/>
      <c r="F235" s="337" t="n"/>
      <c r="G235" s="337" t="n"/>
      <c r="H235" s="317" t="n"/>
      <c r="I235" s="317" t="n"/>
      <c r="J235" s="317" t="n"/>
      <c r="K235" s="317" t="n"/>
      <c r="L235" s="317" t="n"/>
      <c r="M235" s="317" t="n"/>
      <c r="N235" s="317" t="n"/>
      <c r="O235" s="317" t="n"/>
      <c r="P235" s="317" t="n"/>
      <c r="Q235" s="317" t="n"/>
      <c r="R235" s="317" t="n"/>
      <c r="S235" s="317" t="n"/>
      <c r="T235" s="317" t="n"/>
      <c r="U235" s="317" t="n"/>
      <c r="V235" s="317" t="n"/>
      <c r="W235" s="317" t="n"/>
      <c r="X235" s="317" t="n"/>
      <c r="Y235" s="317" t="n"/>
      <c r="Z235" s="333" t="n"/>
      <c r="AA235" s="317" t="n"/>
    </row>
    <row r="236" ht="15.75" customHeight="1" s="372">
      <c r="A236" s="336" t="n"/>
      <c r="B236" s="337" t="n"/>
      <c r="C236" s="337" t="n"/>
      <c r="D236" s="337" t="n"/>
      <c r="E236" s="337" t="n"/>
      <c r="F236" s="337" t="n"/>
      <c r="G236" s="337" t="n"/>
      <c r="H236" s="317" t="n"/>
      <c r="I236" s="317" t="n"/>
      <c r="J236" s="317" t="n"/>
      <c r="K236" s="317" t="n"/>
      <c r="L236" s="317" t="n"/>
      <c r="M236" s="317" t="n"/>
      <c r="N236" s="317" t="n"/>
      <c r="O236" s="317" t="n"/>
      <c r="P236" s="317" t="n"/>
      <c r="Q236" s="317" t="n"/>
      <c r="R236" s="317" t="n"/>
      <c r="S236" s="317" t="n"/>
      <c r="T236" s="317" t="n"/>
      <c r="U236" s="317" t="n"/>
      <c r="V236" s="317" t="n"/>
      <c r="W236" s="317" t="n"/>
      <c r="X236" s="317" t="n"/>
      <c r="Y236" s="317" t="n"/>
      <c r="Z236" s="333" t="n"/>
      <c r="AA236" s="317" t="n"/>
    </row>
    <row r="237" ht="15.75" customHeight="1" s="372">
      <c r="A237" s="336" t="n"/>
      <c r="B237" s="337" t="n"/>
      <c r="C237" s="337" t="n"/>
      <c r="D237" s="337" t="n"/>
      <c r="E237" s="337" t="n"/>
      <c r="F237" s="337" t="n"/>
      <c r="G237" s="337" t="n"/>
      <c r="H237" s="317" t="n"/>
      <c r="I237" s="317" t="n"/>
      <c r="J237" s="317" t="n"/>
      <c r="K237" s="317" t="n"/>
      <c r="L237" s="317" t="n"/>
      <c r="M237" s="317" t="n"/>
      <c r="N237" s="317" t="n"/>
      <c r="O237" s="317" t="n"/>
      <c r="P237" s="317" t="n"/>
      <c r="Q237" s="317" t="n"/>
      <c r="R237" s="317" t="n"/>
      <c r="S237" s="317" t="n"/>
      <c r="T237" s="317" t="n"/>
      <c r="U237" s="317" t="n"/>
      <c r="V237" s="317" t="n"/>
      <c r="W237" s="317" t="n"/>
      <c r="X237" s="317" t="n"/>
      <c r="Y237" s="317" t="n"/>
      <c r="Z237" s="333" t="n"/>
      <c r="AA237" s="317" t="n"/>
    </row>
    <row r="238" ht="15.75" customHeight="1" s="372">
      <c r="A238" s="336" t="n"/>
      <c r="B238" s="337" t="n"/>
      <c r="C238" s="337" t="n"/>
      <c r="D238" s="337" t="n"/>
      <c r="E238" s="337" t="n"/>
      <c r="F238" s="337" t="n"/>
      <c r="G238" s="337" t="n"/>
      <c r="H238" s="317" t="n"/>
      <c r="I238" s="317" t="n"/>
      <c r="J238" s="317" t="n"/>
      <c r="K238" s="317" t="n"/>
      <c r="L238" s="317" t="n"/>
      <c r="M238" s="317" t="n"/>
      <c r="N238" s="317" t="n"/>
      <c r="O238" s="317" t="n"/>
      <c r="P238" s="317" t="n"/>
      <c r="Q238" s="317" t="n"/>
      <c r="R238" s="317" t="n"/>
      <c r="S238" s="317" t="n"/>
      <c r="T238" s="317" t="n"/>
      <c r="U238" s="317" t="n"/>
      <c r="V238" s="317" t="n"/>
      <c r="W238" s="317" t="n"/>
      <c r="X238" s="317" t="n"/>
      <c r="Y238" s="317" t="n"/>
      <c r="Z238" s="333" t="n"/>
      <c r="AA238" s="317" t="n"/>
    </row>
    <row r="239" ht="15.75" customHeight="1" s="372">
      <c r="A239" s="336" t="n"/>
      <c r="B239" s="337" t="n"/>
      <c r="C239" s="337" t="n"/>
      <c r="D239" s="337" t="n"/>
      <c r="E239" s="337" t="n"/>
      <c r="F239" s="337" t="n"/>
      <c r="G239" s="337" t="n"/>
      <c r="H239" s="317" t="n"/>
      <c r="I239" s="317" t="n"/>
      <c r="J239" s="317" t="n"/>
      <c r="K239" s="317" t="n"/>
      <c r="L239" s="317" t="n"/>
      <c r="M239" s="317" t="n"/>
      <c r="N239" s="317" t="n"/>
      <c r="O239" s="317" t="n"/>
      <c r="P239" s="317" t="n"/>
      <c r="Q239" s="317" t="n"/>
      <c r="R239" s="317" t="n"/>
      <c r="S239" s="317" t="n"/>
      <c r="T239" s="317" t="n"/>
      <c r="U239" s="317" t="n"/>
      <c r="V239" s="317" t="n"/>
      <c r="W239" s="317" t="n"/>
      <c r="X239" s="317" t="n"/>
      <c r="Y239" s="317" t="n"/>
      <c r="Z239" s="333" t="n"/>
      <c r="AA239" s="317" t="n"/>
    </row>
    <row r="240" ht="15.75" customHeight="1" s="372">
      <c r="A240" s="336" t="n"/>
      <c r="B240" s="337" t="n"/>
      <c r="C240" s="337" t="n"/>
      <c r="D240" s="337" t="n"/>
      <c r="E240" s="337" t="n"/>
      <c r="F240" s="337" t="n"/>
      <c r="G240" s="337" t="n"/>
      <c r="H240" s="317" t="n"/>
      <c r="I240" s="317" t="n"/>
      <c r="J240" s="317" t="n"/>
      <c r="K240" s="317" t="n"/>
      <c r="L240" s="317" t="n"/>
      <c r="M240" s="317" t="n"/>
      <c r="N240" s="317" t="n"/>
      <c r="O240" s="317" t="n"/>
      <c r="P240" s="317" t="n"/>
      <c r="Q240" s="317" t="n"/>
      <c r="R240" s="317" t="n"/>
      <c r="S240" s="317" t="n"/>
      <c r="T240" s="317" t="n"/>
      <c r="U240" s="317" t="n"/>
      <c r="V240" s="317" t="n"/>
      <c r="W240" s="317" t="n"/>
      <c r="X240" s="317" t="n"/>
      <c r="Y240" s="317" t="n"/>
      <c r="Z240" s="333" t="n"/>
      <c r="AA240" s="317" t="n"/>
    </row>
    <row r="241" ht="15.75" customHeight="1" s="372">
      <c r="A241" s="336" t="n"/>
      <c r="B241" s="337" t="n"/>
      <c r="C241" s="337" t="n"/>
      <c r="D241" s="337" t="n"/>
      <c r="E241" s="337" t="n"/>
      <c r="F241" s="337" t="n"/>
      <c r="G241" s="337" t="n"/>
      <c r="H241" s="317" t="n"/>
      <c r="I241" s="317" t="n"/>
      <c r="J241" s="317" t="n"/>
      <c r="K241" s="317" t="n"/>
      <c r="L241" s="317" t="n"/>
      <c r="M241" s="317" t="n"/>
      <c r="N241" s="317" t="n"/>
      <c r="O241" s="317" t="n"/>
      <c r="P241" s="317" t="n"/>
      <c r="Q241" s="317" t="n"/>
      <c r="R241" s="317" t="n"/>
      <c r="S241" s="317" t="n"/>
      <c r="T241" s="317" t="n"/>
      <c r="U241" s="317" t="n"/>
      <c r="V241" s="317" t="n"/>
      <c r="W241" s="317" t="n"/>
      <c r="X241" s="317" t="n"/>
      <c r="Y241" s="317" t="n"/>
      <c r="Z241" s="333" t="n"/>
      <c r="AA241" s="317" t="n"/>
    </row>
    <row r="242" ht="15.75" customHeight="1" s="372">
      <c r="A242" s="336" t="n"/>
      <c r="B242" s="337" t="n"/>
      <c r="C242" s="337" t="n"/>
      <c r="D242" s="337" t="n"/>
      <c r="E242" s="337" t="n"/>
      <c r="F242" s="337" t="n"/>
      <c r="G242" s="337" t="n"/>
      <c r="H242" s="317" t="n"/>
      <c r="I242" s="317" t="n"/>
      <c r="J242" s="317" t="n"/>
      <c r="K242" s="317" t="n"/>
      <c r="L242" s="317" t="n"/>
      <c r="M242" s="317" t="n"/>
      <c r="N242" s="317" t="n"/>
      <c r="O242" s="317" t="n"/>
      <c r="P242" s="317" t="n"/>
      <c r="Q242" s="317" t="n"/>
      <c r="R242" s="317" t="n"/>
      <c r="S242" s="317" t="n"/>
      <c r="T242" s="317" t="n"/>
      <c r="U242" s="317" t="n"/>
      <c r="V242" s="317" t="n"/>
      <c r="W242" s="317" t="n"/>
      <c r="X242" s="317" t="n"/>
      <c r="Y242" s="317" t="n"/>
      <c r="Z242" s="333" t="n"/>
      <c r="AA242" s="317" t="n"/>
    </row>
    <row r="243" ht="15.75" customHeight="1" s="372">
      <c r="A243" s="336" t="n"/>
      <c r="B243" s="337" t="n"/>
      <c r="C243" s="337" t="n"/>
      <c r="D243" s="337" t="n"/>
      <c r="E243" s="337" t="n"/>
      <c r="F243" s="337" t="n"/>
      <c r="G243" s="337" t="n"/>
      <c r="H243" s="317" t="n"/>
      <c r="I243" s="317" t="n"/>
      <c r="J243" s="317" t="n"/>
      <c r="K243" s="317" t="n"/>
      <c r="L243" s="317" t="n"/>
      <c r="M243" s="317" t="n"/>
      <c r="N243" s="317" t="n"/>
      <c r="O243" s="317" t="n"/>
      <c r="P243" s="317" t="n"/>
      <c r="Q243" s="317" t="n"/>
      <c r="R243" s="317" t="n"/>
      <c r="S243" s="317" t="n"/>
      <c r="T243" s="317" t="n"/>
      <c r="U243" s="317" t="n"/>
      <c r="V243" s="317" t="n"/>
      <c r="W243" s="317" t="n"/>
      <c r="X243" s="317" t="n"/>
      <c r="Y243" s="317" t="n"/>
      <c r="Z243" s="333" t="n"/>
      <c r="AA243" s="317" t="n"/>
    </row>
    <row r="244" ht="15.75" customHeight="1" s="372">
      <c r="A244" s="336" t="n"/>
      <c r="B244" s="337" t="n"/>
      <c r="C244" s="337" t="n"/>
      <c r="D244" s="337" t="n"/>
      <c r="E244" s="337" t="n"/>
      <c r="F244" s="337" t="n"/>
      <c r="G244" s="337" t="n"/>
      <c r="H244" s="317" t="n"/>
      <c r="I244" s="317" t="n"/>
      <c r="J244" s="317" t="n"/>
      <c r="K244" s="317" t="n"/>
      <c r="L244" s="317" t="n"/>
      <c r="M244" s="317" t="n"/>
      <c r="N244" s="317" t="n"/>
      <c r="O244" s="317" t="n"/>
      <c r="P244" s="317" t="n"/>
      <c r="Q244" s="317" t="n"/>
      <c r="R244" s="317" t="n"/>
      <c r="S244" s="317" t="n"/>
      <c r="T244" s="317" t="n"/>
      <c r="U244" s="317" t="n"/>
      <c r="V244" s="317" t="n"/>
      <c r="W244" s="317" t="n"/>
      <c r="X244" s="317" t="n"/>
      <c r="Y244" s="317" t="n"/>
      <c r="Z244" s="333" t="n"/>
      <c r="AA244" s="317" t="n"/>
    </row>
    <row r="245" ht="15.75" customHeight="1" s="372">
      <c r="A245" s="336" t="n"/>
      <c r="B245" s="337" t="n"/>
      <c r="C245" s="337" t="n"/>
      <c r="D245" s="337" t="n"/>
      <c r="E245" s="337" t="n"/>
      <c r="F245" s="337" t="n"/>
      <c r="G245" s="337" t="n"/>
      <c r="H245" s="317" t="n"/>
      <c r="I245" s="317" t="n"/>
      <c r="J245" s="317" t="n"/>
      <c r="K245" s="317" t="n"/>
      <c r="L245" s="317" t="n"/>
      <c r="M245" s="317" t="n"/>
      <c r="N245" s="317" t="n"/>
      <c r="O245" s="317" t="n"/>
      <c r="P245" s="317" t="n"/>
      <c r="Q245" s="317" t="n"/>
      <c r="R245" s="317" t="n"/>
      <c r="S245" s="317" t="n"/>
      <c r="T245" s="317" t="n"/>
      <c r="U245" s="317" t="n"/>
      <c r="V245" s="317" t="n"/>
      <c r="W245" s="317" t="n"/>
      <c r="X245" s="317" t="n"/>
      <c r="Y245" s="317" t="n"/>
      <c r="Z245" s="333" t="n"/>
      <c r="AA245" s="317" t="n"/>
    </row>
    <row r="246" ht="15.75" customHeight="1" s="372">
      <c r="A246" s="336" t="n"/>
      <c r="B246" s="337" t="n"/>
      <c r="C246" s="337" t="n"/>
      <c r="D246" s="337" t="n"/>
      <c r="E246" s="337" t="n"/>
      <c r="F246" s="337" t="n"/>
      <c r="G246" s="337" t="n"/>
      <c r="H246" s="317" t="n"/>
      <c r="I246" s="317" t="n"/>
      <c r="J246" s="317" t="n"/>
      <c r="K246" s="317" t="n"/>
      <c r="L246" s="317" t="n"/>
      <c r="M246" s="317" t="n"/>
      <c r="N246" s="317" t="n"/>
      <c r="O246" s="317" t="n"/>
      <c r="P246" s="317" t="n"/>
      <c r="Q246" s="317" t="n"/>
      <c r="R246" s="317" t="n"/>
      <c r="S246" s="317" t="n"/>
      <c r="T246" s="317" t="n"/>
      <c r="U246" s="317" t="n"/>
      <c r="V246" s="317" t="n"/>
      <c r="W246" s="317" t="n"/>
      <c r="X246" s="317" t="n"/>
      <c r="Y246" s="317" t="n"/>
      <c r="Z246" s="333" t="n"/>
      <c r="AA246" s="317" t="n"/>
    </row>
    <row r="247" ht="15.75" customHeight="1" s="372">
      <c r="A247" s="336" t="n"/>
      <c r="B247" s="337" t="n"/>
      <c r="C247" s="337" t="n"/>
      <c r="D247" s="337" t="n"/>
      <c r="E247" s="337" t="n"/>
      <c r="F247" s="337" t="n"/>
      <c r="G247" s="337" t="n"/>
      <c r="H247" s="317" t="n"/>
      <c r="I247" s="317" t="n"/>
      <c r="J247" s="317" t="n"/>
      <c r="K247" s="317" t="n"/>
      <c r="L247" s="317" t="n"/>
      <c r="M247" s="317" t="n"/>
      <c r="N247" s="317" t="n"/>
      <c r="O247" s="317" t="n"/>
      <c r="P247" s="317" t="n"/>
      <c r="Q247" s="317" t="n"/>
      <c r="R247" s="317" t="n"/>
      <c r="S247" s="317" t="n"/>
      <c r="T247" s="317" t="n"/>
      <c r="U247" s="317" t="n"/>
      <c r="V247" s="317" t="n"/>
      <c r="W247" s="317" t="n"/>
      <c r="X247" s="317" t="n"/>
      <c r="Y247" s="317" t="n"/>
      <c r="Z247" s="333" t="n"/>
      <c r="AA247" s="317" t="n"/>
    </row>
    <row r="248" ht="15.75" customHeight="1" s="372">
      <c r="A248" s="336" t="n"/>
      <c r="B248" s="337" t="n"/>
      <c r="C248" s="337" t="n"/>
      <c r="D248" s="337" t="n"/>
      <c r="E248" s="337" t="n"/>
      <c r="F248" s="337" t="n"/>
      <c r="G248" s="337" t="n"/>
      <c r="H248" s="317" t="n"/>
      <c r="I248" s="317" t="n"/>
      <c r="J248" s="317" t="n"/>
      <c r="K248" s="317" t="n"/>
      <c r="L248" s="317" t="n"/>
      <c r="M248" s="317" t="n"/>
      <c r="N248" s="317" t="n"/>
      <c r="O248" s="317" t="n"/>
      <c r="P248" s="317" t="n"/>
      <c r="Q248" s="317" t="n"/>
      <c r="R248" s="317" t="n"/>
      <c r="S248" s="317" t="n"/>
      <c r="T248" s="317" t="n"/>
      <c r="U248" s="317" t="n"/>
      <c r="V248" s="317" t="n"/>
      <c r="W248" s="317" t="n"/>
      <c r="X248" s="317" t="n"/>
      <c r="Y248" s="317" t="n"/>
      <c r="Z248" s="333" t="n"/>
      <c r="AA248" s="317" t="n"/>
    </row>
    <row r="249" ht="15.75" customHeight="1" s="372">
      <c r="A249" s="336" t="n"/>
      <c r="B249" s="337" t="n"/>
      <c r="C249" s="337" t="n"/>
      <c r="D249" s="337" t="n"/>
      <c r="E249" s="337" t="n"/>
      <c r="F249" s="337" t="n"/>
      <c r="G249" s="337" t="n"/>
      <c r="H249" s="317" t="n"/>
      <c r="I249" s="317" t="n"/>
      <c r="J249" s="317" t="n"/>
      <c r="K249" s="317" t="n"/>
      <c r="L249" s="317" t="n"/>
      <c r="M249" s="317" t="n"/>
      <c r="N249" s="317" t="n"/>
      <c r="O249" s="317" t="n"/>
      <c r="P249" s="317" t="n"/>
      <c r="Q249" s="317" t="n"/>
      <c r="R249" s="317" t="n"/>
      <c r="S249" s="317" t="n"/>
      <c r="T249" s="317" t="n"/>
      <c r="U249" s="317" t="n"/>
      <c r="V249" s="317" t="n"/>
      <c r="W249" s="317" t="n"/>
      <c r="X249" s="317" t="n"/>
      <c r="Y249" s="317" t="n"/>
      <c r="Z249" s="333" t="n"/>
      <c r="AA249" s="317" t="n"/>
    </row>
    <row r="250" ht="15.75" customHeight="1" s="372">
      <c r="A250" s="336" t="n"/>
      <c r="B250" s="337" t="n"/>
      <c r="C250" s="337" t="n"/>
      <c r="D250" s="337" t="n"/>
      <c r="E250" s="337" t="n"/>
      <c r="F250" s="337" t="n"/>
      <c r="G250" s="337" t="n"/>
      <c r="H250" s="317" t="n"/>
      <c r="I250" s="317" t="n"/>
      <c r="J250" s="317" t="n"/>
      <c r="K250" s="317" t="n"/>
      <c r="L250" s="317" t="n"/>
      <c r="M250" s="317" t="n"/>
      <c r="N250" s="317" t="n"/>
      <c r="O250" s="317" t="n"/>
      <c r="P250" s="317" t="n"/>
      <c r="Q250" s="317" t="n"/>
      <c r="R250" s="317" t="n"/>
      <c r="S250" s="317" t="n"/>
      <c r="T250" s="317" t="n"/>
      <c r="U250" s="317" t="n"/>
      <c r="V250" s="317" t="n"/>
      <c r="W250" s="317" t="n"/>
      <c r="X250" s="317" t="n"/>
      <c r="Y250" s="317" t="n"/>
      <c r="Z250" s="333" t="n"/>
      <c r="AA250" s="317" t="n"/>
    </row>
    <row r="251" ht="15.75" customHeight="1" s="372">
      <c r="A251" s="336" t="n"/>
      <c r="B251" s="337" t="n"/>
      <c r="C251" s="337" t="n"/>
      <c r="D251" s="337" t="n"/>
      <c r="E251" s="337" t="n"/>
      <c r="F251" s="337" t="n"/>
      <c r="G251" s="337" t="n"/>
      <c r="H251" s="317" t="n"/>
      <c r="I251" s="317" t="n"/>
      <c r="J251" s="317" t="n"/>
      <c r="K251" s="317" t="n"/>
      <c r="L251" s="317" t="n"/>
      <c r="M251" s="317" t="n"/>
      <c r="N251" s="317" t="n"/>
      <c r="O251" s="317" t="n"/>
      <c r="P251" s="317" t="n"/>
      <c r="Q251" s="317" t="n"/>
      <c r="R251" s="317" t="n"/>
      <c r="S251" s="317" t="n"/>
      <c r="T251" s="317" t="n"/>
      <c r="U251" s="317" t="n"/>
      <c r="V251" s="317" t="n"/>
      <c r="W251" s="317" t="n"/>
      <c r="X251" s="317" t="n"/>
      <c r="Y251" s="317" t="n"/>
      <c r="Z251" s="333" t="n"/>
      <c r="AA251" s="317" t="n"/>
    </row>
    <row r="252" ht="15.75" customHeight="1" s="372">
      <c r="A252" s="336" t="n"/>
      <c r="B252" s="337" t="n"/>
      <c r="C252" s="337" t="n"/>
      <c r="D252" s="337" t="n"/>
      <c r="E252" s="337" t="n"/>
      <c r="F252" s="337" t="n"/>
      <c r="G252" s="337" t="n"/>
      <c r="H252" s="317" t="n"/>
      <c r="I252" s="317" t="n"/>
      <c r="J252" s="317" t="n"/>
      <c r="K252" s="317" t="n"/>
      <c r="L252" s="317" t="n"/>
      <c r="M252" s="317" t="n"/>
      <c r="N252" s="317" t="n"/>
      <c r="O252" s="317" t="n"/>
      <c r="P252" s="317" t="n"/>
      <c r="Q252" s="317" t="n"/>
      <c r="R252" s="317" t="n"/>
      <c r="S252" s="317" t="n"/>
      <c r="T252" s="317" t="n"/>
      <c r="U252" s="317" t="n"/>
      <c r="V252" s="317" t="n"/>
      <c r="W252" s="317" t="n"/>
      <c r="X252" s="317" t="n"/>
      <c r="Y252" s="317" t="n"/>
      <c r="Z252" s="333" t="n"/>
      <c r="AA252" s="317" t="n"/>
    </row>
    <row r="253" ht="15.75" customHeight="1" s="372">
      <c r="A253" s="336" t="n"/>
      <c r="B253" s="337" t="n"/>
      <c r="C253" s="337" t="n"/>
      <c r="D253" s="337" t="n"/>
      <c r="E253" s="337" t="n"/>
      <c r="F253" s="337" t="n"/>
      <c r="G253" s="337" t="n"/>
      <c r="H253" s="317" t="n"/>
      <c r="I253" s="317" t="n"/>
      <c r="J253" s="317" t="n"/>
      <c r="K253" s="317" t="n"/>
      <c r="L253" s="317" t="n"/>
      <c r="M253" s="317" t="n"/>
      <c r="N253" s="317" t="n"/>
      <c r="O253" s="317" t="n"/>
      <c r="P253" s="317" t="n"/>
      <c r="Q253" s="317" t="n"/>
      <c r="R253" s="317" t="n"/>
      <c r="S253" s="317" t="n"/>
      <c r="T253" s="317" t="n"/>
      <c r="U253" s="317" t="n"/>
      <c r="V253" s="317" t="n"/>
      <c r="W253" s="317" t="n"/>
      <c r="X253" s="317" t="n"/>
      <c r="Y253" s="317" t="n"/>
      <c r="Z253" s="333" t="n"/>
      <c r="AA253" s="317" t="n"/>
    </row>
    <row r="254" ht="15.75" customHeight="1" s="372">
      <c r="A254" s="336" t="n"/>
      <c r="B254" s="337" t="n"/>
      <c r="C254" s="337" t="n"/>
      <c r="D254" s="337" t="n"/>
      <c r="E254" s="337" t="n"/>
      <c r="F254" s="337" t="n"/>
      <c r="G254" s="337" t="n"/>
      <c r="H254" s="317" t="n"/>
      <c r="I254" s="317" t="n"/>
      <c r="J254" s="317" t="n"/>
      <c r="K254" s="317" t="n"/>
      <c r="L254" s="317" t="n"/>
      <c r="M254" s="317" t="n"/>
      <c r="N254" s="317" t="n"/>
      <c r="O254" s="317" t="n"/>
      <c r="P254" s="317" t="n"/>
      <c r="Q254" s="317" t="n"/>
      <c r="R254" s="317" t="n"/>
      <c r="S254" s="317" t="n"/>
      <c r="T254" s="317" t="n"/>
      <c r="U254" s="317" t="n"/>
      <c r="V254" s="317" t="n"/>
      <c r="W254" s="317" t="n"/>
      <c r="X254" s="317" t="n"/>
      <c r="Y254" s="317" t="n"/>
      <c r="Z254" s="333" t="n"/>
      <c r="AA254" s="317" t="n"/>
    </row>
    <row r="255" ht="15.75" customHeight="1" s="372">
      <c r="A255" s="336" t="n"/>
      <c r="B255" s="337" t="n"/>
      <c r="C255" s="337" t="n"/>
      <c r="D255" s="337" t="n"/>
      <c r="E255" s="337" t="n"/>
      <c r="F255" s="337" t="n"/>
      <c r="G255" s="337" t="n"/>
      <c r="H255" s="317" t="n"/>
      <c r="I255" s="317" t="n"/>
      <c r="J255" s="317" t="n"/>
      <c r="K255" s="317" t="n"/>
      <c r="L255" s="317" t="n"/>
      <c r="M255" s="317" t="n"/>
      <c r="N255" s="317" t="n"/>
      <c r="O255" s="317" t="n"/>
      <c r="P255" s="317" t="n"/>
      <c r="Q255" s="317" t="n"/>
      <c r="R255" s="317" t="n"/>
      <c r="S255" s="317" t="n"/>
      <c r="T255" s="317" t="n"/>
      <c r="U255" s="317" t="n"/>
      <c r="V255" s="317" t="n"/>
      <c r="W255" s="317" t="n"/>
      <c r="X255" s="317" t="n"/>
      <c r="Y255" s="317" t="n"/>
      <c r="Z255" s="333" t="n"/>
      <c r="AA255" s="317" t="n"/>
    </row>
    <row r="256" ht="15.75" customHeight="1" s="372">
      <c r="A256" s="336" t="n"/>
      <c r="B256" s="337" t="n"/>
      <c r="C256" s="337" t="n"/>
      <c r="D256" s="337" t="n"/>
      <c r="E256" s="337" t="n"/>
      <c r="F256" s="337" t="n"/>
      <c r="G256" s="337" t="n"/>
      <c r="H256" s="317" t="n"/>
      <c r="I256" s="317" t="n"/>
      <c r="J256" s="317" t="n"/>
      <c r="K256" s="317" t="n"/>
      <c r="L256" s="317" t="n"/>
      <c r="M256" s="317" t="n"/>
      <c r="N256" s="317" t="n"/>
      <c r="O256" s="317" t="n"/>
      <c r="P256" s="317" t="n"/>
      <c r="Q256" s="317" t="n"/>
      <c r="R256" s="317" t="n"/>
      <c r="S256" s="317" t="n"/>
      <c r="T256" s="317" t="n"/>
      <c r="U256" s="317" t="n"/>
      <c r="V256" s="317" t="n"/>
      <c r="W256" s="317" t="n"/>
      <c r="X256" s="317" t="n"/>
      <c r="Y256" s="317" t="n"/>
      <c r="Z256" s="333" t="n"/>
      <c r="AA256" s="317" t="n"/>
    </row>
    <row r="257" ht="15.75" customHeight="1" s="372">
      <c r="A257" s="336" t="n"/>
      <c r="B257" s="337" t="n"/>
      <c r="C257" s="337" t="n"/>
      <c r="D257" s="337" t="n"/>
      <c r="E257" s="337" t="n"/>
      <c r="F257" s="337" t="n"/>
      <c r="G257" s="337" t="n"/>
      <c r="H257" s="317" t="n"/>
      <c r="I257" s="317" t="n"/>
      <c r="J257" s="317" t="n"/>
      <c r="K257" s="317" t="n"/>
      <c r="L257" s="317" t="n"/>
      <c r="M257" s="317" t="n"/>
      <c r="N257" s="317" t="n"/>
      <c r="O257" s="317" t="n"/>
      <c r="P257" s="317" t="n"/>
      <c r="Q257" s="317" t="n"/>
      <c r="R257" s="317" t="n"/>
      <c r="S257" s="317" t="n"/>
      <c r="T257" s="317" t="n"/>
      <c r="U257" s="317" t="n"/>
      <c r="V257" s="317" t="n"/>
      <c r="W257" s="317" t="n"/>
      <c r="X257" s="317" t="n"/>
      <c r="Y257" s="317" t="n"/>
      <c r="Z257" s="333" t="n"/>
      <c r="AA257" s="317" t="n"/>
    </row>
    <row r="258" ht="15.75" customHeight="1" s="372">
      <c r="A258" s="336" t="n"/>
      <c r="B258" s="337" t="n"/>
      <c r="C258" s="337" t="n"/>
      <c r="D258" s="337" t="n"/>
      <c r="E258" s="337" t="n"/>
      <c r="F258" s="337" t="n"/>
      <c r="G258" s="337" t="n"/>
      <c r="H258" s="317" t="n"/>
      <c r="I258" s="317" t="n"/>
      <c r="J258" s="317" t="n"/>
      <c r="K258" s="317" t="n"/>
      <c r="L258" s="317" t="n"/>
      <c r="M258" s="317" t="n"/>
      <c r="N258" s="317" t="n"/>
      <c r="O258" s="317" t="n"/>
      <c r="P258" s="317" t="n"/>
      <c r="Q258" s="317" t="n"/>
      <c r="R258" s="317" t="n"/>
      <c r="S258" s="317" t="n"/>
      <c r="T258" s="317" t="n"/>
      <c r="U258" s="317" t="n"/>
      <c r="V258" s="317" t="n"/>
      <c r="W258" s="317" t="n"/>
      <c r="X258" s="317" t="n"/>
      <c r="Y258" s="317" t="n"/>
      <c r="Z258" s="333" t="n"/>
      <c r="AA258" s="317" t="n"/>
    </row>
    <row r="259" ht="15.75" customHeight="1" s="372">
      <c r="A259" s="336" t="n"/>
      <c r="B259" s="337" t="n"/>
      <c r="C259" s="337" t="n"/>
      <c r="D259" s="337" t="n"/>
      <c r="E259" s="337" t="n"/>
      <c r="F259" s="337" t="n"/>
      <c r="G259" s="337" t="n"/>
      <c r="H259" s="317" t="n"/>
      <c r="I259" s="317" t="n"/>
      <c r="J259" s="317" t="n"/>
      <c r="K259" s="317" t="n"/>
      <c r="L259" s="317" t="n"/>
      <c r="M259" s="317" t="n"/>
      <c r="N259" s="317" t="n"/>
      <c r="O259" s="317" t="n"/>
      <c r="P259" s="317" t="n"/>
      <c r="Q259" s="317" t="n"/>
      <c r="R259" s="317" t="n"/>
      <c r="S259" s="317" t="n"/>
      <c r="T259" s="317" t="n"/>
      <c r="U259" s="317" t="n"/>
      <c r="V259" s="317" t="n"/>
      <c r="W259" s="317" t="n"/>
      <c r="X259" s="317" t="n"/>
      <c r="Y259" s="317" t="n"/>
      <c r="Z259" s="333" t="n"/>
      <c r="AA259" s="317" t="n"/>
    </row>
    <row r="260" ht="15.75" customHeight="1" s="372">
      <c r="A260" s="336" t="n"/>
      <c r="B260" s="337" t="n"/>
      <c r="C260" s="337" t="n"/>
      <c r="D260" s="337" t="n"/>
      <c r="E260" s="337" t="n"/>
      <c r="F260" s="337" t="n"/>
      <c r="G260" s="337" t="n"/>
      <c r="H260" s="317" t="n"/>
      <c r="I260" s="317" t="n"/>
      <c r="J260" s="317" t="n"/>
      <c r="K260" s="317" t="n"/>
      <c r="L260" s="317" t="n"/>
      <c r="M260" s="317" t="n"/>
      <c r="N260" s="317" t="n"/>
      <c r="O260" s="317" t="n"/>
      <c r="P260" s="317" t="n"/>
      <c r="Q260" s="317" t="n"/>
      <c r="R260" s="317" t="n"/>
      <c r="S260" s="317" t="n"/>
      <c r="T260" s="317" t="n"/>
      <c r="U260" s="317" t="n"/>
      <c r="V260" s="317" t="n"/>
      <c r="W260" s="317" t="n"/>
      <c r="X260" s="317" t="n"/>
      <c r="Y260" s="317" t="n"/>
      <c r="Z260" s="333" t="n"/>
      <c r="AA260" s="317" t="n"/>
    </row>
    <row r="261" ht="15.75" customHeight="1" s="372">
      <c r="A261" s="336" t="n"/>
      <c r="B261" s="337" t="n"/>
      <c r="C261" s="337" t="n"/>
      <c r="D261" s="337" t="n"/>
      <c r="E261" s="337" t="n"/>
      <c r="F261" s="337" t="n"/>
      <c r="G261" s="337" t="n"/>
      <c r="H261" s="317" t="n"/>
      <c r="I261" s="317" t="n"/>
      <c r="J261" s="317" t="n"/>
      <c r="K261" s="317" t="n"/>
      <c r="L261" s="317" t="n"/>
      <c r="M261" s="317" t="n"/>
      <c r="N261" s="317" t="n"/>
      <c r="O261" s="317" t="n"/>
      <c r="P261" s="317" t="n"/>
      <c r="Q261" s="317" t="n"/>
      <c r="R261" s="317" t="n"/>
      <c r="S261" s="317" t="n"/>
      <c r="T261" s="317" t="n"/>
      <c r="U261" s="317" t="n"/>
      <c r="V261" s="317" t="n"/>
      <c r="W261" s="317" t="n"/>
      <c r="X261" s="317" t="n"/>
      <c r="Y261" s="317" t="n"/>
      <c r="Z261" s="333" t="n"/>
      <c r="AA261" s="317" t="n"/>
    </row>
    <row r="262" ht="15.75" customHeight="1" s="372">
      <c r="A262" s="336" t="n"/>
      <c r="B262" s="337" t="n"/>
      <c r="C262" s="337" t="n"/>
      <c r="D262" s="337" t="n"/>
      <c r="E262" s="337" t="n"/>
      <c r="F262" s="337" t="n"/>
      <c r="G262" s="337" t="n"/>
      <c r="H262" s="317" t="n"/>
      <c r="I262" s="317" t="n"/>
      <c r="J262" s="317" t="n"/>
      <c r="K262" s="317" t="n"/>
      <c r="L262" s="317" t="n"/>
      <c r="M262" s="317" t="n"/>
      <c r="N262" s="317" t="n"/>
      <c r="O262" s="317" t="n"/>
      <c r="P262" s="317" t="n"/>
      <c r="Q262" s="317" t="n"/>
      <c r="R262" s="317" t="n"/>
      <c r="S262" s="317" t="n"/>
      <c r="T262" s="317" t="n"/>
      <c r="U262" s="317" t="n"/>
      <c r="V262" s="317" t="n"/>
      <c r="W262" s="317" t="n"/>
      <c r="X262" s="317" t="n"/>
      <c r="Y262" s="317" t="n"/>
      <c r="Z262" s="333" t="n"/>
      <c r="AA262" s="317" t="n"/>
    </row>
    <row r="263" ht="15.75" customHeight="1" s="372">
      <c r="A263" s="336" t="n"/>
      <c r="B263" s="337" t="n"/>
      <c r="C263" s="337" t="n"/>
      <c r="D263" s="337" t="n"/>
      <c r="E263" s="337" t="n"/>
      <c r="F263" s="337" t="n"/>
      <c r="G263" s="337" t="n"/>
      <c r="H263" s="317" t="n"/>
      <c r="I263" s="317" t="n"/>
      <c r="J263" s="317" t="n"/>
      <c r="K263" s="317" t="n"/>
      <c r="L263" s="317" t="n"/>
      <c r="M263" s="317" t="n"/>
      <c r="N263" s="317" t="n"/>
      <c r="O263" s="317" t="n"/>
      <c r="P263" s="317" t="n"/>
      <c r="Q263" s="317" t="n"/>
      <c r="R263" s="317" t="n"/>
      <c r="S263" s="317" t="n"/>
      <c r="T263" s="317" t="n"/>
      <c r="U263" s="317" t="n"/>
      <c r="V263" s="317" t="n"/>
      <c r="W263" s="317" t="n"/>
      <c r="X263" s="317" t="n"/>
      <c r="Y263" s="317" t="n"/>
      <c r="Z263" s="333" t="n"/>
      <c r="AA263" s="317" t="n"/>
    </row>
    <row r="264" ht="15.75" customHeight="1" s="372">
      <c r="A264" s="336" t="n"/>
      <c r="B264" s="337" t="n"/>
      <c r="C264" s="337" t="n"/>
      <c r="D264" s="337" t="n"/>
      <c r="E264" s="337" t="n"/>
      <c r="F264" s="337" t="n"/>
      <c r="G264" s="337" t="n"/>
      <c r="H264" s="317" t="n"/>
      <c r="I264" s="317" t="n"/>
      <c r="J264" s="317" t="n"/>
      <c r="K264" s="317" t="n"/>
      <c r="L264" s="317" t="n"/>
      <c r="M264" s="317" t="n"/>
      <c r="N264" s="317" t="n"/>
      <c r="O264" s="317" t="n"/>
      <c r="P264" s="317" t="n"/>
      <c r="Q264" s="317" t="n"/>
      <c r="R264" s="317" t="n"/>
      <c r="S264" s="317" t="n"/>
      <c r="T264" s="317" t="n"/>
      <c r="U264" s="317" t="n"/>
      <c r="V264" s="317" t="n"/>
      <c r="W264" s="317" t="n"/>
      <c r="X264" s="317" t="n"/>
      <c r="Y264" s="317" t="n"/>
      <c r="Z264" s="333" t="n"/>
      <c r="AA264" s="317" t="n"/>
    </row>
    <row r="265" ht="15.75" customHeight="1" s="372">
      <c r="A265" s="336" t="n"/>
      <c r="B265" s="337" t="n"/>
      <c r="C265" s="337" t="n"/>
      <c r="D265" s="337" t="n"/>
      <c r="E265" s="337" t="n"/>
      <c r="F265" s="337" t="n"/>
      <c r="G265" s="337" t="n"/>
      <c r="H265" s="317" t="n"/>
      <c r="I265" s="317" t="n"/>
      <c r="J265" s="317" t="n"/>
      <c r="K265" s="317" t="n"/>
      <c r="L265" s="317" t="n"/>
      <c r="M265" s="317" t="n"/>
      <c r="N265" s="317" t="n"/>
      <c r="O265" s="317" t="n"/>
      <c r="P265" s="317" t="n"/>
      <c r="Q265" s="317" t="n"/>
      <c r="R265" s="317" t="n"/>
      <c r="S265" s="317" t="n"/>
      <c r="T265" s="317" t="n"/>
      <c r="U265" s="317" t="n"/>
      <c r="V265" s="317" t="n"/>
      <c r="W265" s="317" t="n"/>
      <c r="X265" s="317" t="n"/>
      <c r="Y265" s="317" t="n"/>
      <c r="Z265" s="333" t="n"/>
      <c r="AA265" s="317" t="n"/>
    </row>
    <row r="266" ht="15.75" customHeight="1" s="372">
      <c r="A266" s="336" t="n"/>
      <c r="B266" s="337" t="n"/>
      <c r="C266" s="337" t="n"/>
      <c r="D266" s="337" t="n"/>
      <c r="E266" s="337" t="n"/>
      <c r="F266" s="337" t="n"/>
      <c r="G266" s="337" t="n"/>
      <c r="H266" s="317" t="n"/>
      <c r="I266" s="317" t="n"/>
      <c r="J266" s="317" t="n"/>
      <c r="K266" s="317" t="n"/>
      <c r="L266" s="317" t="n"/>
      <c r="M266" s="317" t="n"/>
      <c r="N266" s="317" t="n"/>
      <c r="O266" s="317" t="n"/>
      <c r="P266" s="317" t="n"/>
      <c r="Q266" s="317" t="n"/>
      <c r="R266" s="317" t="n"/>
      <c r="S266" s="317" t="n"/>
      <c r="T266" s="317" t="n"/>
      <c r="U266" s="317" t="n"/>
      <c r="V266" s="317" t="n"/>
      <c r="W266" s="317" t="n"/>
      <c r="X266" s="317" t="n"/>
      <c r="Y266" s="317" t="n"/>
      <c r="Z266" s="333" t="n"/>
      <c r="AA266" s="317" t="n"/>
    </row>
    <row r="267" ht="15.75" customHeight="1" s="372">
      <c r="A267" s="336" t="n"/>
      <c r="B267" s="337" t="n"/>
      <c r="C267" s="337" t="n"/>
      <c r="D267" s="337" t="n"/>
      <c r="E267" s="337" t="n"/>
      <c r="F267" s="337" t="n"/>
      <c r="G267" s="337" t="n"/>
      <c r="H267" s="317" t="n"/>
      <c r="I267" s="317" t="n"/>
      <c r="J267" s="317" t="n"/>
      <c r="K267" s="317" t="n"/>
      <c r="L267" s="317" t="n"/>
      <c r="M267" s="317" t="n"/>
      <c r="N267" s="317" t="n"/>
      <c r="O267" s="317" t="n"/>
      <c r="P267" s="317" t="n"/>
      <c r="Q267" s="317" t="n"/>
      <c r="R267" s="317" t="n"/>
      <c r="S267" s="317" t="n"/>
      <c r="T267" s="317" t="n"/>
      <c r="U267" s="317" t="n"/>
      <c r="V267" s="317" t="n"/>
      <c r="W267" s="317" t="n"/>
      <c r="X267" s="317" t="n"/>
      <c r="Y267" s="317" t="n"/>
      <c r="Z267" s="333" t="n"/>
      <c r="AA267" s="317" t="n"/>
    </row>
    <row r="268" ht="15.75" customHeight="1" s="372">
      <c r="A268" s="336" t="n"/>
      <c r="B268" s="337" t="n"/>
      <c r="C268" s="337" t="n"/>
      <c r="D268" s="337" t="n"/>
      <c r="E268" s="337" t="n"/>
      <c r="F268" s="337" t="n"/>
      <c r="G268" s="337" t="n"/>
      <c r="H268" s="317" t="n"/>
      <c r="I268" s="317" t="n"/>
      <c r="J268" s="317" t="n"/>
      <c r="K268" s="317" t="n"/>
      <c r="L268" s="317" t="n"/>
      <c r="M268" s="317" t="n"/>
      <c r="N268" s="317" t="n"/>
      <c r="O268" s="317" t="n"/>
      <c r="P268" s="317" t="n"/>
      <c r="Q268" s="317" t="n"/>
      <c r="R268" s="317" t="n"/>
      <c r="S268" s="317" t="n"/>
      <c r="T268" s="317" t="n"/>
      <c r="U268" s="317" t="n"/>
      <c r="V268" s="317" t="n"/>
      <c r="W268" s="317" t="n"/>
      <c r="X268" s="317" t="n"/>
      <c r="Y268" s="317" t="n"/>
      <c r="Z268" s="333" t="n"/>
      <c r="AA268" s="317" t="n"/>
    </row>
    <row r="269" ht="15.75" customHeight="1" s="372">
      <c r="A269" s="336" t="n"/>
      <c r="B269" s="337" t="n"/>
      <c r="C269" s="337" t="n"/>
      <c r="D269" s="337" t="n"/>
      <c r="E269" s="337" t="n"/>
      <c r="F269" s="337" t="n"/>
      <c r="G269" s="337" t="n"/>
      <c r="H269" s="317" t="n"/>
      <c r="I269" s="317" t="n"/>
      <c r="J269" s="317" t="n"/>
      <c r="K269" s="317" t="n"/>
      <c r="L269" s="317" t="n"/>
      <c r="M269" s="317" t="n"/>
      <c r="N269" s="317" t="n"/>
      <c r="O269" s="317" t="n"/>
      <c r="P269" s="317" t="n"/>
      <c r="Q269" s="317" t="n"/>
      <c r="R269" s="317" t="n"/>
      <c r="S269" s="317" t="n"/>
      <c r="T269" s="317" t="n"/>
      <c r="U269" s="317" t="n"/>
      <c r="V269" s="317" t="n"/>
      <c r="W269" s="317" t="n"/>
      <c r="X269" s="317" t="n"/>
      <c r="Y269" s="317" t="n"/>
      <c r="Z269" s="333" t="n"/>
      <c r="AA269" s="317" t="n"/>
    </row>
    <row r="270" ht="15.75" customHeight="1" s="372">
      <c r="A270" s="336" t="n"/>
      <c r="B270" s="337" t="n"/>
      <c r="C270" s="337" t="n"/>
      <c r="D270" s="337" t="n"/>
      <c r="E270" s="337" t="n"/>
      <c r="F270" s="337" t="n"/>
      <c r="G270" s="337" t="n"/>
      <c r="H270" s="317" t="n"/>
      <c r="I270" s="317" t="n"/>
      <c r="J270" s="317" t="n"/>
      <c r="K270" s="317" t="n"/>
      <c r="L270" s="317" t="n"/>
      <c r="M270" s="317" t="n"/>
      <c r="N270" s="317" t="n"/>
      <c r="O270" s="317" t="n"/>
      <c r="P270" s="317" t="n"/>
      <c r="Q270" s="317" t="n"/>
      <c r="R270" s="317" t="n"/>
      <c r="S270" s="317" t="n"/>
      <c r="T270" s="317" t="n"/>
      <c r="U270" s="317" t="n"/>
      <c r="V270" s="317" t="n"/>
      <c r="W270" s="317" t="n"/>
      <c r="X270" s="317" t="n"/>
      <c r="Y270" s="317" t="n"/>
      <c r="Z270" s="333" t="n"/>
      <c r="AA270" s="317" t="n"/>
    </row>
    <row r="271" ht="15.75" customHeight="1" s="372">
      <c r="A271" s="336" t="n"/>
      <c r="B271" s="337" t="n"/>
      <c r="C271" s="337" t="n"/>
      <c r="D271" s="337" t="n"/>
      <c r="E271" s="337" t="n"/>
      <c r="F271" s="337" t="n"/>
      <c r="G271" s="337" t="n"/>
      <c r="H271" s="317" t="n"/>
      <c r="I271" s="317" t="n"/>
      <c r="J271" s="317" t="n"/>
      <c r="K271" s="317" t="n"/>
      <c r="L271" s="317" t="n"/>
      <c r="M271" s="317" t="n"/>
      <c r="N271" s="317" t="n"/>
      <c r="O271" s="317" t="n"/>
      <c r="P271" s="317" t="n"/>
      <c r="Q271" s="317" t="n"/>
      <c r="R271" s="317" t="n"/>
      <c r="S271" s="317" t="n"/>
      <c r="T271" s="317" t="n"/>
      <c r="U271" s="317" t="n"/>
      <c r="V271" s="317" t="n"/>
      <c r="W271" s="317" t="n"/>
      <c r="X271" s="317" t="n"/>
      <c r="Y271" s="317" t="n"/>
      <c r="Z271" s="333" t="n"/>
      <c r="AA271" s="317" t="n"/>
    </row>
    <row r="272" ht="15.75" customHeight="1" s="372">
      <c r="A272" s="336" t="n"/>
      <c r="B272" s="337" t="n"/>
      <c r="C272" s="337" t="n"/>
      <c r="D272" s="337" t="n"/>
      <c r="E272" s="337" t="n"/>
      <c r="F272" s="337" t="n"/>
      <c r="G272" s="337" t="n"/>
      <c r="H272" s="317" t="n"/>
      <c r="I272" s="317" t="n"/>
      <c r="J272" s="317" t="n"/>
      <c r="K272" s="317" t="n"/>
      <c r="L272" s="317" t="n"/>
      <c r="M272" s="317" t="n"/>
      <c r="N272" s="317" t="n"/>
      <c r="O272" s="317" t="n"/>
      <c r="P272" s="317" t="n"/>
      <c r="Q272" s="317" t="n"/>
      <c r="R272" s="317" t="n"/>
      <c r="S272" s="317" t="n"/>
      <c r="T272" s="317" t="n"/>
      <c r="U272" s="317" t="n"/>
      <c r="V272" s="317" t="n"/>
      <c r="W272" s="317" t="n"/>
      <c r="X272" s="317" t="n"/>
      <c r="Y272" s="317" t="n"/>
      <c r="Z272" s="333" t="n"/>
      <c r="AA272" s="317" t="n"/>
    </row>
    <row r="273" ht="15.75" customHeight="1" s="372">
      <c r="A273" s="336" t="n"/>
      <c r="B273" s="337" t="n"/>
      <c r="C273" s="337" t="n"/>
      <c r="D273" s="337" t="n"/>
      <c r="E273" s="337" t="n"/>
      <c r="F273" s="337" t="n"/>
      <c r="G273" s="337" t="n"/>
      <c r="H273" s="317" t="n"/>
      <c r="I273" s="317" t="n"/>
      <c r="J273" s="317" t="n"/>
      <c r="K273" s="317" t="n"/>
      <c r="L273" s="317" t="n"/>
      <c r="M273" s="317" t="n"/>
      <c r="N273" s="317" t="n"/>
      <c r="O273" s="317" t="n"/>
      <c r="P273" s="317" t="n"/>
      <c r="Q273" s="317" t="n"/>
      <c r="R273" s="317" t="n"/>
      <c r="S273" s="317" t="n"/>
      <c r="T273" s="317" t="n"/>
      <c r="U273" s="317" t="n"/>
      <c r="V273" s="317" t="n"/>
      <c r="W273" s="317" t="n"/>
      <c r="X273" s="317" t="n"/>
      <c r="Y273" s="317" t="n"/>
      <c r="Z273" s="333" t="n"/>
      <c r="AA273" s="317" t="n"/>
    </row>
    <row r="274" ht="15.75" customHeight="1" s="372">
      <c r="A274" s="336" t="n"/>
      <c r="B274" s="337" t="n"/>
      <c r="C274" s="337" t="n"/>
      <c r="D274" s="337" t="n"/>
      <c r="E274" s="337" t="n"/>
      <c r="F274" s="337" t="n"/>
      <c r="G274" s="337" t="n"/>
      <c r="H274" s="317" t="n"/>
      <c r="I274" s="317" t="n"/>
      <c r="J274" s="317" t="n"/>
      <c r="K274" s="317" t="n"/>
      <c r="L274" s="317" t="n"/>
      <c r="M274" s="317" t="n"/>
      <c r="N274" s="317" t="n"/>
      <c r="O274" s="317" t="n"/>
      <c r="P274" s="317" t="n"/>
      <c r="Q274" s="317" t="n"/>
      <c r="R274" s="317" t="n"/>
      <c r="S274" s="317" t="n"/>
      <c r="T274" s="317" t="n"/>
      <c r="U274" s="317" t="n"/>
      <c r="V274" s="317" t="n"/>
      <c r="W274" s="317" t="n"/>
      <c r="X274" s="317" t="n"/>
      <c r="Y274" s="317" t="n"/>
      <c r="Z274" s="333" t="n"/>
      <c r="AA274" s="317" t="n"/>
    </row>
    <row r="275" ht="15.75" customHeight="1" s="372">
      <c r="A275" s="336" t="n"/>
      <c r="B275" s="337" t="n"/>
      <c r="C275" s="337" t="n"/>
      <c r="D275" s="337" t="n"/>
      <c r="E275" s="337" t="n"/>
      <c r="F275" s="337" t="n"/>
      <c r="G275" s="337" t="n"/>
      <c r="H275" s="317" t="n"/>
      <c r="I275" s="317" t="n"/>
      <c r="J275" s="317" t="n"/>
      <c r="K275" s="317" t="n"/>
      <c r="L275" s="317" t="n"/>
      <c r="M275" s="317" t="n"/>
      <c r="N275" s="317" t="n"/>
      <c r="O275" s="317" t="n"/>
      <c r="P275" s="317" t="n"/>
      <c r="Q275" s="317" t="n"/>
      <c r="R275" s="317" t="n"/>
      <c r="S275" s="317" t="n"/>
      <c r="T275" s="317" t="n"/>
      <c r="U275" s="317" t="n"/>
      <c r="V275" s="317" t="n"/>
      <c r="W275" s="317" t="n"/>
      <c r="X275" s="317" t="n"/>
      <c r="Y275" s="317" t="n"/>
      <c r="Z275" s="333" t="n"/>
      <c r="AA275" s="317" t="n"/>
    </row>
    <row r="276" ht="15.75" customHeight="1" s="372">
      <c r="A276" s="336" t="n"/>
      <c r="B276" s="337" t="n"/>
      <c r="C276" s="337" t="n"/>
      <c r="D276" s="337" t="n"/>
      <c r="E276" s="337" t="n"/>
      <c r="F276" s="337" t="n"/>
      <c r="G276" s="337" t="n"/>
      <c r="H276" s="317" t="n"/>
      <c r="I276" s="317" t="n"/>
      <c r="J276" s="317" t="n"/>
      <c r="K276" s="317" t="n"/>
      <c r="L276" s="317" t="n"/>
      <c r="M276" s="317" t="n"/>
      <c r="N276" s="317" t="n"/>
      <c r="O276" s="317" t="n"/>
      <c r="P276" s="317" t="n"/>
      <c r="Q276" s="317" t="n"/>
      <c r="R276" s="317" t="n"/>
      <c r="S276" s="317" t="n"/>
      <c r="T276" s="317" t="n"/>
      <c r="U276" s="317" t="n"/>
      <c r="V276" s="317" t="n"/>
      <c r="W276" s="317" t="n"/>
      <c r="X276" s="317" t="n"/>
      <c r="Y276" s="317" t="n"/>
      <c r="Z276" s="333" t="n"/>
      <c r="AA276" s="317" t="n"/>
    </row>
    <row r="277" ht="15.75" customHeight="1" s="372">
      <c r="A277" s="336" t="n"/>
      <c r="B277" s="337" t="n"/>
      <c r="C277" s="337" t="n"/>
      <c r="D277" s="337" t="n"/>
      <c r="E277" s="337" t="n"/>
      <c r="F277" s="337" t="n"/>
      <c r="G277" s="337" t="n"/>
      <c r="H277" s="317" t="n"/>
      <c r="I277" s="317" t="n"/>
      <c r="J277" s="317" t="n"/>
      <c r="K277" s="317" t="n"/>
      <c r="L277" s="317" t="n"/>
      <c r="M277" s="317" t="n"/>
      <c r="N277" s="317" t="n"/>
      <c r="O277" s="317" t="n"/>
      <c r="P277" s="317" t="n"/>
      <c r="Q277" s="317" t="n"/>
      <c r="R277" s="317" t="n"/>
      <c r="S277" s="317" t="n"/>
      <c r="T277" s="317" t="n"/>
      <c r="U277" s="317" t="n"/>
      <c r="V277" s="317" t="n"/>
      <c r="W277" s="317" t="n"/>
      <c r="X277" s="317" t="n"/>
      <c r="Y277" s="317" t="n"/>
      <c r="Z277" s="333" t="n"/>
      <c r="AA277" s="317" t="n"/>
    </row>
    <row r="278" ht="15.75" customHeight="1" s="372">
      <c r="A278" s="336" t="n"/>
      <c r="B278" s="337" t="n"/>
      <c r="C278" s="337" t="n"/>
      <c r="D278" s="337" t="n"/>
      <c r="E278" s="337" t="n"/>
      <c r="F278" s="337" t="n"/>
      <c r="G278" s="337" t="n"/>
      <c r="H278" s="317" t="n"/>
      <c r="I278" s="317" t="n"/>
      <c r="J278" s="317" t="n"/>
      <c r="K278" s="317" t="n"/>
      <c r="L278" s="317" t="n"/>
      <c r="M278" s="317" t="n"/>
      <c r="N278" s="317" t="n"/>
      <c r="O278" s="317" t="n"/>
      <c r="P278" s="317" t="n"/>
      <c r="Q278" s="317" t="n"/>
      <c r="R278" s="317" t="n"/>
      <c r="S278" s="317" t="n"/>
      <c r="T278" s="317" t="n"/>
      <c r="U278" s="317" t="n"/>
      <c r="V278" s="317" t="n"/>
      <c r="W278" s="317" t="n"/>
      <c r="X278" s="317" t="n"/>
      <c r="Y278" s="317" t="n"/>
      <c r="Z278" s="333" t="n"/>
      <c r="AA278" s="317" t="n"/>
    </row>
    <row r="279" ht="15.75" customHeight="1" s="372">
      <c r="A279" s="336" t="n"/>
      <c r="B279" s="337" t="n"/>
      <c r="C279" s="337" t="n"/>
      <c r="D279" s="337" t="n"/>
      <c r="E279" s="337" t="n"/>
      <c r="F279" s="337" t="n"/>
      <c r="G279" s="337" t="n"/>
      <c r="H279" s="317" t="n"/>
      <c r="I279" s="317" t="n"/>
      <c r="J279" s="317" t="n"/>
      <c r="K279" s="317" t="n"/>
      <c r="L279" s="317" t="n"/>
      <c r="M279" s="317" t="n"/>
      <c r="N279" s="317" t="n"/>
      <c r="O279" s="317" t="n"/>
      <c r="P279" s="317" t="n"/>
      <c r="Q279" s="317" t="n"/>
      <c r="R279" s="317" t="n"/>
      <c r="S279" s="317" t="n"/>
      <c r="T279" s="317" t="n"/>
      <c r="U279" s="317" t="n"/>
      <c r="V279" s="317" t="n"/>
      <c r="W279" s="317" t="n"/>
      <c r="X279" s="317" t="n"/>
      <c r="Y279" s="317" t="n"/>
      <c r="Z279" s="333" t="n"/>
      <c r="AA279" s="317" t="n"/>
    </row>
    <row r="280" ht="15.75" customHeight="1" s="372">
      <c r="A280" s="336" t="n"/>
      <c r="B280" s="337" t="n"/>
      <c r="C280" s="337" t="n"/>
      <c r="D280" s="337" t="n"/>
      <c r="E280" s="337" t="n"/>
      <c r="F280" s="337" t="n"/>
      <c r="G280" s="337" t="n"/>
      <c r="H280" s="317" t="n"/>
      <c r="I280" s="317" t="n"/>
      <c r="J280" s="317" t="n"/>
      <c r="K280" s="317" t="n"/>
      <c r="L280" s="317" t="n"/>
      <c r="M280" s="317" t="n"/>
      <c r="N280" s="317" t="n"/>
      <c r="O280" s="317" t="n"/>
      <c r="P280" s="317" t="n"/>
      <c r="Q280" s="317" t="n"/>
      <c r="R280" s="317" t="n"/>
      <c r="S280" s="317" t="n"/>
      <c r="T280" s="317" t="n"/>
      <c r="U280" s="317" t="n"/>
      <c r="V280" s="317" t="n"/>
      <c r="W280" s="317" t="n"/>
      <c r="X280" s="317" t="n"/>
      <c r="Y280" s="317" t="n"/>
      <c r="Z280" s="333" t="n"/>
      <c r="AA280" s="317" t="n"/>
    </row>
    <row r="281" ht="15.75" customHeight="1" s="372">
      <c r="A281" s="336" t="n"/>
      <c r="B281" s="337" t="n"/>
      <c r="C281" s="337" t="n"/>
      <c r="D281" s="337" t="n"/>
      <c r="E281" s="337" t="n"/>
      <c r="F281" s="337" t="n"/>
      <c r="G281" s="337" t="n"/>
      <c r="H281" s="317" t="n"/>
      <c r="I281" s="317" t="n"/>
      <c r="J281" s="317" t="n"/>
      <c r="K281" s="317" t="n"/>
      <c r="L281" s="317" t="n"/>
      <c r="M281" s="317" t="n"/>
      <c r="N281" s="317" t="n"/>
      <c r="O281" s="317" t="n"/>
      <c r="P281" s="317" t="n"/>
      <c r="Q281" s="317" t="n"/>
      <c r="R281" s="317" t="n"/>
      <c r="S281" s="317" t="n"/>
      <c r="T281" s="317" t="n"/>
      <c r="U281" s="317" t="n"/>
      <c r="V281" s="317" t="n"/>
      <c r="W281" s="317" t="n"/>
      <c r="X281" s="317" t="n"/>
      <c r="Y281" s="317" t="n"/>
      <c r="Z281" s="333" t="n"/>
      <c r="AA281" s="317" t="n"/>
    </row>
    <row r="282" ht="15.75" customHeight="1" s="372">
      <c r="A282" s="336" t="n"/>
      <c r="B282" s="337" t="n"/>
      <c r="C282" s="337" t="n"/>
      <c r="D282" s="337" t="n"/>
      <c r="E282" s="337" t="n"/>
      <c r="F282" s="337" t="n"/>
      <c r="G282" s="337" t="n"/>
      <c r="H282" s="317" t="n"/>
      <c r="I282" s="317" t="n"/>
      <c r="J282" s="317" t="n"/>
      <c r="K282" s="317" t="n"/>
      <c r="L282" s="317" t="n"/>
      <c r="M282" s="317" t="n"/>
      <c r="N282" s="317" t="n"/>
      <c r="O282" s="317" t="n"/>
      <c r="P282" s="317" t="n"/>
      <c r="Q282" s="317" t="n"/>
      <c r="R282" s="317" t="n"/>
      <c r="S282" s="317" t="n"/>
      <c r="T282" s="317" t="n"/>
      <c r="U282" s="317" t="n"/>
      <c r="V282" s="317" t="n"/>
      <c r="W282" s="317" t="n"/>
      <c r="X282" s="317" t="n"/>
      <c r="Y282" s="317" t="n"/>
      <c r="Z282" s="333" t="n"/>
      <c r="AA282" s="317" t="n"/>
    </row>
    <row r="283" ht="15.75" customHeight="1" s="372">
      <c r="A283" s="336" t="n"/>
      <c r="B283" s="337" t="n"/>
      <c r="C283" s="337" t="n"/>
      <c r="D283" s="337" t="n"/>
      <c r="E283" s="337" t="n"/>
      <c r="F283" s="337" t="n"/>
      <c r="G283" s="337" t="n"/>
      <c r="H283" s="317" t="n"/>
      <c r="I283" s="317" t="n"/>
      <c r="J283" s="317" t="n"/>
      <c r="K283" s="317" t="n"/>
      <c r="L283" s="317" t="n"/>
      <c r="M283" s="317" t="n"/>
      <c r="N283" s="317" t="n"/>
      <c r="O283" s="317" t="n"/>
      <c r="P283" s="317" t="n"/>
      <c r="Q283" s="317" t="n"/>
      <c r="R283" s="317" t="n"/>
      <c r="S283" s="317" t="n"/>
      <c r="T283" s="317" t="n"/>
      <c r="U283" s="317" t="n"/>
      <c r="V283" s="317" t="n"/>
      <c r="W283" s="317" t="n"/>
      <c r="X283" s="317" t="n"/>
      <c r="Y283" s="317" t="n"/>
      <c r="Z283" s="333" t="n"/>
      <c r="AA283" s="317" t="n"/>
    </row>
    <row r="284" ht="15.75" customHeight="1" s="372">
      <c r="A284" s="336" t="n"/>
      <c r="B284" s="337" t="n"/>
      <c r="C284" s="337" t="n"/>
      <c r="D284" s="337" t="n"/>
      <c r="E284" s="337" t="n"/>
      <c r="F284" s="337" t="n"/>
      <c r="G284" s="337" t="n"/>
      <c r="H284" s="317" t="n"/>
      <c r="I284" s="317" t="n"/>
      <c r="J284" s="317" t="n"/>
      <c r="K284" s="317" t="n"/>
      <c r="L284" s="317" t="n"/>
      <c r="M284" s="317" t="n"/>
      <c r="N284" s="317" t="n"/>
      <c r="O284" s="317" t="n"/>
      <c r="P284" s="317" t="n"/>
      <c r="Q284" s="317" t="n"/>
      <c r="R284" s="317" t="n"/>
      <c r="S284" s="317" t="n"/>
      <c r="T284" s="317" t="n"/>
      <c r="U284" s="317" t="n"/>
      <c r="V284" s="317" t="n"/>
      <c r="W284" s="317" t="n"/>
      <c r="X284" s="317" t="n"/>
      <c r="Y284" s="317" t="n"/>
      <c r="Z284" s="333" t="n"/>
      <c r="AA284" s="317" t="n"/>
    </row>
    <row r="285" ht="15.75" customHeight="1" s="372">
      <c r="A285" s="336" t="n"/>
      <c r="B285" s="337" t="n"/>
      <c r="C285" s="337" t="n"/>
      <c r="D285" s="337" t="n"/>
      <c r="E285" s="337" t="n"/>
      <c r="F285" s="337" t="n"/>
      <c r="G285" s="337" t="n"/>
      <c r="H285" s="317" t="n"/>
      <c r="I285" s="317" t="n"/>
      <c r="J285" s="317" t="n"/>
      <c r="K285" s="317" t="n"/>
      <c r="L285" s="317" t="n"/>
      <c r="M285" s="317" t="n"/>
      <c r="N285" s="317" t="n"/>
      <c r="O285" s="317" t="n"/>
      <c r="P285" s="317" t="n"/>
      <c r="Q285" s="317" t="n"/>
      <c r="R285" s="317" t="n"/>
      <c r="S285" s="317" t="n"/>
      <c r="T285" s="317" t="n"/>
      <c r="U285" s="317" t="n"/>
      <c r="V285" s="317" t="n"/>
      <c r="W285" s="317" t="n"/>
      <c r="X285" s="317" t="n"/>
      <c r="Y285" s="317" t="n"/>
      <c r="Z285" s="333" t="n"/>
      <c r="AA285" s="317" t="n"/>
    </row>
    <row r="286" ht="15.75" customHeight="1" s="372">
      <c r="A286" s="336" t="n"/>
      <c r="B286" s="337" t="n"/>
      <c r="C286" s="337" t="n"/>
      <c r="D286" s="337" t="n"/>
      <c r="E286" s="337" t="n"/>
      <c r="F286" s="337" t="n"/>
      <c r="G286" s="337" t="n"/>
      <c r="H286" s="317" t="n"/>
      <c r="I286" s="317" t="n"/>
      <c r="J286" s="317" t="n"/>
      <c r="K286" s="317" t="n"/>
      <c r="L286" s="317" t="n"/>
      <c r="M286" s="317" t="n"/>
      <c r="N286" s="317" t="n"/>
      <c r="O286" s="317" t="n"/>
      <c r="P286" s="317" t="n"/>
      <c r="Q286" s="317" t="n"/>
      <c r="R286" s="317" t="n"/>
      <c r="S286" s="317" t="n"/>
      <c r="T286" s="317" t="n"/>
      <c r="U286" s="317" t="n"/>
      <c r="V286" s="317" t="n"/>
      <c r="W286" s="317" t="n"/>
      <c r="X286" s="317" t="n"/>
      <c r="Y286" s="317" t="n"/>
      <c r="Z286" s="333" t="n"/>
      <c r="AA286" s="317" t="n"/>
    </row>
    <row r="287" ht="15.75" customHeight="1" s="372">
      <c r="A287" s="336" t="n"/>
      <c r="B287" s="337" t="n"/>
      <c r="C287" s="337" t="n"/>
      <c r="D287" s="337" t="n"/>
      <c r="E287" s="337" t="n"/>
      <c r="F287" s="337" t="n"/>
      <c r="G287" s="337" t="n"/>
      <c r="H287" s="317" t="n"/>
      <c r="I287" s="317" t="n"/>
      <c r="J287" s="317" t="n"/>
      <c r="K287" s="317" t="n"/>
      <c r="L287" s="317" t="n"/>
      <c r="M287" s="317" t="n"/>
      <c r="N287" s="317" t="n"/>
      <c r="O287" s="317" t="n"/>
      <c r="P287" s="317" t="n"/>
      <c r="Q287" s="317" t="n"/>
      <c r="R287" s="317" t="n"/>
      <c r="S287" s="317" t="n"/>
      <c r="T287" s="317" t="n"/>
      <c r="U287" s="317" t="n"/>
      <c r="V287" s="317" t="n"/>
      <c r="W287" s="317" t="n"/>
      <c r="X287" s="317" t="n"/>
      <c r="Y287" s="317" t="n"/>
      <c r="Z287" s="333" t="n"/>
      <c r="AA287" s="317" t="n"/>
    </row>
    <row r="288" ht="15.75" customHeight="1" s="372">
      <c r="A288" s="336" t="n"/>
      <c r="B288" s="337" t="n"/>
      <c r="C288" s="337" t="n"/>
      <c r="D288" s="337" t="n"/>
      <c r="E288" s="337" t="n"/>
      <c r="F288" s="337" t="n"/>
      <c r="G288" s="337" t="n"/>
      <c r="H288" s="317" t="n"/>
      <c r="I288" s="317" t="n"/>
      <c r="J288" s="317" t="n"/>
      <c r="K288" s="317" t="n"/>
      <c r="L288" s="317" t="n"/>
      <c r="M288" s="317" t="n"/>
      <c r="N288" s="317" t="n"/>
      <c r="O288" s="317" t="n"/>
      <c r="P288" s="317" t="n"/>
      <c r="Q288" s="317" t="n"/>
      <c r="R288" s="317" t="n"/>
      <c r="S288" s="317" t="n"/>
      <c r="T288" s="317" t="n"/>
      <c r="U288" s="317" t="n"/>
      <c r="V288" s="317" t="n"/>
      <c r="W288" s="317" t="n"/>
      <c r="X288" s="317" t="n"/>
      <c r="Y288" s="317" t="n"/>
      <c r="Z288" s="333" t="n"/>
      <c r="AA288" s="317" t="n"/>
    </row>
    <row r="289" ht="15.75" customHeight="1" s="372">
      <c r="A289" s="336" t="n"/>
      <c r="B289" s="337" t="n"/>
      <c r="C289" s="337" t="n"/>
      <c r="D289" s="337" t="n"/>
      <c r="E289" s="337" t="n"/>
      <c r="F289" s="337" t="n"/>
      <c r="G289" s="337" t="n"/>
      <c r="H289" s="317" t="n"/>
      <c r="I289" s="317" t="n"/>
      <c r="J289" s="317" t="n"/>
      <c r="K289" s="317" t="n"/>
      <c r="L289" s="317" t="n"/>
      <c r="M289" s="317" t="n"/>
      <c r="N289" s="317" t="n"/>
      <c r="O289" s="317" t="n"/>
      <c r="P289" s="317" t="n"/>
      <c r="Q289" s="317" t="n"/>
      <c r="R289" s="317" t="n"/>
      <c r="S289" s="317" t="n"/>
      <c r="T289" s="317" t="n"/>
      <c r="U289" s="317" t="n"/>
      <c r="V289" s="317" t="n"/>
      <c r="W289" s="317" t="n"/>
      <c r="X289" s="317" t="n"/>
      <c r="Y289" s="317" t="n"/>
      <c r="Z289" s="333" t="n"/>
      <c r="AA289" s="317" t="n"/>
    </row>
    <row r="290" ht="15.75" customHeight="1" s="372">
      <c r="A290" s="336" t="n"/>
      <c r="B290" s="337" t="n"/>
      <c r="C290" s="337" t="n"/>
      <c r="D290" s="337" t="n"/>
      <c r="E290" s="337" t="n"/>
      <c r="F290" s="337" t="n"/>
      <c r="G290" s="337" t="n"/>
      <c r="H290" s="317" t="n"/>
      <c r="I290" s="317" t="n"/>
      <c r="J290" s="317" t="n"/>
      <c r="K290" s="317" t="n"/>
      <c r="L290" s="317" t="n"/>
      <c r="M290" s="317" t="n"/>
      <c r="N290" s="317" t="n"/>
      <c r="O290" s="317" t="n"/>
      <c r="P290" s="317" t="n"/>
      <c r="Q290" s="317" t="n"/>
      <c r="R290" s="317" t="n"/>
      <c r="S290" s="317" t="n"/>
      <c r="T290" s="317" t="n"/>
      <c r="U290" s="317" t="n"/>
      <c r="V290" s="317" t="n"/>
      <c r="W290" s="317" t="n"/>
      <c r="X290" s="317" t="n"/>
      <c r="Y290" s="317" t="n"/>
      <c r="Z290" s="333" t="n"/>
      <c r="AA290" s="317" t="n"/>
    </row>
    <row r="291" ht="15.75" customHeight="1" s="372">
      <c r="A291" s="336" t="n"/>
      <c r="B291" s="337" t="n"/>
      <c r="C291" s="337" t="n"/>
      <c r="D291" s="337" t="n"/>
      <c r="E291" s="337" t="n"/>
      <c r="F291" s="337" t="n"/>
      <c r="G291" s="337" t="n"/>
      <c r="H291" s="317" t="n"/>
      <c r="I291" s="317" t="n"/>
      <c r="J291" s="317" t="n"/>
      <c r="K291" s="317" t="n"/>
      <c r="L291" s="317" t="n"/>
      <c r="M291" s="317" t="n"/>
      <c r="N291" s="317" t="n"/>
      <c r="O291" s="317" t="n"/>
      <c r="P291" s="317" t="n"/>
      <c r="Q291" s="317" t="n"/>
      <c r="R291" s="317" t="n"/>
      <c r="S291" s="317" t="n"/>
      <c r="T291" s="317" t="n"/>
      <c r="U291" s="317" t="n"/>
      <c r="V291" s="317" t="n"/>
      <c r="W291" s="317" t="n"/>
      <c r="X291" s="317" t="n"/>
      <c r="Y291" s="317" t="n"/>
      <c r="Z291" s="333" t="n"/>
      <c r="AA291" s="317" t="n"/>
    </row>
    <row r="292" ht="15.75" customHeight="1" s="372">
      <c r="A292" s="336" t="n"/>
      <c r="B292" s="337" t="n"/>
      <c r="C292" s="337" t="n"/>
      <c r="D292" s="337" t="n"/>
      <c r="E292" s="337" t="n"/>
      <c r="F292" s="337" t="n"/>
      <c r="G292" s="337" t="n"/>
      <c r="H292" s="317" t="n"/>
      <c r="I292" s="317" t="n"/>
      <c r="J292" s="317" t="n"/>
      <c r="K292" s="317" t="n"/>
      <c r="L292" s="317" t="n"/>
      <c r="M292" s="317" t="n"/>
      <c r="N292" s="317" t="n"/>
      <c r="O292" s="317" t="n"/>
      <c r="P292" s="317" t="n"/>
      <c r="Q292" s="317" t="n"/>
      <c r="R292" s="317" t="n"/>
      <c r="S292" s="317" t="n"/>
      <c r="T292" s="317" t="n"/>
      <c r="U292" s="317" t="n"/>
      <c r="V292" s="317" t="n"/>
      <c r="W292" s="317" t="n"/>
      <c r="X292" s="317" t="n"/>
      <c r="Y292" s="317" t="n"/>
      <c r="Z292" s="333" t="n"/>
      <c r="AA292" s="317" t="n"/>
    </row>
    <row r="293" ht="15.75" customHeight="1" s="372">
      <c r="A293" s="336" t="n"/>
      <c r="B293" s="337" t="n"/>
      <c r="C293" s="337" t="n"/>
      <c r="D293" s="337" t="n"/>
      <c r="E293" s="337" t="n"/>
      <c r="F293" s="337" t="n"/>
      <c r="G293" s="337" t="n"/>
      <c r="H293" s="317" t="n"/>
      <c r="I293" s="317" t="n"/>
      <c r="J293" s="317" t="n"/>
      <c r="K293" s="317" t="n"/>
      <c r="L293" s="317" t="n"/>
      <c r="M293" s="317" t="n"/>
      <c r="N293" s="317" t="n"/>
      <c r="O293" s="317" t="n"/>
      <c r="P293" s="317" t="n"/>
      <c r="Q293" s="317" t="n"/>
      <c r="R293" s="317" t="n"/>
      <c r="S293" s="317" t="n"/>
      <c r="T293" s="317" t="n"/>
      <c r="U293" s="317" t="n"/>
      <c r="V293" s="317" t="n"/>
      <c r="W293" s="317" t="n"/>
      <c r="X293" s="317" t="n"/>
      <c r="Y293" s="317" t="n"/>
      <c r="Z293" s="333" t="n"/>
      <c r="AA293" s="317" t="n"/>
    </row>
    <row r="294" ht="15.75" customHeight="1" s="372">
      <c r="A294" s="336" t="n"/>
      <c r="B294" s="337" t="n"/>
      <c r="C294" s="337" t="n"/>
      <c r="D294" s="337" t="n"/>
      <c r="E294" s="337" t="n"/>
      <c r="F294" s="337" t="n"/>
      <c r="G294" s="337" t="n"/>
      <c r="H294" s="317" t="n"/>
      <c r="I294" s="317" t="n"/>
      <c r="J294" s="317" t="n"/>
      <c r="K294" s="317" t="n"/>
      <c r="L294" s="317" t="n"/>
      <c r="M294" s="317" t="n"/>
      <c r="N294" s="317" t="n"/>
      <c r="O294" s="317" t="n"/>
      <c r="P294" s="317" t="n"/>
      <c r="Q294" s="317" t="n"/>
      <c r="R294" s="317" t="n"/>
      <c r="S294" s="317" t="n"/>
      <c r="T294" s="317" t="n"/>
      <c r="U294" s="317" t="n"/>
      <c r="V294" s="317" t="n"/>
      <c r="W294" s="317" t="n"/>
      <c r="X294" s="317" t="n"/>
      <c r="Y294" s="317" t="n"/>
      <c r="Z294" s="333" t="n"/>
      <c r="AA294" s="317" t="n"/>
    </row>
    <row r="295" ht="15.75" customHeight="1" s="372">
      <c r="A295" s="336" t="n"/>
      <c r="B295" s="337" t="n"/>
      <c r="C295" s="337" t="n"/>
      <c r="D295" s="337" t="n"/>
      <c r="E295" s="337" t="n"/>
      <c r="F295" s="337" t="n"/>
      <c r="G295" s="337" t="n"/>
      <c r="H295" s="317" t="n"/>
      <c r="I295" s="317" t="n"/>
      <c r="J295" s="317" t="n"/>
      <c r="K295" s="317" t="n"/>
      <c r="L295" s="317" t="n"/>
      <c r="M295" s="317" t="n"/>
      <c r="N295" s="317" t="n"/>
      <c r="O295" s="317" t="n"/>
      <c r="P295" s="317" t="n"/>
      <c r="Q295" s="317" t="n"/>
      <c r="R295" s="317" t="n"/>
      <c r="S295" s="317" t="n"/>
      <c r="T295" s="317" t="n"/>
      <c r="U295" s="317" t="n"/>
      <c r="V295" s="317" t="n"/>
      <c r="W295" s="317" t="n"/>
      <c r="X295" s="317" t="n"/>
      <c r="Y295" s="317" t="n"/>
      <c r="Z295" s="333" t="n"/>
      <c r="AA295" s="317" t="n"/>
    </row>
    <row r="296" ht="15.75" customHeight="1" s="372">
      <c r="A296" s="336" t="n"/>
      <c r="B296" s="337" t="n"/>
      <c r="C296" s="337" t="n"/>
      <c r="D296" s="337" t="n"/>
      <c r="E296" s="337" t="n"/>
      <c r="F296" s="337" t="n"/>
      <c r="G296" s="337" t="n"/>
      <c r="H296" s="317" t="n"/>
      <c r="I296" s="317" t="n"/>
      <c r="J296" s="317" t="n"/>
      <c r="K296" s="317" t="n"/>
      <c r="L296" s="317" t="n"/>
      <c r="M296" s="317" t="n"/>
      <c r="N296" s="317" t="n"/>
      <c r="O296" s="317" t="n"/>
      <c r="P296" s="317" t="n"/>
      <c r="Q296" s="317" t="n"/>
      <c r="R296" s="317" t="n"/>
      <c r="S296" s="317" t="n"/>
      <c r="T296" s="317" t="n"/>
      <c r="U296" s="317" t="n"/>
      <c r="V296" s="317" t="n"/>
      <c r="W296" s="317" t="n"/>
      <c r="X296" s="317" t="n"/>
      <c r="Y296" s="317" t="n"/>
      <c r="Z296" s="333" t="n"/>
      <c r="AA296" s="317" t="n"/>
    </row>
    <row r="297" ht="15.75" customHeight="1" s="372">
      <c r="A297" s="336" t="n"/>
      <c r="B297" s="337" t="n"/>
      <c r="C297" s="337" t="n"/>
      <c r="D297" s="337" t="n"/>
      <c r="E297" s="337" t="n"/>
      <c r="F297" s="337" t="n"/>
      <c r="G297" s="337" t="n"/>
      <c r="H297" s="317" t="n"/>
      <c r="I297" s="317" t="n"/>
      <c r="J297" s="317" t="n"/>
      <c r="K297" s="317" t="n"/>
      <c r="L297" s="317" t="n"/>
      <c r="M297" s="317" t="n"/>
      <c r="N297" s="317" t="n"/>
      <c r="O297" s="317" t="n"/>
      <c r="P297" s="317" t="n"/>
      <c r="Q297" s="317" t="n"/>
      <c r="R297" s="317" t="n"/>
      <c r="S297" s="317" t="n"/>
      <c r="T297" s="317" t="n"/>
      <c r="U297" s="317" t="n"/>
      <c r="V297" s="317" t="n"/>
      <c r="W297" s="317" t="n"/>
      <c r="X297" s="317" t="n"/>
      <c r="Y297" s="317" t="n"/>
      <c r="Z297" s="333" t="n"/>
      <c r="AA297" s="317" t="n"/>
    </row>
    <row r="298" ht="15.75" customHeight="1" s="372">
      <c r="A298" s="336" t="n"/>
      <c r="B298" s="337" t="n"/>
      <c r="C298" s="337" t="n"/>
      <c r="D298" s="337" t="n"/>
      <c r="E298" s="337" t="n"/>
      <c r="F298" s="337" t="n"/>
      <c r="G298" s="337" t="n"/>
      <c r="H298" s="317" t="n"/>
      <c r="I298" s="317" t="n"/>
      <c r="J298" s="317" t="n"/>
      <c r="K298" s="317" t="n"/>
      <c r="L298" s="317" t="n"/>
      <c r="M298" s="317" t="n"/>
      <c r="N298" s="317" t="n"/>
      <c r="O298" s="317" t="n"/>
      <c r="P298" s="317" t="n"/>
      <c r="Q298" s="317" t="n"/>
      <c r="R298" s="317" t="n"/>
      <c r="S298" s="317" t="n"/>
      <c r="T298" s="317" t="n"/>
      <c r="U298" s="317" t="n"/>
      <c r="V298" s="317" t="n"/>
      <c r="W298" s="317" t="n"/>
      <c r="X298" s="317" t="n"/>
      <c r="Y298" s="317" t="n"/>
      <c r="Z298" s="333" t="n"/>
      <c r="AA298" s="317" t="n"/>
    </row>
    <row r="299" ht="15.75" customHeight="1" s="372">
      <c r="A299" s="336" t="n"/>
      <c r="B299" s="337" t="n"/>
      <c r="C299" s="337" t="n"/>
      <c r="D299" s="337" t="n"/>
      <c r="E299" s="337" t="n"/>
      <c r="F299" s="337" t="n"/>
      <c r="G299" s="337" t="n"/>
      <c r="H299" s="317" t="n"/>
      <c r="I299" s="317" t="n"/>
      <c r="J299" s="317" t="n"/>
      <c r="K299" s="317" t="n"/>
      <c r="L299" s="317" t="n"/>
      <c r="M299" s="317" t="n"/>
      <c r="N299" s="317" t="n"/>
      <c r="O299" s="317" t="n"/>
      <c r="P299" s="317" t="n"/>
      <c r="Q299" s="317" t="n"/>
      <c r="R299" s="317" t="n"/>
      <c r="S299" s="317" t="n"/>
      <c r="T299" s="317" t="n"/>
      <c r="U299" s="317" t="n"/>
      <c r="V299" s="317" t="n"/>
      <c r="W299" s="317" t="n"/>
      <c r="X299" s="317" t="n"/>
      <c r="Y299" s="317" t="n"/>
      <c r="Z299" s="333" t="n"/>
      <c r="AA299" s="317" t="n"/>
    </row>
    <row r="300" ht="15.75" customHeight="1" s="372">
      <c r="A300" s="336" t="n"/>
      <c r="B300" s="337" t="n"/>
      <c r="C300" s="337" t="n"/>
      <c r="D300" s="337" t="n"/>
      <c r="E300" s="337" t="n"/>
      <c r="F300" s="337" t="n"/>
      <c r="G300" s="337" t="n"/>
      <c r="H300" s="317" t="n"/>
      <c r="I300" s="317" t="n"/>
      <c r="J300" s="317" t="n"/>
      <c r="K300" s="317" t="n"/>
      <c r="L300" s="317" t="n"/>
      <c r="M300" s="317" t="n"/>
      <c r="N300" s="317" t="n"/>
      <c r="O300" s="317" t="n"/>
      <c r="P300" s="317" t="n"/>
      <c r="Q300" s="317" t="n"/>
      <c r="R300" s="317" t="n"/>
      <c r="S300" s="317" t="n"/>
      <c r="T300" s="317" t="n"/>
      <c r="U300" s="317" t="n"/>
      <c r="V300" s="317" t="n"/>
      <c r="W300" s="317" t="n"/>
      <c r="X300" s="317" t="n"/>
      <c r="Y300" s="317" t="n"/>
      <c r="Z300" s="333" t="n"/>
      <c r="AA300" s="317" t="n"/>
    </row>
    <row r="301" ht="15.75" customHeight="1" s="372">
      <c r="A301" s="336" t="n"/>
      <c r="B301" s="337" t="n"/>
      <c r="C301" s="337" t="n"/>
      <c r="D301" s="337" t="n"/>
      <c r="E301" s="337" t="n"/>
      <c r="F301" s="337" t="n"/>
      <c r="G301" s="337" t="n"/>
      <c r="H301" s="317" t="n"/>
      <c r="I301" s="317" t="n"/>
      <c r="J301" s="317" t="n"/>
      <c r="K301" s="317" t="n"/>
      <c r="L301" s="317" t="n"/>
      <c r="M301" s="317" t="n"/>
      <c r="N301" s="317" t="n"/>
      <c r="O301" s="317" t="n"/>
      <c r="P301" s="317" t="n"/>
      <c r="Q301" s="317" t="n"/>
      <c r="R301" s="317" t="n"/>
      <c r="S301" s="317" t="n"/>
      <c r="T301" s="317" t="n"/>
      <c r="U301" s="317" t="n"/>
      <c r="V301" s="317" t="n"/>
      <c r="W301" s="317" t="n"/>
      <c r="X301" s="317" t="n"/>
      <c r="Y301" s="317" t="n"/>
      <c r="Z301" s="333" t="n"/>
      <c r="AA301" s="317" t="n"/>
    </row>
    <row r="302" ht="15.75" customHeight="1" s="372">
      <c r="A302" s="336" t="n"/>
      <c r="B302" s="337" t="n"/>
      <c r="C302" s="337" t="n"/>
      <c r="D302" s="337" t="n"/>
      <c r="E302" s="337" t="n"/>
      <c r="F302" s="337" t="n"/>
      <c r="G302" s="337" t="n"/>
      <c r="H302" s="317" t="n"/>
      <c r="I302" s="317" t="n"/>
      <c r="J302" s="317" t="n"/>
      <c r="K302" s="317" t="n"/>
      <c r="L302" s="317" t="n"/>
      <c r="M302" s="317" t="n"/>
      <c r="N302" s="317" t="n"/>
      <c r="O302" s="317" t="n"/>
      <c r="P302" s="317" t="n"/>
      <c r="Q302" s="317" t="n"/>
      <c r="R302" s="317" t="n"/>
      <c r="S302" s="317" t="n"/>
      <c r="T302" s="317" t="n"/>
      <c r="U302" s="317" t="n"/>
      <c r="V302" s="317" t="n"/>
      <c r="W302" s="317" t="n"/>
      <c r="X302" s="317" t="n"/>
      <c r="Y302" s="317" t="n"/>
      <c r="Z302" s="333" t="n"/>
      <c r="AA302" s="317" t="n"/>
    </row>
    <row r="303" ht="15.75" customHeight="1" s="372">
      <c r="A303" s="336" t="n"/>
      <c r="B303" s="337" t="n"/>
      <c r="C303" s="337" t="n"/>
      <c r="D303" s="337" t="n"/>
      <c r="E303" s="337" t="n"/>
      <c r="F303" s="337" t="n"/>
      <c r="G303" s="337" t="n"/>
      <c r="H303" s="317" t="n"/>
      <c r="I303" s="317" t="n"/>
      <c r="J303" s="317" t="n"/>
      <c r="K303" s="317" t="n"/>
      <c r="L303" s="317" t="n"/>
      <c r="M303" s="317" t="n"/>
      <c r="N303" s="317" t="n"/>
      <c r="O303" s="317" t="n"/>
      <c r="P303" s="317" t="n"/>
      <c r="Q303" s="317" t="n"/>
      <c r="R303" s="317" t="n"/>
      <c r="S303" s="317" t="n"/>
      <c r="T303" s="317" t="n"/>
      <c r="U303" s="317" t="n"/>
      <c r="V303" s="317" t="n"/>
      <c r="W303" s="317" t="n"/>
      <c r="X303" s="317" t="n"/>
      <c r="Y303" s="317" t="n"/>
      <c r="Z303" s="333" t="n"/>
      <c r="AA303" s="317" t="n"/>
    </row>
    <row r="304" ht="15.75" customHeight="1" s="372">
      <c r="A304" s="336" t="n"/>
      <c r="B304" s="337" t="n"/>
      <c r="C304" s="337" t="n"/>
      <c r="D304" s="337" t="n"/>
      <c r="E304" s="337" t="n"/>
      <c r="F304" s="337" t="n"/>
      <c r="G304" s="337" t="n"/>
      <c r="H304" s="317" t="n"/>
      <c r="I304" s="317" t="n"/>
      <c r="J304" s="317" t="n"/>
      <c r="K304" s="317" t="n"/>
      <c r="L304" s="317" t="n"/>
      <c r="M304" s="317" t="n"/>
      <c r="N304" s="317" t="n"/>
      <c r="O304" s="317" t="n"/>
      <c r="P304" s="317" t="n"/>
      <c r="Q304" s="317" t="n"/>
      <c r="R304" s="317" t="n"/>
      <c r="S304" s="317" t="n"/>
      <c r="T304" s="317" t="n"/>
      <c r="U304" s="317" t="n"/>
      <c r="V304" s="317" t="n"/>
      <c r="W304" s="317" t="n"/>
      <c r="X304" s="317" t="n"/>
      <c r="Y304" s="317" t="n"/>
      <c r="Z304" s="333" t="n"/>
      <c r="AA304" s="317" t="n"/>
    </row>
    <row r="305" ht="15.75" customHeight="1" s="372">
      <c r="A305" s="336" t="n"/>
      <c r="B305" s="337" t="n"/>
      <c r="C305" s="337" t="n"/>
      <c r="D305" s="337" t="n"/>
      <c r="E305" s="337" t="n"/>
      <c r="F305" s="337" t="n"/>
      <c r="G305" s="337" t="n"/>
      <c r="H305" s="317" t="n"/>
      <c r="I305" s="317" t="n"/>
      <c r="J305" s="317" t="n"/>
      <c r="K305" s="317" t="n"/>
      <c r="L305" s="317" t="n"/>
      <c r="M305" s="317" t="n"/>
      <c r="N305" s="317" t="n"/>
      <c r="O305" s="317" t="n"/>
      <c r="P305" s="317" t="n"/>
      <c r="Q305" s="317" t="n"/>
      <c r="R305" s="317" t="n"/>
      <c r="S305" s="317" t="n"/>
      <c r="T305" s="317" t="n"/>
      <c r="U305" s="317" t="n"/>
      <c r="V305" s="317" t="n"/>
      <c r="W305" s="317" t="n"/>
      <c r="X305" s="317" t="n"/>
      <c r="Y305" s="317" t="n"/>
      <c r="Z305" s="333" t="n"/>
      <c r="AA305" s="317" t="n"/>
    </row>
    <row r="306" ht="15.75" customHeight="1" s="372">
      <c r="A306" s="336" t="n"/>
      <c r="B306" s="337" t="n"/>
      <c r="C306" s="337" t="n"/>
      <c r="D306" s="337" t="n"/>
      <c r="E306" s="337" t="n"/>
      <c r="F306" s="337" t="n"/>
      <c r="G306" s="337" t="n"/>
      <c r="H306" s="317" t="n"/>
      <c r="I306" s="317" t="n"/>
      <c r="J306" s="317" t="n"/>
      <c r="K306" s="317" t="n"/>
      <c r="L306" s="317" t="n"/>
      <c r="M306" s="317" t="n"/>
      <c r="N306" s="317" t="n"/>
      <c r="O306" s="317" t="n"/>
      <c r="P306" s="317" t="n"/>
      <c r="Q306" s="317" t="n"/>
      <c r="R306" s="317" t="n"/>
      <c r="S306" s="317" t="n"/>
      <c r="T306" s="317" t="n"/>
      <c r="U306" s="317" t="n"/>
      <c r="V306" s="317" t="n"/>
      <c r="W306" s="317" t="n"/>
      <c r="X306" s="317" t="n"/>
      <c r="Y306" s="317" t="n"/>
      <c r="Z306" s="333" t="n"/>
      <c r="AA306" s="317" t="n"/>
    </row>
    <row r="307" ht="15.75" customHeight="1" s="372">
      <c r="A307" s="336" t="n"/>
      <c r="B307" s="337" t="n"/>
      <c r="C307" s="337" t="n"/>
      <c r="D307" s="337" t="n"/>
      <c r="E307" s="337" t="n"/>
      <c r="F307" s="337" t="n"/>
      <c r="G307" s="337" t="n"/>
      <c r="H307" s="317" t="n"/>
      <c r="I307" s="317" t="n"/>
      <c r="J307" s="317" t="n"/>
      <c r="K307" s="317" t="n"/>
      <c r="L307" s="317" t="n"/>
      <c r="M307" s="317" t="n"/>
      <c r="N307" s="317" t="n"/>
      <c r="O307" s="317" t="n"/>
      <c r="P307" s="317" t="n"/>
      <c r="Q307" s="317" t="n"/>
      <c r="R307" s="317" t="n"/>
      <c r="S307" s="317" t="n"/>
      <c r="T307" s="317" t="n"/>
      <c r="U307" s="317" t="n"/>
      <c r="V307" s="317" t="n"/>
      <c r="W307" s="317" t="n"/>
      <c r="X307" s="317" t="n"/>
      <c r="Y307" s="317" t="n"/>
      <c r="Z307" s="333" t="n"/>
      <c r="AA307" s="317" t="n"/>
    </row>
    <row r="308" ht="15.75" customHeight="1" s="372">
      <c r="A308" s="336" t="n"/>
      <c r="B308" s="337" t="n"/>
      <c r="C308" s="337" t="n"/>
      <c r="D308" s="337" t="n"/>
      <c r="E308" s="337" t="n"/>
      <c r="F308" s="337" t="n"/>
      <c r="G308" s="337" t="n"/>
      <c r="H308" s="317" t="n"/>
      <c r="I308" s="317" t="n"/>
      <c r="J308" s="317" t="n"/>
      <c r="K308" s="317" t="n"/>
      <c r="L308" s="317" t="n"/>
      <c r="M308" s="317" t="n"/>
      <c r="N308" s="317" t="n"/>
      <c r="O308" s="317" t="n"/>
      <c r="P308" s="317" t="n"/>
      <c r="Q308" s="317" t="n"/>
      <c r="R308" s="317" t="n"/>
      <c r="S308" s="317" t="n"/>
      <c r="T308" s="317" t="n"/>
      <c r="U308" s="317" t="n"/>
      <c r="V308" s="317" t="n"/>
      <c r="W308" s="317" t="n"/>
      <c r="X308" s="317" t="n"/>
      <c r="Y308" s="317" t="n"/>
      <c r="Z308" s="333" t="n"/>
      <c r="AA308" s="317" t="n"/>
    </row>
    <row r="309" ht="15.75" customHeight="1" s="372">
      <c r="A309" s="336" t="n"/>
      <c r="B309" s="337" t="n"/>
      <c r="C309" s="337" t="n"/>
      <c r="D309" s="337" t="n"/>
      <c r="E309" s="337" t="n"/>
      <c r="F309" s="337" t="n"/>
      <c r="G309" s="337" t="n"/>
      <c r="H309" s="317" t="n"/>
      <c r="I309" s="317" t="n"/>
      <c r="J309" s="317" t="n"/>
      <c r="K309" s="317" t="n"/>
      <c r="L309" s="317" t="n"/>
      <c r="M309" s="317" t="n"/>
      <c r="N309" s="317" t="n"/>
      <c r="O309" s="317" t="n"/>
      <c r="P309" s="317" t="n"/>
      <c r="Q309" s="317" t="n"/>
      <c r="R309" s="317" t="n"/>
      <c r="S309" s="317" t="n"/>
      <c r="T309" s="317" t="n"/>
      <c r="U309" s="317" t="n"/>
      <c r="V309" s="317" t="n"/>
      <c r="W309" s="317" t="n"/>
      <c r="X309" s="317" t="n"/>
      <c r="Y309" s="317" t="n"/>
      <c r="Z309" s="333" t="n"/>
      <c r="AA309" s="317" t="n"/>
    </row>
    <row r="310" ht="15.75" customHeight="1" s="372">
      <c r="A310" s="336" t="n"/>
      <c r="B310" s="337" t="n"/>
      <c r="C310" s="337" t="n"/>
      <c r="D310" s="337" t="n"/>
      <c r="E310" s="337" t="n"/>
      <c r="F310" s="337" t="n"/>
      <c r="G310" s="337" t="n"/>
      <c r="H310" s="317" t="n"/>
      <c r="I310" s="317" t="n"/>
      <c r="J310" s="317" t="n"/>
      <c r="K310" s="317" t="n"/>
      <c r="L310" s="317" t="n"/>
      <c r="M310" s="317" t="n"/>
      <c r="N310" s="317" t="n"/>
      <c r="O310" s="317" t="n"/>
      <c r="P310" s="317" t="n"/>
      <c r="Q310" s="317" t="n"/>
      <c r="R310" s="317" t="n"/>
      <c r="S310" s="317" t="n"/>
      <c r="T310" s="317" t="n"/>
      <c r="U310" s="317" t="n"/>
      <c r="V310" s="317" t="n"/>
      <c r="W310" s="317" t="n"/>
      <c r="X310" s="317" t="n"/>
      <c r="Y310" s="317" t="n"/>
      <c r="Z310" s="333" t="n"/>
      <c r="AA310" s="317" t="n"/>
    </row>
    <row r="311" ht="15.75" customHeight="1" s="372">
      <c r="A311" s="336" t="n"/>
      <c r="B311" s="337" t="n"/>
      <c r="C311" s="337" t="n"/>
      <c r="D311" s="337" t="n"/>
      <c r="E311" s="337" t="n"/>
      <c r="F311" s="337" t="n"/>
      <c r="G311" s="337" t="n"/>
      <c r="H311" s="317" t="n"/>
      <c r="I311" s="317" t="n"/>
      <c r="J311" s="317" t="n"/>
      <c r="K311" s="317" t="n"/>
      <c r="L311" s="317" t="n"/>
      <c r="M311" s="317" t="n"/>
      <c r="N311" s="317" t="n"/>
      <c r="O311" s="317" t="n"/>
      <c r="P311" s="317" t="n"/>
      <c r="Q311" s="317" t="n"/>
      <c r="R311" s="317" t="n"/>
      <c r="S311" s="317" t="n"/>
      <c r="T311" s="317" t="n"/>
      <c r="U311" s="317" t="n"/>
      <c r="V311" s="317" t="n"/>
      <c r="W311" s="317" t="n"/>
      <c r="X311" s="317" t="n"/>
      <c r="Y311" s="317" t="n"/>
      <c r="Z311" s="333" t="n"/>
      <c r="AA311" s="317" t="n"/>
    </row>
    <row r="312" ht="15.75" customHeight="1" s="372">
      <c r="A312" s="336" t="n"/>
      <c r="B312" s="337" t="n"/>
      <c r="C312" s="337" t="n"/>
      <c r="D312" s="337" t="n"/>
      <c r="E312" s="337" t="n"/>
      <c r="F312" s="337" t="n"/>
      <c r="G312" s="337" t="n"/>
      <c r="H312" s="317" t="n"/>
      <c r="I312" s="317" t="n"/>
      <c r="J312" s="317" t="n"/>
      <c r="K312" s="317" t="n"/>
      <c r="L312" s="317" t="n"/>
      <c r="M312" s="317" t="n"/>
      <c r="N312" s="317" t="n"/>
      <c r="O312" s="317" t="n"/>
      <c r="P312" s="317" t="n"/>
      <c r="Q312" s="317" t="n"/>
      <c r="R312" s="317" t="n"/>
      <c r="S312" s="317" t="n"/>
      <c r="T312" s="317" t="n"/>
      <c r="U312" s="317" t="n"/>
      <c r="V312" s="317" t="n"/>
      <c r="W312" s="317" t="n"/>
      <c r="X312" s="317" t="n"/>
      <c r="Y312" s="317" t="n"/>
      <c r="Z312" s="333" t="n"/>
      <c r="AA312" s="317" t="n"/>
    </row>
    <row r="313" ht="15.75" customHeight="1" s="372">
      <c r="A313" s="336" t="n"/>
      <c r="B313" s="337" t="n"/>
      <c r="C313" s="337" t="n"/>
      <c r="D313" s="337" t="n"/>
      <c r="E313" s="337" t="n"/>
      <c r="F313" s="337" t="n"/>
      <c r="G313" s="337" t="n"/>
      <c r="H313" s="317" t="n"/>
      <c r="I313" s="317" t="n"/>
      <c r="J313" s="317" t="n"/>
      <c r="K313" s="317" t="n"/>
      <c r="L313" s="317" t="n"/>
      <c r="M313" s="317" t="n"/>
      <c r="N313" s="317" t="n"/>
      <c r="O313" s="317" t="n"/>
      <c r="P313" s="317" t="n"/>
      <c r="Q313" s="317" t="n"/>
      <c r="R313" s="317" t="n"/>
      <c r="S313" s="317" t="n"/>
      <c r="T313" s="317" t="n"/>
      <c r="U313" s="317" t="n"/>
      <c r="V313" s="317" t="n"/>
      <c r="W313" s="317" t="n"/>
      <c r="X313" s="317" t="n"/>
      <c r="Y313" s="317" t="n"/>
      <c r="Z313" s="333" t="n"/>
      <c r="AA313" s="317" t="n"/>
    </row>
    <row r="314" ht="15.75" customHeight="1" s="372">
      <c r="A314" s="336" t="n"/>
      <c r="B314" s="337" t="n"/>
      <c r="C314" s="337" t="n"/>
      <c r="D314" s="337" t="n"/>
      <c r="E314" s="337" t="n"/>
      <c r="F314" s="337" t="n"/>
      <c r="G314" s="337" t="n"/>
      <c r="H314" s="317" t="n"/>
      <c r="I314" s="317" t="n"/>
      <c r="J314" s="317" t="n"/>
      <c r="K314" s="317" t="n"/>
      <c r="L314" s="317" t="n"/>
      <c r="M314" s="317" t="n"/>
      <c r="N314" s="317" t="n"/>
      <c r="O314" s="317" t="n"/>
      <c r="P314" s="317" t="n"/>
      <c r="Q314" s="317" t="n"/>
      <c r="R314" s="317" t="n"/>
      <c r="S314" s="317" t="n"/>
      <c r="T314" s="317" t="n"/>
      <c r="U314" s="317" t="n"/>
      <c r="V314" s="317" t="n"/>
      <c r="W314" s="317" t="n"/>
      <c r="X314" s="317" t="n"/>
      <c r="Y314" s="317" t="n"/>
      <c r="Z314" s="333" t="n"/>
      <c r="AA314" s="317" t="n"/>
    </row>
    <row r="315" ht="15.75" customHeight="1" s="372">
      <c r="A315" s="336" t="n"/>
      <c r="B315" s="337" t="n"/>
      <c r="C315" s="337" t="n"/>
      <c r="D315" s="337" t="n"/>
      <c r="E315" s="337" t="n"/>
      <c r="F315" s="337" t="n"/>
      <c r="G315" s="337" t="n"/>
      <c r="H315" s="317" t="n"/>
      <c r="I315" s="317" t="n"/>
      <c r="J315" s="317" t="n"/>
      <c r="K315" s="317" t="n"/>
      <c r="L315" s="317" t="n"/>
      <c r="M315" s="317" t="n"/>
      <c r="N315" s="317" t="n"/>
      <c r="O315" s="317" t="n"/>
      <c r="P315" s="317" t="n"/>
      <c r="Q315" s="317" t="n"/>
      <c r="R315" s="317" t="n"/>
      <c r="S315" s="317" t="n"/>
      <c r="T315" s="317" t="n"/>
      <c r="U315" s="317" t="n"/>
      <c r="V315" s="317" t="n"/>
      <c r="W315" s="317" t="n"/>
      <c r="X315" s="317" t="n"/>
      <c r="Y315" s="317" t="n"/>
      <c r="Z315" s="333" t="n"/>
      <c r="AA315" s="317" t="n"/>
    </row>
    <row r="316" ht="15.75" customHeight="1" s="372">
      <c r="A316" s="336" t="n"/>
      <c r="B316" s="337" t="n"/>
      <c r="C316" s="337" t="n"/>
      <c r="D316" s="337" t="n"/>
      <c r="E316" s="337" t="n"/>
      <c r="F316" s="337" t="n"/>
      <c r="G316" s="337" t="n"/>
      <c r="H316" s="317" t="n"/>
      <c r="I316" s="317" t="n"/>
      <c r="J316" s="317" t="n"/>
      <c r="K316" s="317" t="n"/>
      <c r="L316" s="317" t="n"/>
      <c r="M316" s="317" t="n"/>
      <c r="N316" s="317" t="n"/>
      <c r="O316" s="317" t="n"/>
      <c r="P316" s="317" t="n"/>
      <c r="Q316" s="317" t="n"/>
      <c r="R316" s="317" t="n"/>
      <c r="S316" s="317" t="n"/>
      <c r="T316" s="317" t="n"/>
      <c r="U316" s="317" t="n"/>
      <c r="V316" s="317" t="n"/>
      <c r="W316" s="317" t="n"/>
      <c r="X316" s="317" t="n"/>
      <c r="Y316" s="317" t="n"/>
      <c r="Z316" s="333" t="n"/>
      <c r="AA316" s="317" t="n"/>
    </row>
    <row r="317" ht="15.75" customHeight="1" s="372">
      <c r="A317" s="336" t="n"/>
      <c r="B317" s="337" t="n"/>
      <c r="C317" s="337" t="n"/>
      <c r="D317" s="337" t="n"/>
      <c r="E317" s="337" t="n"/>
      <c r="F317" s="337" t="n"/>
      <c r="G317" s="337" t="n"/>
      <c r="H317" s="317" t="n"/>
      <c r="I317" s="317" t="n"/>
      <c r="J317" s="317" t="n"/>
      <c r="K317" s="317" t="n"/>
      <c r="L317" s="317" t="n"/>
      <c r="M317" s="317" t="n"/>
      <c r="N317" s="317" t="n"/>
      <c r="O317" s="317" t="n"/>
      <c r="P317" s="317" t="n"/>
      <c r="Q317" s="317" t="n"/>
      <c r="R317" s="317" t="n"/>
      <c r="S317" s="317" t="n"/>
      <c r="T317" s="317" t="n"/>
      <c r="U317" s="317" t="n"/>
      <c r="V317" s="317" t="n"/>
      <c r="W317" s="317" t="n"/>
      <c r="X317" s="317" t="n"/>
      <c r="Y317" s="317" t="n"/>
      <c r="Z317" s="333" t="n"/>
      <c r="AA317" s="317" t="n"/>
    </row>
    <row r="318" ht="15.75" customHeight="1" s="372">
      <c r="A318" s="336" t="n"/>
      <c r="B318" s="337" t="n"/>
      <c r="C318" s="337" t="n"/>
      <c r="D318" s="337" t="n"/>
      <c r="E318" s="337" t="n"/>
      <c r="F318" s="337" t="n"/>
      <c r="G318" s="337" t="n"/>
      <c r="H318" s="317" t="n"/>
      <c r="I318" s="317" t="n"/>
      <c r="J318" s="317" t="n"/>
      <c r="K318" s="317" t="n"/>
      <c r="L318" s="317" t="n"/>
      <c r="M318" s="317" t="n"/>
      <c r="N318" s="317" t="n"/>
      <c r="O318" s="317" t="n"/>
      <c r="P318" s="317" t="n"/>
      <c r="Q318" s="317" t="n"/>
      <c r="R318" s="317" t="n"/>
      <c r="S318" s="317" t="n"/>
      <c r="T318" s="317" t="n"/>
      <c r="U318" s="317" t="n"/>
      <c r="V318" s="317" t="n"/>
      <c r="W318" s="317" t="n"/>
      <c r="X318" s="317" t="n"/>
      <c r="Y318" s="317" t="n"/>
      <c r="Z318" s="333" t="n"/>
      <c r="AA318" s="317" t="n"/>
    </row>
    <row r="319" ht="15.75" customHeight="1" s="372">
      <c r="A319" s="336" t="n"/>
      <c r="B319" s="337" t="n"/>
      <c r="C319" s="337" t="n"/>
      <c r="D319" s="337" t="n"/>
      <c r="E319" s="337" t="n"/>
      <c r="F319" s="337" t="n"/>
      <c r="G319" s="337" t="n"/>
      <c r="H319" s="317" t="n"/>
      <c r="I319" s="317" t="n"/>
      <c r="J319" s="317" t="n"/>
      <c r="K319" s="317" t="n"/>
      <c r="L319" s="317" t="n"/>
      <c r="M319" s="317" t="n"/>
      <c r="N319" s="317" t="n"/>
      <c r="O319" s="317" t="n"/>
      <c r="P319" s="317" t="n"/>
      <c r="Q319" s="317" t="n"/>
      <c r="R319" s="317" t="n"/>
      <c r="S319" s="317" t="n"/>
      <c r="T319" s="317" t="n"/>
      <c r="U319" s="317" t="n"/>
      <c r="V319" s="317" t="n"/>
      <c r="W319" s="317" t="n"/>
      <c r="X319" s="317" t="n"/>
      <c r="Y319" s="317" t="n"/>
      <c r="Z319" s="333" t="n"/>
      <c r="AA319" s="317" t="n"/>
    </row>
    <row r="320" ht="15.75" customHeight="1" s="372">
      <c r="A320" s="336" t="n"/>
      <c r="B320" s="337" t="n"/>
      <c r="C320" s="337" t="n"/>
      <c r="D320" s="337" t="n"/>
      <c r="E320" s="337" t="n"/>
      <c r="F320" s="337" t="n"/>
      <c r="G320" s="337" t="n"/>
      <c r="H320" s="317" t="n"/>
      <c r="I320" s="317" t="n"/>
      <c r="J320" s="317" t="n"/>
      <c r="K320" s="317" t="n"/>
      <c r="L320" s="317" t="n"/>
      <c r="M320" s="317" t="n"/>
      <c r="N320" s="317" t="n"/>
      <c r="O320" s="317" t="n"/>
      <c r="P320" s="317" t="n"/>
      <c r="Q320" s="317" t="n"/>
      <c r="R320" s="317" t="n"/>
      <c r="S320" s="317" t="n"/>
      <c r="T320" s="317" t="n"/>
      <c r="U320" s="317" t="n"/>
      <c r="V320" s="317" t="n"/>
      <c r="W320" s="317" t="n"/>
      <c r="X320" s="317" t="n"/>
      <c r="Y320" s="317" t="n"/>
      <c r="Z320" s="333" t="n"/>
      <c r="AA320" s="317" t="n"/>
    </row>
    <row r="321" ht="15.75" customHeight="1" s="372">
      <c r="A321" s="336" t="n"/>
      <c r="B321" s="337" t="n"/>
      <c r="C321" s="337" t="n"/>
      <c r="D321" s="337" t="n"/>
      <c r="E321" s="337" t="n"/>
      <c r="F321" s="337" t="n"/>
      <c r="G321" s="337" t="n"/>
      <c r="H321" s="317" t="n"/>
      <c r="I321" s="317" t="n"/>
      <c r="J321" s="317" t="n"/>
      <c r="K321" s="317" t="n"/>
      <c r="L321" s="317" t="n"/>
      <c r="M321" s="317" t="n"/>
      <c r="N321" s="317" t="n"/>
      <c r="O321" s="317" t="n"/>
      <c r="P321" s="317" t="n"/>
      <c r="Q321" s="317" t="n"/>
      <c r="R321" s="317" t="n"/>
      <c r="S321" s="317" t="n"/>
      <c r="T321" s="317" t="n"/>
      <c r="U321" s="317" t="n"/>
      <c r="V321" s="317" t="n"/>
      <c r="W321" s="317" t="n"/>
      <c r="X321" s="317" t="n"/>
      <c r="Y321" s="317" t="n"/>
      <c r="Z321" s="333" t="n"/>
      <c r="AA321" s="317" t="n"/>
    </row>
    <row r="322" ht="15.75" customHeight="1" s="372">
      <c r="A322" s="336" t="n"/>
      <c r="B322" s="337" t="n"/>
      <c r="C322" s="337" t="n"/>
      <c r="D322" s="337" t="n"/>
      <c r="E322" s="337" t="n"/>
      <c r="F322" s="337" t="n"/>
      <c r="G322" s="337" t="n"/>
      <c r="H322" s="317" t="n"/>
      <c r="I322" s="317" t="n"/>
      <c r="J322" s="317" t="n"/>
      <c r="K322" s="317" t="n"/>
      <c r="L322" s="317" t="n"/>
      <c r="M322" s="317" t="n"/>
      <c r="N322" s="317" t="n"/>
      <c r="O322" s="317" t="n"/>
      <c r="P322" s="317" t="n"/>
      <c r="Q322" s="317" t="n"/>
      <c r="R322" s="317" t="n"/>
      <c r="S322" s="317" t="n"/>
      <c r="T322" s="317" t="n"/>
      <c r="U322" s="317" t="n"/>
      <c r="V322" s="317" t="n"/>
      <c r="W322" s="317" t="n"/>
      <c r="X322" s="317" t="n"/>
      <c r="Y322" s="317" t="n"/>
      <c r="Z322" s="333" t="n"/>
      <c r="AA322" s="317" t="n"/>
    </row>
    <row r="323" ht="15.75" customHeight="1" s="372">
      <c r="A323" s="336" t="n"/>
      <c r="B323" s="337" t="n"/>
      <c r="C323" s="337" t="n"/>
      <c r="D323" s="337" t="n"/>
      <c r="E323" s="337" t="n"/>
      <c r="F323" s="337" t="n"/>
      <c r="G323" s="337" t="n"/>
      <c r="H323" s="317" t="n"/>
      <c r="I323" s="317" t="n"/>
      <c r="J323" s="317" t="n"/>
      <c r="K323" s="317" t="n"/>
      <c r="L323" s="317" t="n"/>
      <c r="M323" s="317" t="n"/>
      <c r="N323" s="317" t="n"/>
      <c r="O323" s="317" t="n"/>
      <c r="P323" s="317" t="n"/>
      <c r="Q323" s="317" t="n"/>
      <c r="R323" s="317" t="n"/>
      <c r="S323" s="317" t="n"/>
      <c r="T323" s="317" t="n"/>
      <c r="U323" s="317" t="n"/>
      <c r="V323" s="317" t="n"/>
      <c r="W323" s="317" t="n"/>
      <c r="X323" s="317" t="n"/>
      <c r="Y323" s="317" t="n"/>
      <c r="Z323" s="333" t="n"/>
      <c r="AA323" s="317" t="n"/>
    </row>
    <row r="324" ht="15.75" customHeight="1" s="372"/>
    <row r="325" ht="15.75" customHeight="1" s="372"/>
    <row r="326" ht="15.75" customHeight="1" s="372"/>
    <row r="327" ht="15.75" customHeight="1" s="372"/>
    <row r="328" ht="15.75" customHeight="1" s="372"/>
    <row r="329" ht="15.75" customHeight="1" s="372"/>
    <row r="330" ht="15.75" customHeight="1" s="372"/>
    <row r="331" ht="15.75" customHeight="1" s="372"/>
    <row r="332" ht="15.75" customHeight="1" s="372"/>
    <row r="333" ht="15.75" customHeight="1" s="372"/>
    <row r="334" ht="15.75" customHeight="1" s="372"/>
    <row r="335" ht="15.75" customHeight="1" s="372"/>
    <row r="336" ht="15.75" customHeight="1" s="372"/>
    <row r="337" ht="15.75" customHeight="1" s="372"/>
    <row r="338" ht="15.75" customHeight="1" s="372"/>
    <row r="339" ht="15.75" customHeight="1" s="372"/>
    <row r="340" ht="15.75" customHeight="1" s="372"/>
    <row r="341" ht="15.75" customHeight="1" s="372"/>
    <row r="342" ht="15.75" customHeight="1" s="372"/>
    <row r="343" ht="15.75" customHeight="1" s="372"/>
    <row r="344" ht="15.75" customHeight="1" s="372"/>
    <row r="345" ht="15.75" customHeight="1" s="372"/>
    <row r="346" ht="15.75" customHeight="1" s="372"/>
    <row r="347" ht="15.75" customHeight="1" s="372"/>
    <row r="348" ht="15.75" customHeight="1" s="372"/>
    <row r="349" ht="15.75" customHeight="1" s="372"/>
    <row r="350" ht="15.75" customHeight="1" s="372"/>
    <row r="351" ht="15.75" customHeight="1" s="372"/>
    <row r="352" ht="15.75" customHeight="1" s="372"/>
    <row r="353" ht="15.75" customHeight="1" s="372"/>
    <row r="354" ht="15.75" customHeight="1" s="372"/>
    <row r="355" ht="15.75" customHeight="1" s="372"/>
    <row r="356" ht="15.75" customHeight="1" s="372"/>
    <row r="357" ht="15.75" customHeight="1" s="372"/>
    <row r="358" ht="15.75" customHeight="1" s="372"/>
    <row r="359" ht="15.75" customHeight="1" s="372"/>
    <row r="360" ht="15.75" customHeight="1" s="372"/>
    <row r="361" ht="15.75" customHeight="1" s="372"/>
    <row r="362" ht="15.75" customHeight="1" s="372"/>
    <row r="363" ht="15.75" customHeight="1" s="372"/>
    <row r="364" ht="15.75" customHeight="1" s="372"/>
    <row r="365" ht="15.75" customHeight="1" s="372"/>
    <row r="366" ht="15.75" customHeight="1" s="372"/>
    <row r="367" ht="15.75" customHeight="1" s="372"/>
    <row r="368" ht="15.75" customHeight="1" s="372"/>
    <row r="369" ht="15.75" customHeight="1" s="372"/>
    <row r="370" ht="15.75" customHeight="1" s="372"/>
    <row r="371" ht="15.75" customHeight="1" s="372"/>
    <row r="372" ht="15.75" customHeight="1" s="372"/>
    <row r="373" ht="15.75" customHeight="1" s="372"/>
    <row r="374" ht="15.75" customHeight="1" s="372"/>
    <row r="375" ht="15.75" customHeight="1" s="372"/>
    <row r="376" ht="15.75" customHeight="1" s="372"/>
    <row r="377" ht="15.75" customHeight="1" s="372"/>
    <row r="378" ht="15.75" customHeight="1" s="372"/>
    <row r="379" ht="15.75" customHeight="1" s="372"/>
    <row r="380" ht="15.75" customHeight="1" s="372"/>
    <row r="381" ht="15.75" customHeight="1" s="372"/>
    <row r="382" ht="15.75" customHeight="1" s="372"/>
    <row r="383" ht="15.75" customHeight="1" s="372"/>
    <row r="384" ht="15.75" customHeight="1" s="372"/>
    <row r="385" ht="15.75" customHeight="1" s="372"/>
    <row r="386" ht="15.75" customHeight="1" s="372"/>
    <row r="387" ht="15.75" customHeight="1" s="372"/>
    <row r="388" ht="15.75" customHeight="1" s="372"/>
    <row r="389" ht="15.75" customHeight="1" s="372"/>
    <row r="390" ht="15.75" customHeight="1" s="372"/>
    <row r="391" ht="15.75" customHeight="1" s="372"/>
    <row r="392" ht="15.75" customHeight="1" s="372"/>
    <row r="393" ht="15.75" customHeight="1" s="372"/>
    <row r="394" ht="15.75" customHeight="1" s="372"/>
    <row r="395" ht="15.75" customHeight="1" s="372"/>
    <row r="396" ht="15.75" customHeight="1" s="372"/>
    <row r="397" ht="15.75" customHeight="1" s="372"/>
    <row r="398" ht="15.75" customHeight="1" s="372"/>
    <row r="399" ht="15.75" customHeight="1" s="372"/>
    <row r="400" ht="15.75" customHeight="1" s="372"/>
    <row r="401" ht="15.75" customHeight="1" s="372"/>
    <row r="402" ht="15.75" customHeight="1" s="372"/>
    <row r="403" ht="15.75" customHeight="1" s="372"/>
    <row r="404" ht="15.75" customHeight="1" s="372"/>
    <row r="405" ht="15.75" customHeight="1" s="372"/>
    <row r="406" ht="15.75" customHeight="1" s="372"/>
    <row r="407" ht="15.75" customHeight="1" s="372"/>
    <row r="408" ht="15.75" customHeight="1" s="372"/>
    <row r="409" ht="15.75" customHeight="1" s="372"/>
    <row r="410" ht="15.75" customHeight="1" s="372"/>
    <row r="411" ht="15.75" customHeight="1" s="372"/>
    <row r="412" ht="15.75" customHeight="1" s="372"/>
    <row r="413" ht="15.75" customHeight="1" s="372"/>
    <row r="414" ht="15.75" customHeight="1" s="372"/>
    <row r="415" ht="15.75" customHeight="1" s="372"/>
    <row r="416" ht="15.75" customHeight="1" s="372"/>
    <row r="417" ht="15.75" customHeight="1" s="372"/>
    <row r="418" ht="15.75" customHeight="1" s="372"/>
    <row r="419" ht="15.75" customHeight="1" s="372"/>
    <row r="420" ht="15.75" customHeight="1" s="372"/>
    <row r="421" ht="15.75" customHeight="1" s="372"/>
    <row r="422" ht="15.75" customHeight="1" s="372"/>
    <row r="423" ht="15.75" customHeight="1" s="372"/>
    <row r="424" ht="15.75" customHeight="1" s="372"/>
    <row r="425" ht="15.75" customHeight="1" s="372"/>
    <row r="426" ht="15.75" customHeight="1" s="372"/>
    <row r="427" ht="15.75" customHeight="1" s="372"/>
    <row r="428" ht="15.75" customHeight="1" s="372"/>
    <row r="429" ht="15.75" customHeight="1" s="372"/>
    <row r="430" ht="15.75" customHeight="1" s="372"/>
    <row r="431" ht="15.75" customHeight="1" s="372"/>
    <row r="432" ht="15.75" customHeight="1" s="372"/>
    <row r="433" ht="15.75" customHeight="1" s="372"/>
    <row r="434" ht="15.75" customHeight="1" s="372"/>
    <row r="435" ht="15.75" customHeight="1" s="372"/>
    <row r="436" ht="15.75" customHeight="1" s="372"/>
    <row r="437" ht="15.75" customHeight="1" s="372"/>
    <row r="438" ht="15.75" customHeight="1" s="372"/>
    <row r="439" ht="15.75" customHeight="1" s="372"/>
    <row r="440" ht="15.75" customHeight="1" s="372"/>
    <row r="441" ht="15.75" customHeight="1" s="372"/>
    <row r="442" ht="15.75" customHeight="1" s="372"/>
    <row r="443" ht="15.75" customHeight="1" s="372"/>
    <row r="444" ht="15.75" customHeight="1" s="372"/>
    <row r="445" ht="15.75" customHeight="1" s="372"/>
    <row r="446" ht="15.75" customHeight="1" s="372"/>
    <row r="447" ht="15.75" customHeight="1" s="372"/>
    <row r="448" ht="15.75" customHeight="1" s="372"/>
    <row r="449" ht="15.75" customHeight="1" s="372"/>
    <row r="450" ht="15.75" customHeight="1" s="372"/>
    <row r="451" ht="15.75" customHeight="1" s="372"/>
    <row r="452" ht="15.75" customHeight="1" s="372"/>
    <row r="453" ht="15.75" customHeight="1" s="372"/>
    <row r="454" ht="15.75" customHeight="1" s="372"/>
    <row r="455" ht="15.75" customHeight="1" s="372"/>
    <row r="456" ht="15.75" customHeight="1" s="372"/>
    <row r="457" ht="15.75" customHeight="1" s="372"/>
    <row r="458" ht="15.75" customHeight="1" s="372"/>
    <row r="459" ht="15.75" customHeight="1" s="372"/>
    <row r="460" ht="15.75" customHeight="1" s="372"/>
    <row r="461" ht="15.75" customHeight="1" s="372"/>
    <row r="462" ht="15.75" customHeight="1" s="372"/>
    <row r="463" ht="15.75" customHeight="1" s="372"/>
    <row r="464" ht="15.75" customHeight="1" s="372"/>
    <row r="465" ht="15.75" customHeight="1" s="372"/>
    <row r="466" ht="15.75" customHeight="1" s="372"/>
    <row r="467" ht="15.75" customHeight="1" s="372"/>
    <row r="468" ht="15.75" customHeight="1" s="372"/>
    <row r="469" ht="15.75" customHeight="1" s="372"/>
    <row r="470" ht="15.75" customHeight="1" s="372"/>
    <row r="471" ht="15.75" customHeight="1" s="372"/>
    <row r="472" ht="15.75" customHeight="1" s="372"/>
    <row r="473" ht="15.75" customHeight="1" s="372"/>
    <row r="474" ht="15.75" customHeight="1" s="372"/>
    <row r="475" ht="15.75" customHeight="1" s="372"/>
    <row r="476" ht="15.75" customHeight="1" s="372"/>
    <row r="477" ht="15.75" customHeight="1" s="372"/>
    <row r="478" ht="15.75" customHeight="1" s="372"/>
    <row r="479" ht="15.75" customHeight="1" s="372"/>
    <row r="480" ht="15.75" customHeight="1" s="372"/>
    <row r="481" ht="15.75" customHeight="1" s="372"/>
    <row r="482" ht="15.75" customHeight="1" s="372"/>
    <row r="483" ht="15.75" customHeight="1" s="372"/>
    <row r="484" ht="15.75" customHeight="1" s="372"/>
    <row r="485" ht="15.75" customHeight="1" s="372"/>
    <row r="486" ht="15.75" customHeight="1" s="372"/>
    <row r="487" ht="15.75" customHeight="1" s="372"/>
    <row r="488" ht="15.75" customHeight="1" s="372"/>
    <row r="489" ht="15.75" customHeight="1" s="372"/>
    <row r="490" ht="15.75" customHeight="1" s="372"/>
    <row r="491" ht="15.75" customHeight="1" s="372"/>
    <row r="492" ht="15.75" customHeight="1" s="372"/>
    <row r="493" ht="15.75" customHeight="1" s="372"/>
    <row r="494" ht="15.75" customHeight="1" s="372"/>
    <row r="495" ht="15.75" customHeight="1" s="372"/>
    <row r="496" ht="15.75" customHeight="1" s="372"/>
    <row r="497" ht="15.75" customHeight="1" s="372"/>
    <row r="498" ht="15.75" customHeight="1" s="372"/>
    <row r="499" ht="15.75" customHeight="1" s="372"/>
    <row r="500" ht="15.75" customHeight="1" s="372"/>
    <row r="501" ht="15.75" customHeight="1" s="372"/>
    <row r="502" ht="15.75" customHeight="1" s="372"/>
    <row r="503" ht="15.75" customHeight="1" s="372"/>
    <row r="504" ht="15.75" customHeight="1" s="372"/>
    <row r="505" ht="15.75" customHeight="1" s="372"/>
    <row r="506" ht="15.75" customHeight="1" s="372"/>
    <row r="507" ht="15.75" customHeight="1" s="372"/>
    <row r="508" ht="15.75" customHeight="1" s="372"/>
    <row r="509" ht="15.75" customHeight="1" s="372"/>
    <row r="510" ht="15.75" customHeight="1" s="372"/>
    <row r="511" ht="15.75" customHeight="1" s="372"/>
    <row r="512" ht="15.75" customHeight="1" s="372"/>
    <row r="513" ht="15.75" customHeight="1" s="372"/>
    <row r="514" ht="15.75" customHeight="1" s="372"/>
    <row r="515" ht="15.75" customHeight="1" s="372"/>
    <row r="516" ht="15.75" customHeight="1" s="372"/>
    <row r="517" ht="15.75" customHeight="1" s="372"/>
    <row r="518" ht="15.75" customHeight="1" s="372"/>
    <row r="519" ht="15.75" customHeight="1" s="372"/>
    <row r="520" ht="15.75" customHeight="1" s="372"/>
    <row r="521" ht="15.75" customHeight="1" s="372"/>
    <row r="522" ht="15.75" customHeight="1" s="372"/>
    <row r="523" ht="15.75" customHeight="1" s="372"/>
    <row r="524" ht="15.75" customHeight="1" s="372"/>
    <row r="525" ht="15.75" customHeight="1" s="372"/>
    <row r="526" ht="15.75" customHeight="1" s="372"/>
    <row r="527" ht="15.75" customHeight="1" s="372"/>
    <row r="528" ht="15.75" customHeight="1" s="372"/>
    <row r="529" ht="15.75" customHeight="1" s="372"/>
    <row r="530" ht="15.75" customHeight="1" s="372"/>
    <row r="531" ht="15.75" customHeight="1" s="372"/>
    <row r="532" ht="15.75" customHeight="1" s="372"/>
    <row r="533" ht="15.75" customHeight="1" s="372"/>
    <row r="534" ht="15.75" customHeight="1" s="372"/>
    <row r="535" ht="15.75" customHeight="1" s="372"/>
    <row r="536" ht="15.75" customHeight="1" s="372"/>
    <row r="537" ht="15.75" customHeight="1" s="372"/>
    <row r="538" ht="15.75" customHeight="1" s="372"/>
    <row r="539" ht="15.75" customHeight="1" s="372"/>
    <row r="540" ht="15.75" customHeight="1" s="372"/>
    <row r="541" ht="15.75" customHeight="1" s="372"/>
    <row r="542" ht="15.75" customHeight="1" s="372"/>
    <row r="543" ht="15.75" customHeight="1" s="372"/>
    <row r="544" ht="15.75" customHeight="1" s="372"/>
    <row r="545" ht="15.75" customHeight="1" s="372"/>
    <row r="546" ht="15.75" customHeight="1" s="372"/>
    <row r="547" ht="15.75" customHeight="1" s="372"/>
    <row r="548" ht="15.75" customHeight="1" s="372"/>
    <row r="549" ht="15.75" customHeight="1" s="372"/>
    <row r="550" ht="15.75" customHeight="1" s="372"/>
    <row r="551" ht="15.75" customHeight="1" s="372"/>
    <row r="552" ht="15.75" customHeight="1" s="372"/>
    <row r="553" ht="15.75" customHeight="1" s="372"/>
    <row r="554" ht="15.75" customHeight="1" s="372"/>
    <row r="555" ht="15.75" customHeight="1" s="372"/>
    <row r="556" ht="15.75" customHeight="1" s="372"/>
    <row r="557" ht="15.75" customHeight="1" s="372"/>
    <row r="558" ht="15.75" customHeight="1" s="372"/>
    <row r="559" ht="15.75" customHeight="1" s="372"/>
    <row r="560" ht="15.75" customHeight="1" s="372"/>
    <row r="561" ht="15.75" customHeight="1" s="372"/>
    <row r="562" ht="15.75" customHeight="1" s="372"/>
    <row r="563" ht="15.75" customHeight="1" s="372"/>
    <row r="564" ht="15.75" customHeight="1" s="372"/>
    <row r="565" ht="15.75" customHeight="1" s="372"/>
    <row r="566" ht="15.75" customHeight="1" s="372"/>
    <row r="567" ht="15.75" customHeight="1" s="372"/>
    <row r="568" ht="15.75" customHeight="1" s="372"/>
    <row r="569" ht="15.75" customHeight="1" s="372"/>
    <row r="570" ht="15.75" customHeight="1" s="372"/>
    <row r="571" ht="15.75" customHeight="1" s="372"/>
    <row r="572" ht="15.75" customHeight="1" s="372"/>
    <row r="573" ht="15.75" customHeight="1" s="372"/>
    <row r="574" ht="15.75" customHeight="1" s="372"/>
    <row r="575" ht="15.75" customHeight="1" s="372"/>
    <row r="576" ht="15.75" customHeight="1" s="372"/>
    <row r="577" ht="15.75" customHeight="1" s="372"/>
    <row r="578" ht="15.75" customHeight="1" s="372"/>
    <row r="579" ht="15.75" customHeight="1" s="372"/>
    <row r="580" ht="15.75" customHeight="1" s="372"/>
    <row r="581" ht="15.75" customHeight="1" s="372"/>
    <row r="582" ht="15.75" customHeight="1" s="372"/>
    <row r="583" ht="15.75" customHeight="1" s="372"/>
    <row r="584" ht="15.75" customHeight="1" s="372"/>
    <row r="585" ht="15.75" customHeight="1" s="372"/>
    <row r="586" ht="15.75" customHeight="1" s="372"/>
    <row r="587" ht="15.75" customHeight="1" s="372"/>
    <row r="588" ht="15.75" customHeight="1" s="372"/>
    <row r="589" ht="15.75" customHeight="1" s="372"/>
    <row r="590" ht="15.75" customHeight="1" s="372"/>
    <row r="591" ht="15.75" customHeight="1" s="372"/>
    <row r="592" ht="15.75" customHeight="1" s="372"/>
    <row r="593" ht="15.75" customHeight="1" s="372"/>
    <row r="594" ht="15.75" customHeight="1" s="372"/>
    <row r="595" ht="15.75" customHeight="1" s="372"/>
    <row r="596" ht="15.75" customHeight="1" s="372"/>
    <row r="597" ht="15.75" customHeight="1" s="372"/>
    <row r="598" ht="15.75" customHeight="1" s="372"/>
    <row r="599" ht="15.75" customHeight="1" s="372"/>
    <row r="600" ht="15.75" customHeight="1" s="372"/>
    <row r="601" ht="15.75" customHeight="1" s="372"/>
    <row r="602" ht="15.75" customHeight="1" s="372"/>
    <row r="603" ht="15.75" customHeight="1" s="372"/>
    <row r="604" ht="15.75" customHeight="1" s="372"/>
    <row r="605" ht="15.75" customHeight="1" s="372"/>
    <row r="606" ht="15.75" customHeight="1" s="372"/>
    <row r="607" ht="15.75" customHeight="1" s="372"/>
    <row r="608" ht="15.75" customHeight="1" s="372"/>
    <row r="609" ht="15.75" customHeight="1" s="372"/>
    <row r="610" ht="15.75" customHeight="1" s="372"/>
    <row r="611" ht="15.75" customHeight="1" s="372"/>
    <row r="612" ht="15.75" customHeight="1" s="372"/>
    <row r="613" ht="15.75" customHeight="1" s="372"/>
    <row r="614" ht="15.75" customHeight="1" s="372"/>
    <row r="615" ht="15.75" customHeight="1" s="372"/>
    <row r="616" ht="15.75" customHeight="1" s="372"/>
    <row r="617" ht="15.75" customHeight="1" s="372"/>
    <row r="618" ht="15.75" customHeight="1" s="372"/>
    <row r="619" ht="15.75" customHeight="1" s="372"/>
    <row r="620" ht="15.75" customHeight="1" s="372"/>
    <row r="621" ht="15.75" customHeight="1" s="372"/>
    <row r="622" ht="15.75" customHeight="1" s="372"/>
    <row r="623" ht="15.75" customHeight="1" s="372"/>
    <row r="624" ht="15.75" customHeight="1" s="372"/>
    <row r="625" ht="15.75" customHeight="1" s="372"/>
    <row r="626" ht="15.75" customHeight="1" s="372"/>
    <row r="627" ht="15.75" customHeight="1" s="372"/>
    <row r="628" ht="15.75" customHeight="1" s="372"/>
    <row r="629" ht="15.75" customHeight="1" s="372"/>
    <row r="630" ht="15.75" customHeight="1" s="372"/>
    <row r="631" ht="15.75" customHeight="1" s="372"/>
    <row r="632" ht="15.75" customHeight="1" s="372"/>
    <row r="633" ht="15.75" customHeight="1" s="372"/>
    <row r="634" ht="15.75" customHeight="1" s="372"/>
    <row r="635" ht="15.75" customHeight="1" s="372"/>
    <row r="636" ht="15.75" customHeight="1" s="372"/>
    <row r="637" ht="15.75" customHeight="1" s="372"/>
    <row r="638" ht="15.75" customHeight="1" s="372"/>
    <row r="639" ht="15.75" customHeight="1" s="372"/>
    <row r="640" ht="15.75" customHeight="1" s="372"/>
    <row r="641" ht="15.75" customHeight="1" s="372"/>
    <row r="642" ht="15.75" customHeight="1" s="372"/>
    <row r="643" ht="15.75" customHeight="1" s="372"/>
    <row r="644" ht="15.75" customHeight="1" s="372"/>
    <row r="645" ht="15.75" customHeight="1" s="372"/>
    <row r="646" ht="15.75" customHeight="1" s="372"/>
    <row r="647" ht="15.75" customHeight="1" s="372"/>
    <row r="648" ht="15.75" customHeight="1" s="372"/>
    <row r="649" ht="15.75" customHeight="1" s="372"/>
    <row r="650" ht="15.75" customHeight="1" s="372"/>
    <row r="651" ht="15.75" customHeight="1" s="372"/>
    <row r="652" ht="15.75" customHeight="1" s="372"/>
    <row r="653" ht="15.75" customHeight="1" s="372"/>
    <row r="654" ht="15.75" customHeight="1" s="372"/>
    <row r="655" ht="15.75" customHeight="1" s="372"/>
    <row r="656" ht="15.75" customHeight="1" s="372"/>
    <row r="657" ht="15.75" customHeight="1" s="372"/>
    <row r="658" ht="15.75" customHeight="1" s="372"/>
    <row r="659" ht="15.75" customHeight="1" s="372"/>
    <row r="660" ht="15.75" customHeight="1" s="372"/>
    <row r="661" ht="15.75" customHeight="1" s="372"/>
    <row r="662" ht="15.75" customHeight="1" s="372"/>
    <row r="663" ht="15.75" customHeight="1" s="372"/>
    <row r="664" ht="15.75" customHeight="1" s="372"/>
    <row r="665" ht="15.75" customHeight="1" s="372"/>
    <row r="666" ht="15.75" customHeight="1" s="372"/>
    <row r="667" ht="15.75" customHeight="1" s="372"/>
    <row r="668" ht="15.75" customHeight="1" s="372"/>
    <row r="669" ht="15.75" customHeight="1" s="372"/>
    <row r="670" ht="15.75" customHeight="1" s="372"/>
    <row r="671" ht="15.75" customHeight="1" s="372"/>
    <row r="672" ht="15.75" customHeight="1" s="372"/>
    <row r="673" ht="15.75" customHeight="1" s="372"/>
    <row r="674" ht="15.75" customHeight="1" s="372"/>
    <row r="675" ht="15.75" customHeight="1" s="372"/>
    <row r="676" ht="15.75" customHeight="1" s="372"/>
    <row r="677" ht="15.75" customHeight="1" s="372"/>
    <row r="678" ht="15.75" customHeight="1" s="372"/>
    <row r="679" ht="15.75" customHeight="1" s="372"/>
    <row r="680" ht="15.75" customHeight="1" s="372"/>
    <row r="681" ht="15.75" customHeight="1" s="372"/>
    <row r="682" ht="15.75" customHeight="1" s="372"/>
    <row r="683" ht="15.75" customHeight="1" s="372"/>
    <row r="684" ht="15.75" customHeight="1" s="372"/>
    <row r="685" ht="15.75" customHeight="1" s="372"/>
    <row r="686" ht="15.75" customHeight="1" s="372"/>
    <row r="687" ht="15.75" customHeight="1" s="372"/>
    <row r="688" ht="15.75" customHeight="1" s="372"/>
    <row r="689" ht="15.75" customHeight="1" s="372"/>
    <row r="690" ht="15.75" customHeight="1" s="372"/>
    <row r="691" ht="15.75" customHeight="1" s="372"/>
    <row r="692" ht="15.75" customHeight="1" s="372"/>
    <row r="693" ht="15.75" customHeight="1" s="372"/>
    <row r="694" ht="15.75" customHeight="1" s="372"/>
    <row r="695" ht="15.75" customHeight="1" s="372"/>
    <row r="696" ht="15.75" customHeight="1" s="372"/>
    <row r="697" ht="15.75" customHeight="1" s="372"/>
    <row r="698" ht="15.75" customHeight="1" s="372"/>
    <row r="699" ht="15.75" customHeight="1" s="372"/>
    <row r="700" ht="15.75" customHeight="1" s="372"/>
    <row r="701" ht="15.75" customHeight="1" s="372"/>
    <row r="702" ht="15.75" customHeight="1" s="372"/>
    <row r="703" ht="15.75" customHeight="1" s="372"/>
    <row r="704" ht="15.75" customHeight="1" s="372"/>
    <row r="705" ht="15.75" customHeight="1" s="372"/>
    <row r="706" ht="15.75" customHeight="1" s="372"/>
    <row r="707" ht="15.75" customHeight="1" s="372"/>
    <row r="708" ht="15.75" customHeight="1" s="372"/>
    <row r="709" ht="15.75" customHeight="1" s="372"/>
    <row r="710" ht="15.75" customHeight="1" s="372"/>
    <row r="711" ht="15.75" customHeight="1" s="372"/>
    <row r="712" ht="15.75" customHeight="1" s="372"/>
    <row r="713" ht="15.75" customHeight="1" s="372"/>
    <row r="714" ht="15.75" customHeight="1" s="372"/>
    <row r="715" ht="15.75" customHeight="1" s="372"/>
    <row r="716" ht="15.75" customHeight="1" s="372"/>
    <row r="717" ht="15.75" customHeight="1" s="372"/>
    <row r="718" ht="15.75" customHeight="1" s="372"/>
    <row r="719" ht="15.75" customHeight="1" s="372"/>
    <row r="720" ht="15.75" customHeight="1" s="372"/>
    <row r="721" ht="15.75" customHeight="1" s="372"/>
    <row r="722" ht="15.75" customHeight="1" s="372"/>
    <row r="723" ht="15.75" customHeight="1" s="372"/>
    <row r="724" ht="15.75" customHeight="1" s="372"/>
    <row r="725" ht="15.75" customHeight="1" s="372"/>
    <row r="726" ht="15.75" customHeight="1" s="372"/>
    <row r="727" ht="15.75" customHeight="1" s="372"/>
    <row r="728" ht="15.75" customHeight="1" s="372"/>
    <row r="729" ht="15.75" customHeight="1" s="372"/>
    <row r="730" ht="15.75" customHeight="1" s="372"/>
    <row r="731" ht="15.75" customHeight="1" s="372"/>
    <row r="732" ht="15.75" customHeight="1" s="372"/>
    <row r="733" ht="15.75" customHeight="1" s="372"/>
    <row r="734" ht="15.75" customHeight="1" s="372"/>
    <row r="735" ht="15.75" customHeight="1" s="372"/>
    <row r="736" ht="15.75" customHeight="1" s="372"/>
    <row r="737" ht="15.75" customHeight="1" s="372"/>
    <row r="738" ht="15.75" customHeight="1" s="372"/>
    <row r="739" ht="15.75" customHeight="1" s="372"/>
    <row r="740" ht="15.75" customHeight="1" s="372"/>
    <row r="741" ht="15.75" customHeight="1" s="372"/>
    <row r="742" ht="15.75" customHeight="1" s="372"/>
    <row r="743" ht="15.75" customHeight="1" s="372"/>
    <row r="744" ht="15.75" customHeight="1" s="372"/>
    <row r="745" ht="15.75" customHeight="1" s="372"/>
    <row r="746" ht="15.75" customHeight="1" s="372"/>
    <row r="747" ht="15.75" customHeight="1" s="372"/>
    <row r="748" ht="15.75" customHeight="1" s="372"/>
    <row r="749" ht="15.75" customHeight="1" s="372"/>
    <row r="750" ht="15.75" customHeight="1" s="372"/>
    <row r="751" ht="15.75" customHeight="1" s="372"/>
    <row r="752" ht="15.75" customHeight="1" s="372"/>
    <row r="753" ht="15.75" customHeight="1" s="372"/>
    <row r="754" ht="15.75" customHeight="1" s="372"/>
    <row r="755" ht="15.75" customHeight="1" s="372"/>
    <row r="756" ht="15.75" customHeight="1" s="372"/>
    <row r="757" ht="15.75" customHeight="1" s="372"/>
    <row r="758" ht="15.75" customHeight="1" s="372"/>
    <row r="759" ht="15.75" customHeight="1" s="372"/>
    <row r="760" ht="15.75" customHeight="1" s="372"/>
    <row r="761" ht="15.75" customHeight="1" s="372"/>
    <row r="762" ht="15.75" customHeight="1" s="372"/>
    <row r="763" ht="15.75" customHeight="1" s="372"/>
    <row r="764" ht="15.75" customHeight="1" s="372"/>
    <row r="765" ht="15.75" customHeight="1" s="372"/>
    <row r="766" ht="15.75" customHeight="1" s="372"/>
    <row r="767" ht="15.75" customHeight="1" s="372"/>
    <row r="768" ht="15.75" customHeight="1" s="372"/>
    <row r="769" ht="15.75" customHeight="1" s="372"/>
    <row r="770" ht="15.75" customHeight="1" s="372"/>
    <row r="771" ht="15.75" customHeight="1" s="372"/>
    <row r="772" ht="15.75" customHeight="1" s="372"/>
    <row r="773" ht="15.75" customHeight="1" s="372"/>
    <row r="774" ht="15.75" customHeight="1" s="372"/>
    <row r="775" ht="15.75" customHeight="1" s="372"/>
    <row r="776" ht="15.75" customHeight="1" s="372"/>
    <row r="777" ht="15.75" customHeight="1" s="372"/>
    <row r="778" ht="15.75" customHeight="1" s="372"/>
    <row r="779" ht="15.75" customHeight="1" s="372"/>
    <row r="780" ht="15.75" customHeight="1" s="372"/>
    <row r="781" ht="15.75" customHeight="1" s="372"/>
    <row r="782" ht="15.75" customHeight="1" s="372"/>
    <row r="783" ht="15.75" customHeight="1" s="372"/>
    <row r="784" ht="15.75" customHeight="1" s="372"/>
    <row r="785" ht="15.75" customHeight="1" s="372"/>
    <row r="786" ht="15.75" customHeight="1" s="372"/>
    <row r="787" ht="15.75" customHeight="1" s="372"/>
    <row r="788" ht="15.75" customHeight="1" s="372"/>
    <row r="789" ht="15.75" customHeight="1" s="372"/>
    <row r="790" ht="15.75" customHeight="1" s="372"/>
    <row r="791" ht="15.75" customHeight="1" s="372"/>
    <row r="792" ht="15.75" customHeight="1" s="372"/>
    <row r="793" ht="15.75" customHeight="1" s="372"/>
    <row r="794" ht="15.75" customHeight="1" s="372"/>
    <row r="795" ht="15.75" customHeight="1" s="372"/>
    <row r="796" ht="15.75" customHeight="1" s="372"/>
    <row r="797" ht="15.75" customHeight="1" s="372"/>
    <row r="798" ht="15.75" customHeight="1" s="372"/>
    <row r="799" ht="15.75" customHeight="1" s="372"/>
    <row r="800" ht="15.75" customHeight="1" s="372"/>
    <row r="801" ht="15.75" customHeight="1" s="372"/>
    <row r="802" ht="15.75" customHeight="1" s="372"/>
    <row r="803" ht="15.75" customHeight="1" s="372"/>
    <row r="804" ht="15.75" customHeight="1" s="372"/>
    <row r="805" ht="15.75" customHeight="1" s="372"/>
    <row r="806" ht="15.75" customHeight="1" s="372"/>
    <row r="807" ht="15.75" customHeight="1" s="372"/>
    <row r="808" ht="15.75" customHeight="1" s="372"/>
    <row r="809" ht="15.75" customHeight="1" s="372"/>
    <row r="810" ht="15.75" customHeight="1" s="372"/>
    <row r="811" ht="15.75" customHeight="1" s="372"/>
    <row r="812" ht="15.75" customHeight="1" s="372"/>
    <row r="813" ht="15.75" customHeight="1" s="372"/>
    <row r="814" ht="15.75" customHeight="1" s="372"/>
    <row r="815" ht="15.75" customHeight="1" s="372"/>
    <row r="816" ht="15.75" customHeight="1" s="372"/>
    <row r="817" ht="15.75" customHeight="1" s="372"/>
    <row r="818" ht="15.75" customHeight="1" s="372"/>
    <row r="819" ht="15.75" customHeight="1" s="372"/>
    <row r="820" ht="15.75" customHeight="1" s="372"/>
    <row r="821" ht="15.75" customHeight="1" s="372"/>
    <row r="822" ht="15.75" customHeight="1" s="372"/>
    <row r="823" ht="15.75" customHeight="1" s="372"/>
    <row r="824" ht="15.75" customHeight="1" s="372"/>
    <row r="825" ht="15.75" customHeight="1" s="372"/>
    <row r="826" ht="15.75" customHeight="1" s="372"/>
    <row r="827" ht="15.75" customHeight="1" s="372"/>
    <row r="828" ht="15.75" customHeight="1" s="372"/>
    <row r="829" ht="15.75" customHeight="1" s="372"/>
    <row r="830" ht="15.75" customHeight="1" s="372"/>
    <row r="831" ht="15.75" customHeight="1" s="372"/>
    <row r="832" ht="15.75" customHeight="1" s="372"/>
    <row r="833" ht="15.75" customHeight="1" s="372"/>
    <row r="834" ht="15.75" customHeight="1" s="372"/>
    <row r="835" ht="15.75" customHeight="1" s="372"/>
    <row r="836" ht="15.75" customHeight="1" s="372"/>
    <row r="837" ht="15.75" customHeight="1" s="372"/>
    <row r="838" ht="15.75" customHeight="1" s="372"/>
    <row r="839" ht="15.75" customHeight="1" s="372"/>
    <row r="840" ht="15.75" customHeight="1" s="372"/>
    <row r="841" ht="15.75" customHeight="1" s="372"/>
    <row r="842" ht="15.75" customHeight="1" s="372"/>
    <row r="843" ht="15.75" customHeight="1" s="372"/>
    <row r="844" ht="15.75" customHeight="1" s="372"/>
    <row r="845" ht="15.75" customHeight="1" s="372"/>
    <row r="846" ht="15.75" customHeight="1" s="372"/>
    <row r="847" ht="15.75" customHeight="1" s="372"/>
    <row r="848" ht="15.75" customHeight="1" s="372"/>
    <row r="849" ht="15.75" customHeight="1" s="372"/>
    <row r="850" ht="15.75" customHeight="1" s="372"/>
    <row r="851" ht="15.75" customHeight="1" s="372"/>
    <row r="852" ht="15.75" customHeight="1" s="372"/>
    <row r="853" ht="15.75" customHeight="1" s="372"/>
    <row r="854" ht="15.75" customHeight="1" s="372"/>
    <row r="855" ht="15.75" customHeight="1" s="372"/>
    <row r="856" ht="15.75" customHeight="1" s="372"/>
    <row r="857" ht="15.75" customHeight="1" s="372"/>
    <row r="858" ht="15.75" customHeight="1" s="372"/>
    <row r="859" ht="15.75" customHeight="1" s="372"/>
    <row r="860" ht="15.75" customHeight="1" s="372"/>
    <row r="861" ht="15.75" customHeight="1" s="372"/>
    <row r="862" ht="15.75" customHeight="1" s="372"/>
    <row r="863" ht="15.75" customHeight="1" s="372"/>
    <row r="864" ht="15.75" customHeight="1" s="372"/>
    <row r="865" ht="15.75" customHeight="1" s="372"/>
    <row r="866" ht="15.75" customHeight="1" s="372"/>
    <row r="867" ht="15.75" customHeight="1" s="372"/>
    <row r="868" ht="15.75" customHeight="1" s="372"/>
    <row r="869" ht="15.75" customHeight="1" s="372"/>
    <row r="870" ht="15.75" customHeight="1" s="372"/>
    <row r="871" ht="15.75" customHeight="1" s="372"/>
    <row r="872" ht="15.75" customHeight="1" s="372"/>
    <row r="873" ht="15.75" customHeight="1" s="372"/>
    <row r="874" ht="15.75" customHeight="1" s="372"/>
    <row r="875" ht="15.75" customHeight="1" s="372"/>
    <row r="876" ht="15.75" customHeight="1" s="372"/>
    <row r="877" ht="15.75" customHeight="1" s="372"/>
    <row r="878" ht="15.75" customHeight="1" s="372"/>
    <row r="879" ht="15.75" customHeight="1" s="372"/>
    <row r="880" ht="15.75" customHeight="1" s="372"/>
    <row r="881" ht="15.75" customHeight="1" s="372"/>
    <row r="882" ht="15.75" customHeight="1" s="372"/>
    <row r="883" ht="15.75" customHeight="1" s="372"/>
    <row r="884" ht="15.75" customHeight="1" s="372"/>
    <row r="885" ht="15.75" customHeight="1" s="372"/>
    <row r="886" ht="15.75" customHeight="1" s="372"/>
    <row r="887" ht="15.75" customHeight="1" s="372"/>
    <row r="888" ht="15.75" customHeight="1" s="372"/>
    <row r="889" ht="15.75" customHeight="1" s="372"/>
    <row r="890" ht="15.75" customHeight="1" s="372"/>
    <row r="891" ht="15.75" customHeight="1" s="372"/>
    <row r="892" ht="15.75" customHeight="1" s="372"/>
    <row r="893" ht="15.75" customHeight="1" s="372"/>
    <row r="894" ht="15.75" customHeight="1" s="372"/>
    <row r="895" ht="15.75" customHeight="1" s="372"/>
    <row r="896" ht="15.75" customHeight="1" s="372"/>
    <row r="897" ht="15.75" customHeight="1" s="372"/>
    <row r="898" ht="15.75" customHeight="1" s="372"/>
    <row r="899" ht="15.75" customHeight="1" s="372"/>
    <row r="900" ht="15.75" customHeight="1" s="372"/>
    <row r="901" ht="15.75" customHeight="1" s="372"/>
    <row r="902" ht="15.75" customHeight="1" s="372"/>
    <row r="903" ht="15.75" customHeight="1" s="372"/>
    <row r="904" ht="15.75" customHeight="1" s="372"/>
    <row r="905" ht="15.75" customHeight="1" s="372"/>
    <row r="906" ht="15.75" customHeight="1" s="372"/>
    <row r="907" ht="15.75" customHeight="1" s="372"/>
    <row r="908" ht="15.75" customHeight="1" s="372"/>
    <row r="909" ht="15.75" customHeight="1" s="372"/>
    <row r="910" ht="15.75" customHeight="1" s="372"/>
    <row r="911" ht="15.75" customHeight="1" s="372"/>
    <row r="912" ht="15.75" customHeight="1" s="372"/>
    <row r="913" ht="15.75" customHeight="1" s="372"/>
    <row r="914" ht="15.75" customHeight="1" s="372"/>
    <row r="915" ht="15.75" customHeight="1" s="372"/>
    <row r="916" ht="15.75" customHeight="1" s="372"/>
    <row r="917" ht="15.75" customHeight="1" s="372"/>
    <row r="918" ht="15.75" customHeight="1" s="372"/>
    <row r="919" ht="15.75" customHeight="1" s="372"/>
    <row r="920" ht="15.75" customHeight="1" s="372"/>
    <row r="921" ht="15.75" customHeight="1" s="372"/>
    <row r="922" ht="15.75" customHeight="1" s="372"/>
    <row r="923" ht="15.75" customHeight="1" s="372"/>
    <row r="924" ht="15.75" customHeight="1" s="372"/>
    <row r="925" ht="15.75" customHeight="1" s="372"/>
    <row r="926" ht="15.75" customHeight="1" s="372"/>
    <row r="927" ht="15.75" customHeight="1" s="372"/>
    <row r="928" ht="15.75" customHeight="1" s="372"/>
    <row r="929" ht="15.75" customHeight="1" s="372"/>
    <row r="930" ht="15.75" customHeight="1" s="372"/>
    <row r="931" ht="15.75" customHeight="1" s="372"/>
    <row r="932" ht="15.75" customHeight="1" s="372"/>
    <row r="933" ht="15.75" customHeight="1" s="372"/>
    <row r="934" ht="15.75" customHeight="1" s="372"/>
    <row r="935" ht="15.75" customHeight="1" s="372"/>
    <row r="936" ht="15.75" customHeight="1" s="372"/>
    <row r="937" ht="15.75" customHeight="1" s="372"/>
    <row r="938" ht="15.75" customHeight="1" s="372"/>
    <row r="939" ht="15.75" customHeight="1" s="372"/>
    <row r="940" ht="15.75" customHeight="1" s="372"/>
    <row r="941" ht="15.75" customHeight="1" s="372"/>
    <row r="942" ht="15.75" customHeight="1" s="372"/>
    <row r="943" ht="15.75" customHeight="1" s="372"/>
    <row r="944" ht="15.75" customHeight="1" s="372"/>
    <row r="945" ht="15.75" customHeight="1" s="372"/>
    <row r="946" ht="15.75" customHeight="1" s="372"/>
    <row r="947" ht="15.75" customHeight="1" s="372"/>
    <row r="948" ht="15.75" customHeight="1" s="372"/>
    <row r="949" ht="15.75" customHeight="1" s="372"/>
    <row r="950" ht="15.75" customHeight="1" s="372"/>
    <row r="951" ht="15.75" customHeight="1" s="372"/>
    <row r="952" ht="15.75" customHeight="1" s="372"/>
    <row r="953" ht="15.75" customHeight="1" s="372"/>
    <row r="954" ht="15.75" customHeight="1" s="372"/>
    <row r="955" ht="15.75" customHeight="1" s="372"/>
    <row r="956" ht="15.75" customHeight="1" s="372"/>
    <row r="957" ht="15.75" customHeight="1" s="372"/>
    <row r="958" ht="15.75" customHeight="1" s="372"/>
    <row r="959" ht="15.75" customHeight="1" s="372"/>
    <row r="960" ht="15.75" customHeight="1" s="372"/>
    <row r="961" ht="15.75" customHeight="1" s="372"/>
    <row r="962" ht="15.75" customHeight="1" s="372"/>
    <row r="963" ht="15.75" customHeight="1" s="372"/>
    <row r="964" ht="15.75" customHeight="1" s="372"/>
    <row r="965" ht="15.75" customHeight="1" s="372"/>
    <row r="966" ht="15.75" customHeight="1" s="372"/>
    <row r="967" ht="15.75" customHeight="1" s="372"/>
    <row r="968" ht="15.75" customHeight="1" s="372"/>
    <row r="969" ht="15.75" customHeight="1" s="372"/>
    <row r="970" ht="15.75" customHeight="1" s="372"/>
    <row r="971" ht="15.75" customHeight="1" s="372"/>
    <row r="972" ht="15.75" customHeight="1" s="372"/>
    <row r="973" ht="15.75" customHeight="1" s="372"/>
    <row r="974" ht="15.75" customHeight="1" s="372"/>
    <row r="975" ht="15.75" customHeight="1" s="372"/>
    <row r="976" ht="15.75" customHeight="1" s="372"/>
    <row r="977" ht="15.75" customHeight="1" s="372"/>
    <row r="978" ht="15.75" customHeight="1" s="372"/>
    <row r="979" ht="15.75" customHeight="1" s="372"/>
    <row r="980" ht="15.75" customHeight="1" s="372"/>
    <row r="981" ht="15.75" customHeight="1" s="372"/>
    <row r="982" ht="15.75" customHeight="1" s="372"/>
    <row r="983" ht="15.75" customHeight="1" s="372"/>
    <row r="984" ht="15.75" customHeight="1" s="372"/>
    <row r="985" ht="15.75" customHeight="1" s="372"/>
    <row r="986" ht="15.75" customHeight="1" s="372"/>
    <row r="987" ht="15.75" customHeight="1" s="372"/>
    <row r="988" ht="15.75" customHeight="1" s="372"/>
    <row r="989" ht="15.75" customHeight="1" s="372"/>
    <row r="990" ht="15.75" customHeight="1" s="372"/>
    <row r="991" ht="15.75" customHeight="1" s="372"/>
    <row r="992" ht="15.75" customHeight="1" s="372"/>
    <row r="993" ht="15.75" customHeight="1" s="372"/>
    <row r="994" ht="15.75" customHeight="1" s="372"/>
    <row r="995" ht="15.75" customHeight="1" s="372"/>
    <row r="996" ht="15.75" customHeight="1" s="372"/>
    <row r="997" ht="15.75" customHeight="1" s="372"/>
    <row r="998" ht="15.75" customHeight="1" s="372"/>
    <row r="999" ht="15.75" customHeight="1" s="372"/>
    <row r="1000" ht="15.75" customHeight="1" s="372"/>
  </sheetData>
  <mergeCells count="3">
    <mergeCell ref="A2:G2"/>
    <mergeCell ref="A1:G1"/>
    <mergeCell ref="A4:G4"/>
  </mergeCells>
  <pageMargins left="0.75" right="0.75" top="1" bottom="1" header="0.5" footer="0.5"/>
</worksheet>
</file>

<file path=xl/worksheets/sheet16.xml><?xml version="1.0" encoding="utf-8"?>
<worksheet xmlns="http://schemas.openxmlformats.org/spreadsheetml/2006/main">
  <sheetPr>
    <tabColor rgb="FFE57200"/>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0" customWidth="1" style="372" min="1" max="1"/>
    <col width="18.57" customWidth="1" style="372" min="2" max="2"/>
    <col width="60" customWidth="1" style="372" min="3" max="3"/>
    <col width="22" customWidth="1" style="372" min="4" max="4"/>
    <col width="8.710000000000001" customWidth="1" style="372" min="5" max="6"/>
  </cols>
  <sheetData>
    <row r="1" ht="39.75" customHeight="1" s="372">
      <c r="A1" s="338" t="inlineStr">
        <is>
          <t>⭐  CHOICE HOURS SUGGESTION LIBRARY</t>
        </is>
      </c>
    </row>
    <row r="2" ht="19.5" customHeight="1" s="372">
      <c r="A2" s="339" t="inlineStr">
        <is>
          <t>Each activity must be ≤ 3 hours. Use these suggestions or propose your own. Mark ONE competency per activity in your course tab.</t>
        </is>
      </c>
    </row>
    <row r="3" ht="21.75" customHeight="1" s="372">
      <c r="A3" s="116" t="inlineStr">
        <is>
          <t>Course</t>
        </is>
      </c>
      <c r="B3" s="340" t="inlineStr">
        <is>
          <t>Competency Focus</t>
        </is>
      </c>
      <c r="C3" s="340" t="inlineStr">
        <is>
          <t>Suggested Choice Activity</t>
        </is>
      </c>
      <c r="D3" s="340" t="inlineStr">
        <is>
          <t>Suggested Evidence</t>
        </is>
      </c>
    </row>
    <row r="4" ht="30" customHeight="1" s="372">
      <c r="A4" s="341" t="inlineStr">
        <is>
          <t>7806 – School &amp; Community Relations</t>
        </is>
      </c>
      <c r="B4" s="342" t="inlineStr">
        <is>
          <t>4. Systemic Equity &amp; Community Engagement</t>
        </is>
      </c>
      <c r="C4" s="343" t="inlineStr">
        <is>
          <t>Create/use existing survey to gather input from teachers, students, or parents on a school issue. (VDOE 4a)</t>
        </is>
      </c>
      <c r="D4" s="344" t="inlineStr">
        <is>
          <t>Reflection / notes / artifact</t>
        </is>
      </c>
    </row>
    <row r="5" ht="30" customHeight="1" s="372">
      <c r="A5" s="345" t="n"/>
      <c r="B5" s="342" t="inlineStr">
        <is>
          <t>4. Systemic Equity &amp; Community Engagement</t>
        </is>
      </c>
      <c r="C5" s="346" t="inlineStr">
        <is>
          <t>Observe an event during which an agency interacts with students, families, or school staff. (VDOE 4b)</t>
        </is>
      </c>
      <c r="D5" s="347" t="inlineStr">
        <is>
          <t>Reflection / notes / artifact</t>
        </is>
      </c>
    </row>
    <row r="6" ht="30" customHeight="1" s="372">
      <c r="A6" s="348" t="n"/>
      <c r="B6" s="342" t="inlineStr">
        <is>
          <t>4. Systemic Equity &amp; Community Engagement</t>
        </is>
      </c>
      <c r="C6" s="343" t="inlineStr">
        <is>
          <t>Extend the school profile assignment to conduct a community needs assessment. (VDOE 4c)</t>
        </is>
      </c>
      <c r="D6" s="344" t="inlineStr">
        <is>
          <t>Reflection / notes / artifact</t>
        </is>
      </c>
    </row>
    <row r="7" ht="30" customHeight="1" s="372">
      <c r="A7" s="345" t="n"/>
      <c r="B7" s="342" t="inlineStr">
        <is>
          <t>4. Systemic Equity &amp; Community Engagement</t>
        </is>
      </c>
      <c r="C7" s="346" t="inlineStr">
        <is>
          <t>Attend a PTO/A meeting to observe how school leaders engage with families and caregivers. (VDOE 4d)</t>
        </is>
      </c>
      <c r="D7" s="347" t="inlineStr">
        <is>
          <t>Reflection / notes / artifact</t>
        </is>
      </c>
    </row>
    <row r="8" ht="30" customHeight="1" s="372">
      <c r="A8" s="348" t="n"/>
      <c r="B8" s="342" t="inlineStr">
        <is>
          <t>4. Systemic Equity &amp; Community Engagement</t>
        </is>
      </c>
      <c r="C8" s="343" t="inlineStr">
        <is>
          <t>Plan or co-lead a school event involving families and community partners, then reflect on engagement strategies. (VDOE 4e)</t>
        </is>
      </c>
      <c r="D8" s="344" t="inlineStr">
        <is>
          <t>Reflection / notes / artifact</t>
        </is>
      </c>
    </row>
    <row r="9" ht="30" customHeight="1" s="372">
      <c r="A9" s="345" t="n"/>
      <c r="B9" s="342" t="inlineStr">
        <is>
          <t>4. Systemic Equity &amp; Community Engagement</t>
        </is>
      </c>
      <c r="C9" s="346" t="inlineStr">
        <is>
          <t>Plan and execute an event that brings together diverse families and community partners. (VDOE 4f)</t>
        </is>
      </c>
      <c r="D9" s="347" t="inlineStr">
        <is>
          <t>Reflection / notes / artifact</t>
        </is>
      </c>
    </row>
    <row r="10" ht="30" customHeight="1" s="372">
      <c r="A10" s="348" t="n"/>
      <c r="B10" s="342" t="inlineStr">
        <is>
          <t>4. Systemic Equity &amp; Community Engagement</t>
        </is>
      </c>
      <c r="C10" s="343" t="inlineStr">
        <is>
          <t>Develop or assess a communication plan to improve family-school communication. (VDOE 4g)</t>
        </is>
      </c>
      <c r="D10" s="344" t="inlineStr">
        <is>
          <t>Reflection / notes / artifact</t>
        </is>
      </c>
    </row>
    <row r="11" ht="30" customHeight="1" s="372">
      <c r="A11" s="345" t="n"/>
      <c r="B11" s="342" t="inlineStr">
        <is>
          <t>4. Systemic Equity &amp; Community Engagement</t>
        </is>
      </c>
      <c r="C11" s="346" t="inlineStr">
        <is>
          <t>Develop and implement a partnership with a local business or community organization. (VDOE 4h)</t>
        </is>
      </c>
      <c r="D11" s="347" t="inlineStr">
        <is>
          <t>Reflection / notes / artifact</t>
        </is>
      </c>
    </row>
    <row r="12" ht="30" customHeight="1" s="372">
      <c r="A12" s="348" t="n"/>
      <c r="B12" s="342" t="inlineStr">
        <is>
          <t>4. Systemic Equity &amp; Community Engagement</t>
        </is>
      </c>
      <c r="C12" s="343" t="inlineStr">
        <is>
          <t>Analyze community engagement trends and emerging issues affecting school-community relations. (VDOE 4i)</t>
        </is>
      </c>
      <c r="D12" s="344" t="inlineStr">
        <is>
          <t>Reflection / notes / artifact</t>
        </is>
      </c>
    </row>
    <row r="13" ht="30" customHeight="1" s="372">
      <c r="A13" s="345" t="n"/>
      <c r="B13" s="342" t="inlineStr">
        <is>
          <t>4. Systemic Equity &amp; Community Engagement</t>
        </is>
      </c>
      <c r="C13" s="346" t="inlineStr">
        <is>
          <t>Develop or strengthen partnerships with local community organizations. (VDOE 4j)</t>
        </is>
      </c>
      <c r="D13" s="347" t="inlineStr">
        <is>
          <t>Reflection / notes / artifact</t>
        </is>
      </c>
    </row>
    <row r="14" ht="30" customHeight="1" s="372">
      <c r="A14" s="348" t="n"/>
      <c r="B14" s="342" t="inlineStr">
        <is>
          <t>4. Systemic Equity &amp; Community Engagement</t>
        </is>
      </c>
      <c r="C14" s="343" t="inlineStr">
        <is>
          <t>Understand and practice essential crisis communication skills. (VDOE 4k)</t>
        </is>
      </c>
      <c r="D14" s="344" t="inlineStr">
        <is>
          <t>Reflection / notes / artifact</t>
        </is>
      </c>
    </row>
    <row r="15" ht="30" customHeight="1" s="372">
      <c r="A15" s="345" t="n"/>
      <c r="B15" s="342" t="inlineStr">
        <is>
          <t>4. Systemic Equity &amp; Community Engagement</t>
        </is>
      </c>
      <c r="C15" s="346" t="inlineStr">
        <is>
          <t>Develop public relations and social media strategies that engage the community. (VDOE 4l)</t>
        </is>
      </c>
      <c r="D15" s="347" t="inlineStr">
        <is>
          <t>Reflection / notes / artifact</t>
        </is>
      </c>
    </row>
    <row r="16" ht="30" customHeight="1" s="372">
      <c r="A16" s="341" t="inlineStr">
        <is>
          <t>7812 – Leading Continuous Improvement</t>
        </is>
      </c>
      <c r="B16" s="349" t="inlineStr">
        <is>
          <t>2. Organizational Management</t>
        </is>
      </c>
      <c r="C16" s="343" t="inlineStr">
        <is>
          <t>Facilitate a Focus Group on School Improvement Needs. (VDOE 2a)</t>
        </is>
      </c>
      <c r="D16" s="344" t="inlineStr">
        <is>
          <t>Reflection / notes / artifact</t>
        </is>
      </c>
    </row>
    <row r="17" ht="30" customHeight="1" s="372">
      <c r="A17" s="345" t="n"/>
      <c r="B17" s="349" t="inlineStr">
        <is>
          <t>2. Organizational Management</t>
        </is>
      </c>
      <c r="C17" s="346" t="inlineStr">
        <is>
          <t>Analyze School Performance Data to Identify Trends. (VDOE 2b)</t>
        </is>
      </c>
      <c r="D17" s="347" t="inlineStr">
        <is>
          <t>Reflection / notes / artifact</t>
        </is>
      </c>
    </row>
    <row r="18" ht="30" customHeight="1" s="372">
      <c r="A18" s="348" t="n"/>
      <c r="B18" s="349" t="inlineStr">
        <is>
          <t>2. Organizational Management</t>
        </is>
      </c>
      <c r="C18" s="343" t="inlineStr">
        <is>
          <t>Develop a Change Management Plan for a School Initiative. (VDOE 2c)</t>
        </is>
      </c>
      <c r="D18" s="344" t="inlineStr">
        <is>
          <t>Reflection / notes / artifact</t>
        </is>
      </c>
    </row>
    <row r="19" ht="30" customHeight="1" s="372">
      <c r="A19" s="345" t="n"/>
      <c r="B19" s="349" t="inlineStr">
        <is>
          <t>2. Organizational Management</t>
        </is>
      </c>
      <c r="C19" s="346" t="inlineStr">
        <is>
          <t>Collaborate on Strategic Planning for a School Goal. (VDOE 2d)</t>
        </is>
      </c>
      <c r="D19" s="347" t="inlineStr">
        <is>
          <t>Reflection / notes / artifact</t>
        </is>
      </c>
    </row>
    <row r="20" ht="30" customHeight="1" s="372">
      <c r="A20" s="348" t="n"/>
      <c r="B20" s="349" t="inlineStr">
        <is>
          <t>2. Organizational Management</t>
        </is>
      </c>
      <c r="C20" s="343" t="inlineStr">
        <is>
          <t>Develop a Distributed Leadership Model. (VDOE 2e)</t>
        </is>
      </c>
      <c r="D20" s="344" t="inlineStr">
        <is>
          <t>Reflection / notes / artifact</t>
        </is>
      </c>
    </row>
    <row r="21" ht="30" customHeight="1" s="372">
      <c r="A21" s="345" t="n"/>
      <c r="B21" s="349" t="inlineStr">
        <is>
          <t>2. Organizational Management</t>
        </is>
      </c>
      <c r="C21" s="346" t="inlineStr">
        <is>
          <t>Facilitate Consensus Building in a Staff Meeting. (VDOE 2f)</t>
        </is>
      </c>
      <c r="D21" s="347" t="inlineStr">
        <is>
          <t>Reflection / notes / artifact</t>
        </is>
      </c>
    </row>
    <row r="22" ht="30" customHeight="1" s="372">
      <c r="A22" s="348" t="n"/>
      <c r="B22" s="349" t="inlineStr">
        <is>
          <t>2. Organizational Management</t>
        </is>
      </c>
      <c r="C22" s="343" t="inlineStr">
        <is>
          <t>Conduct a Data-Driven Program Evaluation. (VDOE 2g)</t>
        </is>
      </c>
      <c r="D22" s="344" t="inlineStr">
        <is>
          <t>Reflection / notes / artifact</t>
        </is>
      </c>
    </row>
    <row r="23" ht="30" customHeight="1" s="372">
      <c r="A23" s="345" t="n"/>
      <c r="B23" s="349" t="inlineStr">
        <is>
          <t>2. Organizational Management</t>
        </is>
      </c>
      <c r="C23" s="346" t="inlineStr">
        <is>
          <t>Organize a Collaborative Planning Session for Staff. (VDOE 2h)</t>
        </is>
      </c>
      <c r="D23" s="347" t="inlineStr">
        <is>
          <t>Reflection / notes / artifact</t>
        </is>
      </c>
    </row>
    <row r="24" ht="30" customHeight="1" s="372">
      <c r="A24" s="348" t="n"/>
      <c r="B24" s="349" t="inlineStr">
        <is>
          <t>2. Organizational Management</t>
        </is>
      </c>
      <c r="C24" s="343" t="inlineStr">
        <is>
          <t>Observe and Reflect on a Mediation Process. (VDOE 2i)</t>
        </is>
      </c>
      <c r="D24" s="344" t="inlineStr">
        <is>
          <t>Reflection / notes / artifact</t>
        </is>
      </c>
    </row>
    <row r="25" ht="30" customHeight="1" s="372">
      <c r="A25" s="345" t="n"/>
      <c r="B25" s="349" t="inlineStr">
        <is>
          <t>2. Organizational Management</t>
        </is>
      </c>
      <c r="C25" s="346" t="inlineStr">
        <is>
          <t>Analyze and Present Data on Student Outcomes. (VDOE 2j)</t>
        </is>
      </c>
      <c r="D25" s="347" t="inlineStr">
        <is>
          <t>Reflection / notes / artifact</t>
        </is>
      </c>
    </row>
    <row r="26" ht="30" customHeight="1" s="372">
      <c r="A26" s="348" t="n"/>
      <c r="B26" s="349" t="inlineStr">
        <is>
          <t>2. Organizational Management</t>
        </is>
      </c>
      <c r="C26" s="343" t="inlineStr">
        <is>
          <t>Lead a Continuous Improvement Team. (VDOE 2k)</t>
        </is>
      </c>
      <c r="D26" s="344" t="inlineStr">
        <is>
          <t>Reflection / notes / artifact</t>
        </is>
      </c>
    </row>
    <row r="27" ht="30" customHeight="1" s="372">
      <c r="A27" s="345" t="n"/>
      <c r="B27" s="349" t="inlineStr">
        <is>
          <t>2. Organizational Management</t>
        </is>
      </c>
      <c r="C27" s="346" t="inlineStr">
        <is>
          <t>Assist in creating a professional development calendar. (VDOE 2l)</t>
        </is>
      </c>
      <c r="D27" s="347" t="inlineStr">
        <is>
          <t>Reflection / notes / artifact</t>
        </is>
      </c>
    </row>
    <row r="28" ht="30" customHeight="1" s="372">
      <c r="A28" s="341" t="inlineStr">
        <is>
          <t>7807 – Leadership I</t>
        </is>
      </c>
      <c r="B28" s="349" t="inlineStr">
        <is>
          <t>2. Organizational Management</t>
        </is>
      </c>
      <c r="C28" s="343" t="inlineStr">
        <is>
          <t>Lead a Committee to Identify Community Resources for Diverse Students. (VDOE 2,3)</t>
        </is>
      </c>
      <c r="D28" s="344" t="inlineStr">
        <is>
          <t>Reflection / notes / artifact</t>
        </is>
      </c>
    </row>
    <row r="29" ht="30" customHeight="1" s="372">
      <c r="A29" s="345" t="n"/>
      <c r="B29" s="349" t="inlineStr">
        <is>
          <t>2. Organizational Management</t>
        </is>
      </c>
      <c r="C29" s="346" t="inlineStr">
        <is>
          <t>Use Benchmark Data to Set Improvement Goals for a PLC. (VDOE 2)</t>
        </is>
      </c>
      <c r="D29" s="347" t="inlineStr">
        <is>
          <t>Reflection / notes / artifact</t>
        </is>
      </c>
    </row>
    <row r="30" ht="30" customHeight="1" s="372">
      <c r="A30" s="348" t="n"/>
      <c r="B30" s="350" t="inlineStr">
        <is>
          <t>5. Professionalism</t>
        </is>
      </c>
      <c r="C30" s="343" t="inlineStr">
        <is>
          <t>Create a Plan to Increase Teacher Collaboration in PLCs. (VDOE 5e)</t>
        </is>
      </c>
      <c r="D30" s="344" t="inlineStr">
        <is>
          <t>Reflection / notes / artifact</t>
        </is>
      </c>
    </row>
    <row r="31" ht="30" customHeight="1" s="372">
      <c r="A31" s="345" t="n"/>
      <c r="B31" s="351" t="inlineStr">
        <is>
          <t>3. Operational Management</t>
        </is>
      </c>
      <c r="C31" s="346" t="inlineStr">
        <is>
          <t>Observe or participate in a school or division strategic planning meeting. (VDOE 3)</t>
        </is>
      </c>
      <c r="D31" s="347" t="inlineStr">
        <is>
          <t>Reflection / notes / artifact</t>
        </is>
      </c>
    </row>
    <row r="32" ht="30" customHeight="1" s="372">
      <c r="A32" s="348" t="n"/>
      <c r="B32" s="349" t="inlineStr">
        <is>
          <t>2. Organizational Management</t>
        </is>
      </c>
      <c r="C32" s="343" t="inlineStr">
        <is>
          <t>Observe how leadership responsibilities are distributed within a school. (VDOE 2)</t>
        </is>
      </c>
      <c r="D32" s="344" t="inlineStr">
        <is>
          <t>Reflection / notes / artifact</t>
        </is>
      </c>
    </row>
    <row r="33" ht="30" customHeight="1" s="372">
      <c r="A33" s="345" t="n"/>
      <c r="B33" s="349" t="inlineStr">
        <is>
          <t>2. Organizational Management</t>
        </is>
      </c>
      <c r="C33" s="346" t="inlineStr">
        <is>
          <t>Participate in a PLC meeting to observe how teacher teams use data. (VDOE 2)</t>
        </is>
      </c>
      <c r="D33" s="347" t="inlineStr">
        <is>
          <t>Reflection / notes / artifact</t>
        </is>
      </c>
    </row>
    <row r="34" ht="30" customHeight="1" s="372">
      <c r="A34" s="348" t="n"/>
      <c r="B34" s="349" t="inlineStr">
        <is>
          <t>2. Organizational Management</t>
        </is>
      </c>
      <c r="C34" s="343" t="inlineStr">
        <is>
          <t>Design and present a brief teacher workshop on analyzing classroom data. (VDOE 2)</t>
        </is>
      </c>
      <c r="D34" s="344" t="inlineStr">
        <is>
          <t>Reflection / notes / artifact</t>
        </is>
      </c>
    </row>
    <row r="35" ht="30" customHeight="1" s="372">
      <c r="A35" s="345" t="n"/>
      <c r="B35" s="349" t="inlineStr">
        <is>
          <t>2. Organizational Management</t>
        </is>
      </c>
      <c r="C35" s="346" t="inlineStr">
        <is>
          <t>Work with a mentor to analyze school data and develop a basic action plan. (VDOE 2)</t>
        </is>
      </c>
      <c r="D35" s="347" t="inlineStr">
        <is>
          <t>Reflection / notes / artifact</t>
        </is>
      </c>
    </row>
    <row r="36" ht="30" customHeight="1" s="372">
      <c r="A36" s="348" t="n"/>
      <c r="B36" s="350" t="inlineStr">
        <is>
          <t>5. Professionalism</t>
        </is>
      </c>
      <c r="C36" s="343" t="inlineStr">
        <is>
          <t>Lead a small group of teachers in discussing a change management topic. (VDOE 5e)</t>
        </is>
      </c>
      <c r="D36" s="344" t="inlineStr">
        <is>
          <t>Reflection / notes / artifact</t>
        </is>
      </c>
    </row>
    <row r="37" ht="30" customHeight="1" s="372">
      <c r="A37" s="345" t="n"/>
      <c r="B37" s="352" t="inlineStr">
        <is>
          <t>1. Instructional Leadership</t>
        </is>
      </c>
      <c r="C37" s="346" t="inlineStr">
        <is>
          <t>Work with a teacher to identify a classroom improvement goal and create an action plan. (VDOE 1a)</t>
        </is>
      </c>
      <c r="D37" s="347" t="inlineStr">
        <is>
          <t>Reflection / notes / artifact</t>
        </is>
      </c>
    </row>
    <row r="38" ht="30" customHeight="1" s="372">
      <c r="A38" s="341" t="inlineStr">
        <is>
          <t>7811 – Teaching &amp; Learning</t>
        </is>
      </c>
      <c r="B38" s="349" t="inlineStr">
        <is>
          <t>2. Organizational Management</t>
        </is>
      </c>
      <c r="C38" s="343" t="inlineStr">
        <is>
          <t>Design and present a brief workshop for teachers on analyzing classroom data. (VDOE 2c)</t>
        </is>
      </c>
      <c r="D38" s="344" t="inlineStr">
        <is>
          <t>Reflection / notes / artifact</t>
        </is>
      </c>
    </row>
    <row r="39" ht="30" customHeight="1" s="372">
      <c r="A39" s="345" t="n"/>
      <c r="B39" s="350" t="inlineStr">
        <is>
          <t>5. Professionalism</t>
        </is>
      </c>
      <c r="C39" s="346" t="inlineStr">
        <is>
          <t>Lead a small group of teachers in discussing a change management topic. (VDOE 5e)</t>
        </is>
      </c>
      <c r="D39" s="347" t="inlineStr">
        <is>
          <t>Reflection / notes / artifact</t>
        </is>
      </c>
    </row>
    <row r="40" ht="30" customHeight="1" s="372">
      <c r="A40" s="348" t="n"/>
      <c r="B40" s="349" t="inlineStr">
        <is>
          <t>2. Organizational Management</t>
        </is>
      </c>
      <c r="C40" s="343" t="inlineStr">
        <is>
          <t>Observe how leadership responsibilities are distributed within a school. (VDOE 2)</t>
        </is>
      </c>
      <c r="D40" s="344" t="inlineStr">
        <is>
          <t>Reflection / notes / artifact</t>
        </is>
      </c>
    </row>
    <row r="41" ht="30" customHeight="1" s="372">
      <c r="A41" s="345" t="n"/>
      <c r="B41" s="352" t="inlineStr">
        <is>
          <t>1. Instructional Leadership</t>
        </is>
      </c>
      <c r="C41" s="346" t="inlineStr">
        <is>
          <t>Observe a school leader as they make decisions related to curriculum. (VDOE 1j)</t>
        </is>
      </c>
      <c r="D41" s="347" t="inlineStr">
        <is>
          <t>Reflection / notes / artifact</t>
        </is>
      </c>
    </row>
    <row r="42" ht="30" customHeight="1" s="372">
      <c r="A42" s="348" t="n"/>
      <c r="B42" s="352" t="inlineStr">
        <is>
          <t>1. Instructional Leadership</t>
        </is>
      </c>
      <c r="C42" s="343" t="inlineStr">
        <is>
          <t>Work with a teacher to identify a classroom improvement goal. (VDOE 1a)</t>
        </is>
      </c>
      <c r="D42" s="344" t="inlineStr">
        <is>
          <t>Reflection / notes / artifact</t>
        </is>
      </c>
    </row>
    <row r="43" ht="30" customHeight="1" s="372">
      <c r="A43" s="345" t="n"/>
      <c r="B43" s="349" t="inlineStr">
        <is>
          <t>2. Organizational Management</t>
        </is>
      </c>
      <c r="C43" s="346" t="inlineStr">
        <is>
          <t>Attend staff or committee meetings where decisions require consensus. (VDOE 2)</t>
        </is>
      </c>
      <c r="D43" s="347" t="inlineStr">
        <is>
          <t>Reflection / notes / artifact</t>
        </is>
      </c>
    </row>
    <row r="44" ht="30" customHeight="1" s="372">
      <c r="A44" s="348" t="n"/>
      <c r="B44" s="352" t="inlineStr">
        <is>
          <t>1. Instructional Leadership</t>
        </is>
      </c>
      <c r="C44" s="343" t="inlineStr">
        <is>
          <t>Collaborate on evaluating an instructional program using collected data. (VDOE 1)</t>
        </is>
      </c>
      <c r="D44" s="344" t="inlineStr">
        <is>
          <t>Reflection / notes / artifact</t>
        </is>
      </c>
    </row>
    <row r="45" ht="30" customHeight="1" s="372">
      <c r="A45" s="345" t="n"/>
      <c r="B45" s="349" t="inlineStr">
        <is>
          <t>2. Organizational Management</t>
        </is>
      </c>
      <c r="C45" s="346" t="inlineStr">
        <is>
          <t>Work with a mentor to analyze school data and develop a basic action plan. (VDOE 2)</t>
        </is>
      </c>
      <c r="D45" s="347" t="inlineStr">
        <is>
          <t>Reflection / notes / artifact</t>
        </is>
      </c>
    </row>
    <row r="46" ht="30" customHeight="1" s="372">
      <c r="A46" s="341" t="inlineStr">
        <is>
          <t>7810 – School Law &amp; Policy</t>
        </is>
      </c>
      <c r="B46" s="350" t="inlineStr">
        <is>
          <t>5. Professionalism</t>
        </is>
      </c>
      <c r="C46" s="343" t="inlineStr">
        <is>
          <t>Participate in a Legal Training Session on Student Rights. (VDOE 5c)</t>
        </is>
      </c>
      <c r="D46" s="344" t="inlineStr">
        <is>
          <t>Reflection / notes / artifact</t>
        </is>
      </c>
    </row>
    <row r="47" ht="30" customHeight="1" s="372">
      <c r="A47" s="345" t="n"/>
      <c r="B47" s="350" t="inlineStr">
        <is>
          <t>5. Professionalism</t>
        </is>
      </c>
      <c r="C47" s="346" t="inlineStr">
        <is>
          <t>Draft a Communication Plan for Legal Compliance on Student Data Privacy. (VDOE 5c,5d)</t>
        </is>
      </c>
      <c r="D47" s="347" t="inlineStr">
        <is>
          <t>Reflection / notes / artifact</t>
        </is>
      </c>
    </row>
    <row r="48" ht="30" customHeight="1" s="372">
      <c r="A48" s="348" t="n"/>
      <c r="B48" s="350" t="inlineStr">
        <is>
          <t>5. Professionalism</t>
        </is>
      </c>
      <c r="C48" s="343" t="inlineStr">
        <is>
          <t>Facilitate a Staff Workshop on Ethical Decision-Making in Schools. (VDOE 5)</t>
        </is>
      </c>
      <c r="D48" s="344" t="inlineStr">
        <is>
          <t>Reflection / notes / artifact</t>
        </is>
      </c>
    </row>
    <row r="49" ht="30" customHeight="1" s="372">
      <c r="A49" s="345" t="n"/>
      <c r="B49" s="350" t="inlineStr">
        <is>
          <t>5. Professionalism</t>
        </is>
      </c>
      <c r="C49" s="346" t="inlineStr">
        <is>
          <t>Review and Summarize State and Federal Policies on Special Education. (VDOE 5c, 6c)</t>
        </is>
      </c>
      <c r="D49" s="347" t="inlineStr">
        <is>
          <t>Reflection / notes / artifact</t>
        </is>
      </c>
    </row>
    <row r="50" ht="30" customHeight="1" s="372">
      <c r="A50" s="348" t="n"/>
      <c r="B50" s="350" t="inlineStr">
        <is>
          <t>5. Professionalism</t>
        </is>
      </c>
      <c r="C50" s="343" t="inlineStr">
        <is>
          <t>Develop a Handbook for Staff on Legal and Ethical Practices. (VDOE 5c)</t>
        </is>
      </c>
      <c r="D50" s="344" t="inlineStr">
        <is>
          <t>Reflection / notes / artifact</t>
        </is>
      </c>
    </row>
    <row r="51" ht="30" customHeight="1" s="372">
      <c r="A51" s="345" t="n"/>
      <c r="B51" s="353" t="inlineStr">
        <is>
          <t>6. Advocacy</t>
        </is>
      </c>
      <c r="C51" s="346" t="inlineStr">
        <is>
          <t>Research Educational Policy Development at the State Level. (VDOE 6)</t>
        </is>
      </c>
      <c r="D51" s="347" t="inlineStr">
        <is>
          <t>Reflection / notes / artifact</t>
        </is>
      </c>
    </row>
    <row r="52" ht="30" customHeight="1" s="372">
      <c r="A52" s="348" t="n"/>
      <c r="B52" s="350" t="inlineStr">
        <is>
          <t>5. Professionalism</t>
        </is>
      </c>
      <c r="C52" s="343" t="inlineStr">
        <is>
          <t>Participate in a Policy Revision Committee for Student Discipline. (VDOE 5)</t>
        </is>
      </c>
      <c r="D52" s="344" t="inlineStr">
        <is>
          <t>Reflection / notes / artifact</t>
        </is>
      </c>
    </row>
    <row r="53" ht="30" customHeight="1" s="372">
      <c r="A53" s="345" t="n"/>
      <c r="B53" s="350" t="inlineStr">
        <is>
          <t>5. Professionalism</t>
        </is>
      </c>
      <c r="C53" s="346" t="inlineStr">
        <is>
          <t>Observe and Document a Section 504 Meeting. (VDOE 5)</t>
        </is>
      </c>
      <c r="D53" s="347" t="inlineStr">
        <is>
          <t>Reflection / notes / artifact</t>
        </is>
      </c>
    </row>
    <row r="54" ht="30" customHeight="1" s="372">
      <c r="A54" s="348" t="n"/>
      <c r="B54" s="353" t="inlineStr">
        <is>
          <t>6. Advocacy</t>
        </is>
      </c>
      <c r="C54" s="343" t="inlineStr">
        <is>
          <t>Research Historical Perspectives on Equity in Education Policy. (VDOE 6)</t>
        </is>
      </c>
      <c r="D54" s="344" t="inlineStr">
        <is>
          <t>Reflection / notes / artifact</t>
        </is>
      </c>
    </row>
    <row r="55" ht="30" customHeight="1" s="372">
      <c r="A55" s="345" t="n"/>
      <c r="B55" s="350" t="inlineStr">
        <is>
          <t>5. Professionalism</t>
        </is>
      </c>
      <c r="C55" s="346" t="inlineStr">
        <is>
          <t>Create a Guide for Teachers on Legal Aspects of Student Confidentiality. (VDOE 5)</t>
        </is>
      </c>
      <c r="D55" s="347" t="inlineStr">
        <is>
          <t>Reflection / notes / artifact</t>
        </is>
      </c>
    </row>
    <row r="56" ht="30" customHeight="1" s="372">
      <c r="A56" s="348" t="n"/>
      <c r="B56" s="350" t="inlineStr">
        <is>
          <t>5. Professionalism</t>
        </is>
      </c>
      <c r="C56" s="343" t="inlineStr">
        <is>
          <t>Participate in a Committee on School Safety Policies. (VDOE 5)</t>
        </is>
      </c>
      <c r="D56" s="344" t="inlineStr">
        <is>
          <t>Reflection / notes / artifact</t>
        </is>
      </c>
    </row>
    <row r="57" ht="30" customHeight="1" s="372">
      <c r="A57" s="345" t="n"/>
      <c r="B57" s="350" t="inlineStr">
        <is>
          <t>5. Professionalism</t>
        </is>
      </c>
      <c r="C57" s="346" t="inlineStr">
        <is>
          <t>Shadow an Administrator During a Disciplinary Hearing. (VDOE 5)</t>
        </is>
      </c>
      <c r="D57" s="347" t="inlineStr">
        <is>
          <t>Reflection / notes / artifact</t>
        </is>
      </c>
    </row>
    <row r="58" ht="30" customHeight="1" s="372">
      <c r="A58" s="341" t="inlineStr">
        <is>
          <t>7140 – Leadership II (LEAD II)</t>
        </is>
      </c>
      <c r="B58" s="352" t="inlineStr">
        <is>
          <t>1. Instructional Leadership</t>
        </is>
      </c>
      <c r="C58" s="343" t="inlineStr">
        <is>
          <t>Lead a Data Analysis Session with Grade-Level Teams. (VDOE 1d)</t>
        </is>
      </c>
      <c r="D58" s="344" t="inlineStr">
        <is>
          <t>Reflection / notes / artifact</t>
        </is>
      </c>
    </row>
    <row r="59" ht="30" customHeight="1" s="372">
      <c r="A59" s="345" t="n"/>
      <c r="B59" s="352" t="inlineStr">
        <is>
          <t>1. Instructional Leadership</t>
        </is>
      </c>
      <c r="C59" s="346" t="inlineStr">
        <is>
          <t>Organize and Facilitate an Assessment Review Workshop. (VDOE 1)</t>
        </is>
      </c>
      <c r="D59" s="347" t="inlineStr">
        <is>
          <t>Reflection / notes / artifact</t>
        </is>
      </c>
    </row>
    <row r="60" ht="30" customHeight="1" s="372">
      <c r="A60" s="348" t="n"/>
      <c r="B60" s="352" t="inlineStr">
        <is>
          <t>1. Instructional Leadership</t>
        </is>
      </c>
      <c r="C60" s="343" t="inlineStr">
        <is>
          <t>Support a School-Wide Improvement Initiative Based on Benchmark Data. (VDOE 1)</t>
        </is>
      </c>
      <c r="D60" s="344" t="inlineStr">
        <is>
          <t>Reflection / notes / artifact</t>
        </is>
      </c>
    </row>
    <row r="61" ht="30" customHeight="1" s="372">
      <c r="A61" s="345" t="n"/>
      <c r="B61" s="352" t="inlineStr">
        <is>
          <t>1. Instructional Leadership</t>
        </is>
      </c>
      <c r="C61" s="346" t="inlineStr">
        <is>
          <t>Facilitate a Problem-Solving Session on Student Behavior. (VDOE 1)</t>
        </is>
      </c>
      <c r="D61" s="347" t="inlineStr">
        <is>
          <t>Reflection / notes / artifact</t>
        </is>
      </c>
    </row>
    <row r="62" ht="30" customHeight="1" s="372">
      <c r="A62" s="348" t="n"/>
      <c r="B62" s="352" t="inlineStr">
        <is>
          <t>1. Instructional Leadership</t>
        </is>
      </c>
      <c r="C62" s="343" t="inlineStr">
        <is>
          <t>Facilitate a Grade-Level Team Meeting on Instructional Improvement. (VDOE 1)</t>
        </is>
      </c>
      <c r="D62" s="344" t="inlineStr">
        <is>
          <t>Reflection / notes / artifact</t>
        </is>
      </c>
    </row>
    <row r="63" ht="30" customHeight="1" s="372">
      <c r="A63" s="345" t="n"/>
      <c r="B63" s="352" t="inlineStr">
        <is>
          <t>1. Instructional Leadership</t>
        </is>
      </c>
      <c r="C63" s="346" t="inlineStr">
        <is>
          <t>Conduct a Focus Group with Teachers on Assessment Needs. (VDOE 1)</t>
        </is>
      </c>
      <c r="D63" s="347" t="inlineStr">
        <is>
          <t>Reflection / notes / artifact</t>
        </is>
      </c>
    </row>
    <row r="64" ht="30" customHeight="1" s="372">
      <c r="A64" s="348" t="n"/>
      <c r="B64" s="352" t="inlineStr">
        <is>
          <t>1. Instructional Leadership</t>
        </is>
      </c>
      <c r="C64" s="343" t="inlineStr">
        <is>
          <t>Develop a Data Dashboard for Monitoring Student Progress. (VDOE 2c, 3i)</t>
        </is>
      </c>
      <c r="D64" s="344" t="inlineStr">
        <is>
          <t>Reflection / notes / artifact</t>
        </is>
      </c>
    </row>
    <row r="65" ht="30" customHeight="1" s="372">
      <c r="A65" s="345" t="n"/>
      <c r="B65" s="352" t="inlineStr">
        <is>
          <t>1. Instructional Leadership</t>
        </is>
      </c>
      <c r="C65" s="346" t="inlineStr">
        <is>
          <t>Participate in a Collaborative Evaluation of a School Program. (VDOE 2d,3i)</t>
        </is>
      </c>
      <c r="D65" s="347" t="inlineStr">
        <is>
          <t>Reflection / notes / artifact</t>
        </is>
      </c>
    </row>
    <row r="66" ht="30" customHeight="1" s="372">
      <c r="A66" s="348" t="n"/>
      <c r="B66" s="349" t="inlineStr">
        <is>
          <t>2. Organizational Management</t>
        </is>
      </c>
      <c r="C66" s="343" t="inlineStr">
        <is>
          <t>Design a Communication Plan for Sharing Assessment Results. (VDOE 2)</t>
        </is>
      </c>
      <c r="D66" s="344" t="inlineStr">
        <is>
          <t>Reflection / notes / artifact</t>
        </is>
      </c>
    </row>
    <row r="67" ht="30" customHeight="1" s="372">
      <c r="A67" s="345" t="n"/>
      <c r="B67" s="352" t="inlineStr">
        <is>
          <t>1. Instructional Leadership</t>
        </is>
      </c>
      <c r="C67" s="346" t="inlineStr">
        <is>
          <t>Work with teachers to develop and analyze various assessment tools. (VDOE 1)</t>
        </is>
      </c>
      <c r="D67" s="347" t="inlineStr">
        <is>
          <t>Reflection / notes / artifact</t>
        </is>
      </c>
    </row>
    <row r="68" ht="30" customHeight="1" s="372">
      <c r="A68" s="348" t="n"/>
      <c r="B68" s="352" t="inlineStr">
        <is>
          <t>1. Instructional Leadership</t>
        </is>
      </c>
      <c r="C68" s="343" t="inlineStr">
        <is>
          <t>Observe/Participate in administrative meetings where they observe resolution of school-wide issues. (VDOE 1i)</t>
        </is>
      </c>
      <c r="D68" s="344" t="inlineStr">
        <is>
          <t>Reflection / notes / artifact</t>
        </is>
      </c>
    </row>
    <row r="69" ht="30" customHeight="1" s="372">
      <c r="A69" s="345" t="n"/>
      <c r="B69" s="352" t="inlineStr">
        <is>
          <t>1. Instructional Leadership</t>
        </is>
      </c>
      <c r="C69" s="346" t="inlineStr">
        <is>
          <t>Collaborate with teachers in reviewing student data for planning. (VDOE 1)</t>
        </is>
      </c>
      <c r="D69" s="347" t="inlineStr">
        <is>
          <t>Reflection / notes / artifact</t>
        </is>
      </c>
    </row>
    <row r="70" ht="30" customHeight="1" s="372">
      <c r="A70" s="348" t="n"/>
      <c r="B70" s="352" t="inlineStr">
        <is>
          <t>1. Instructional Leadership</t>
        </is>
      </c>
      <c r="C70" s="343" t="inlineStr">
        <is>
          <t>Collect data on attendance and tardiness to determine which students may need interventions. (VDOE 3i)</t>
        </is>
      </c>
      <c r="D70" s="344" t="inlineStr">
        <is>
          <t>Reflection / notes / artifact</t>
        </is>
      </c>
    </row>
    <row r="71" ht="30" customHeight="1" s="372">
      <c r="A71" s="354" t="inlineStr">
        <is>
          <t>7808 – School Finance</t>
        </is>
      </c>
      <c r="B71" s="351" t="inlineStr">
        <is>
          <t>3. Operational Management</t>
        </is>
      </c>
      <c r="C71" s="346" t="inlineStr">
        <is>
          <t>Space and Time Utilization Analysis: Review how school facilities and schedules are used. (VDOE 3)</t>
        </is>
      </c>
      <c r="D71" s="347" t="inlineStr">
        <is>
          <t>Reflection / notes / artifact</t>
        </is>
      </c>
    </row>
    <row r="72" ht="30" customHeight="1" s="372">
      <c r="A72" s="348" t="n"/>
      <c r="B72" s="349" t="inlineStr">
        <is>
          <t>2. Organizational Management</t>
        </is>
      </c>
      <c r="C72" s="343" t="inlineStr">
        <is>
          <t>Alignment: Work with school leaders to understand how financial resources are aligned to goals. (VDOE 2)</t>
        </is>
      </c>
      <c r="D72" s="344" t="inlineStr">
        <is>
          <t>Reflection / notes / artifact</t>
        </is>
      </c>
    </row>
    <row r="73" ht="30" customHeight="1" s="372">
      <c r="A73" s="345" t="n"/>
      <c r="B73" s="349" t="inlineStr">
        <is>
          <t>2. Organizational Management</t>
        </is>
      </c>
      <c r="C73" s="346" t="inlineStr">
        <is>
          <t>Data Sources for Budget Improvement: Research and compile sources of data for budget decisions. (VDOE 2)</t>
        </is>
      </c>
      <c r="D73" s="347" t="inlineStr">
        <is>
          <t>Reflection / notes / artifact</t>
        </is>
      </c>
    </row>
    <row r="74" ht="30" customHeight="1" s="372">
      <c r="A74" s="348" t="n"/>
      <c r="B74" s="351" t="inlineStr">
        <is>
          <t>3. Operational Management</t>
        </is>
      </c>
      <c r="C74" s="343" t="inlineStr">
        <is>
          <t>Budget Presentation Planning: Prepare and deliver a mock budget presentation to stakeholders. (VDOE 3e, 5d)</t>
        </is>
      </c>
      <c r="D74" s="344" t="inlineStr">
        <is>
          <t>Reflection / notes / artifact</t>
        </is>
      </c>
    </row>
    <row r="75" ht="30" customHeight="1" s="372">
      <c r="A75" s="345" t="n"/>
      <c r="B75" s="351" t="inlineStr">
        <is>
          <t>3. Operational Management</t>
        </is>
      </c>
      <c r="C75" s="346" t="inlineStr">
        <is>
          <t>Accounting Systems and Audit Observation: Shadow the school bookkeeper. (VDOE 3)</t>
        </is>
      </c>
      <c r="D75" s="347" t="inlineStr">
        <is>
          <t>Reflection / notes / artifact</t>
        </is>
      </c>
    </row>
    <row r="76" ht="30" customHeight="1" s="372">
      <c r="A76" s="348" t="n"/>
      <c r="B76" s="351" t="inlineStr">
        <is>
          <t>3. Operational Management</t>
        </is>
      </c>
      <c r="C76" s="343" t="inlineStr">
        <is>
          <t>Implementation Analysis Project: Meet with the school division finance office. (VDOE 3)</t>
        </is>
      </c>
      <c r="D76" s="344" t="inlineStr">
        <is>
          <t>Reflection / notes / artifact</t>
        </is>
      </c>
    </row>
    <row r="77" ht="30" customHeight="1" s="372">
      <c r="A77" s="345" t="n"/>
      <c r="B77" s="350" t="inlineStr">
        <is>
          <t>5. Professionalism</t>
        </is>
      </c>
      <c r="C77" s="346" t="inlineStr">
        <is>
          <t>Review of School Mission and Vision with Stakeholder Group. (VDOE 5)</t>
        </is>
      </c>
      <c r="D77" s="347" t="inlineStr">
        <is>
          <t>Reflection / notes / artifact</t>
        </is>
      </c>
    </row>
    <row r="78" ht="30" customHeight="1" s="372">
      <c r="A78" s="348" t="n"/>
      <c r="B78" s="351" t="inlineStr">
        <is>
          <t>3. Operational Management</t>
        </is>
      </c>
      <c r="C78" s="343" t="inlineStr">
        <is>
          <t>Fiscal Management Review and Budget Proposal: Shadow the division CFO. (VDOE 3)</t>
        </is>
      </c>
      <c r="D78" s="344" t="inlineStr">
        <is>
          <t>Reflection / notes / artifact</t>
        </is>
      </c>
    </row>
    <row r="79" ht="30" customHeight="1" s="372">
      <c r="A79" s="345" t="n"/>
      <c r="B79" s="351" t="inlineStr">
        <is>
          <t>3. Operational Management</t>
        </is>
      </c>
      <c r="C79" s="346" t="inlineStr">
        <is>
          <t>Meet with the PTA treasurer and school leader to gather info on PTA budget. (VDOE 3)</t>
        </is>
      </c>
      <c r="D79" s="347" t="inlineStr">
        <is>
          <t>Reflection / notes / artifact</t>
        </is>
      </c>
    </row>
    <row r="80" ht="30" customHeight="1" s="372">
      <c r="A80" s="348" t="n"/>
      <c r="B80" s="349" t="inlineStr">
        <is>
          <t>2. Organizational Management</t>
        </is>
      </c>
      <c r="C80" s="343" t="inlineStr">
        <is>
          <t>Analyzing and Implementing Collective Bargaining Provisions. (VDOE 2,3)</t>
        </is>
      </c>
      <c r="D80" s="344" t="inlineStr">
        <is>
          <t>Reflection / notes / artifact</t>
        </is>
      </c>
    </row>
    <row r="81" ht="30" customHeight="1" s="372">
      <c r="A81" s="345" t="n"/>
      <c r="B81" s="351" t="inlineStr">
        <is>
          <t>3. Operational Management</t>
        </is>
      </c>
      <c r="C81" s="346" t="inlineStr">
        <is>
          <t>School Business Management: Participate in planning and organizing the school budget. (VDOE 3)</t>
        </is>
      </c>
      <c r="D81" s="347" t="inlineStr">
        <is>
          <t>Reflection / notes / artifact</t>
        </is>
      </c>
    </row>
    <row r="82" ht="30" customHeight="1" s="372">
      <c r="A82" s="348" t="n"/>
      <c r="B82" s="349" t="inlineStr">
        <is>
          <t>2. Organizational Management</t>
        </is>
      </c>
      <c r="C82" s="343" t="inlineStr">
        <is>
          <t>Facilitate Consensus Building in a Staff Meeting. (VDOE 2)</t>
        </is>
      </c>
      <c r="D82" s="344" t="inlineStr">
        <is>
          <t>Reflection / notes / artifact</t>
        </is>
      </c>
    </row>
    <row r="83" ht="30" customHeight="1" s="372">
      <c r="A83" s="354" t="inlineStr">
        <is>
          <t>7805 – Curriculum, Program &amp; Coaching</t>
        </is>
      </c>
      <c r="B83" s="351" t="inlineStr">
        <is>
          <t>3. Operational Management</t>
        </is>
      </c>
      <c r="C83" s="346" t="inlineStr">
        <is>
          <t>Culture Change Initiative: Lead an initiative aimed at enhancing school culture. (VDOE 3)</t>
        </is>
      </c>
      <c r="D83" s="347" t="inlineStr">
        <is>
          <t>Reflection / notes / artifact</t>
        </is>
      </c>
    </row>
    <row r="84" ht="30" customHeight="1" s="372">
      <c r="A84" s="348" t="n"/>
      <c r="B84" s="350" t="inlineStr">
        <is>
          <t>5. Professionalism</t>
        </is>
      </c>
      <c r="C84" s="343" t="inlineStr">
        <is>
          <t>Innovation in Instruction Project: Design and lead a project for instructional innovation. (VDOE 5)</t>
        </is>
      </c>
      <c r="D84" s="344" t="inlineStr">
        <is>
          <t>Reflection / notes / artifact</t>
        </is>
      </c>
    </row>
    <row r="85" ht="30" customHeight="1" s="372">
      <c r="A85" s="345" t="n"/>
      <c r="B85" s="350" t="inlineStr">
        <is>
          <t>5. Professionalism</t>
        </is>
      </c>
      <c r="C85" s="346" t="inlineStr">
        <is>
          <t>Policy Review and Impact Analysis: Work with a school administrator to review a policy. (VDOE 5)</t>
        </is>
      </c>
      <c r="D85" s="347" t="inlineStr">
        <is>
          <t>Reflection / notes / artifact</t>
        </is>
      </c>
    </row>
    <row r="86" ht="30" customHeight="1" s="372">
      <c r="A86" s="348" t="n"/>
      <c r="B86" s="351" t="inlineStr">
        <is>
          <t>3. Operational Management</t>
        </is>
      </c>
      <c r="C86" s="343" t="inlineStr">
        <is>
          <t>Professional Development Planning Committee: Participate on a committee for PD activities. (VDOE 3c, 5e)</t>
        </is>
      </c>
      <c r="D86" s="344" t="inlineStr">
        <is>
          <t>Reflection / notes / artifact</t>
        </is>
      </c>
    </row>
    <row r="87" ht="30" customHeight="1" s="372">
      <c r="A87" s="345" t="n"/>
      <c r="B87" s="351" t="inlineStr">
        <is>
          <t>3. Operational Management</t>
        </is>
      </c>
      <c r="C87" s="346" t="inlineStr">
        <is>
          <t>Curriculum Review Committee Shadowing: Shadow an administrator on a curriculum committee. (VDOE 3)</t>
        </is>
      </c>
      <c r="D87" s="347" t="inlineStr">
        <is>
          <t>Reflection / notes / artifact</t>
        </is>
      </c>
    </row>
    <row r="88" ht="30" customHeight="1" s="372">
      <c r="A88" s="348" t="n"/>
      <c r="B88" s="351" t="inlineStr">
        <is>
          <t>3. Operational Management</t>
        </is>
      </c>
      <c r="C88" s="343" t="inlineStr">
        <is>
          <t>Mock Interview Panel Facilitation: Organize and lead mock interview panels. (VDOE 3)</t>
        </is>
      </c>
      <c r="D88" s="344" t="inlineStr">
        <is>
          <t>Reflection / notes / artifact</t>
        </is>
      </c>
    </row>
    <row r="89" ht="30" customHeight="1" s="372">
      <c r="A89" s="345" t="n"/>
      <c r="B89" s="351" t="inlineStr">
        <is>
          <t>3. Operational Management</t>
        </is>
      </c>
      <c r="C89" s="346" t="inlineStr">
        <is>
          <t>Recruitment Strategy Review Committee: Join or assist a committee on recruitment. (VDOE 3)</t>
        </is>
      </c>
      <c r="D89" s="347" t="inlineStr">
        <is>
          <t>Reflection / notes / artifact</t>
        </is>
      </c>
    </row>
    <row r="90" ht="30" customHeight="1" s="372">
      <c r="A90" s="348" t="n"/>
      <c r="B90" s="351" t="inlineStr">
        <is>
          <t>3. Operational Management</t>
        </is>
      </c>
      <c r="C90" s="343" t="inlineStr">
        <is>
          <t>Peer Led Instructional Rounds: Organize and lead instructional rounds. (VDOE 3c, 5e)</t>
        </is>
      </c>
      <c r="D90" s="344" t="inlineStr">
        <is>
          <t>Reflection / notes / artifact</t>
        </is>
      </c>
    </row>
    <row r="91" ht="30" customHeight="1" s="372">
      <c r="A91" s="345" t="n"/>
      <c r="B91" s="351" t="inlineStr">
        <is>
          <t>3. Operational Management</t>
        </is>
      </c>
      <c r="C91" s="346" t="inlineStr">
        <is>
          <t>Crisis Management Committee Participation. (VDOE 3)</t>
        </is>
      </c>
      <c r="D91" s="347" t="inlineStr">
        <is>
          <t>Reflection / notes / artifact</t>
        </is>
      </c>
    </row>
    <row r="92" ht="30" customHeight="1" s="372">
      <c r="A92" s="348" t="n"/>
      <c r="B92" s="350" t="inlineStr">
        <is>
          <t>5. Professionalism</t>
        </is>
      </c>
      <c r="C92" s="343" t="inlineStr">
        <is>
          <t>Develop a Reflection Protocol for Teachers After Professional Learning Sessions. (VDOE 5e)</t>
        </is>
      </c>
      <c r="D92" s="344" t="inlineStr">
        <is>
          <t>Reflection / notes / artifact</t>
        </is>
      </c>
    </row>
    <row r="93" ht="30" customHeight="1" s="372">
      <c r="A93" s="354" t="inlineStr">
        <is>
          <t>7813 – Educational Technology</t>
        </is>
      </c>
      <c r="B93" s="352" t="inlineStr">
        <is>
          <t>1. Instructional Leadership</t>
        </is>
      </c>
      <c r="C93" s="346" t="inlineStr">
        <is>
          <t>Instructional Technology PD: Organize and lead a professional development session on tech. (VDOE 1,3,4)</t>
        </is>
      </c>
      <c r="D93" s="347" t="inlineStr">
        <is>
          <t>Reflection / notes / artifact</t>
        </is>
      </c>
    </row>
    <row r="94" ht="30" customHeight="1" s="372">
      <c r="A94" s="348" t="n"/>
      <c r="B94" s="342" t="inlineStr">
        <is>
          <t>4. Systemic Equity &amp; Community Engagement</t>
        </is>
      </c>
      <c r="C94" s="343" t="inlineStr">
        <is>
          <t>Parent Tech Engagement Initiative: Develop and lead an initiative for parent tech literacy. (VDOE 4)</t>
        </is>
      </c>
      <c r="D94" s="344" t="inlineStr">
        <is>
          <t>Reflection / notes / artifact</t>
        </is>
      </c>
    </row>
    <row r="95" ht="30" customHeight="1" s="372">
      <c r="A95" s="345" t="n"/>
      <c r="B95" s="351" t="inlineStr">
        <is>
          <t>3. Operational Management</t>
        </is>
      </c>
      <c r="C95" s="346" t="inlineStr">
        <is>
          <t>Leaders' Integration of Technology: Shadow a school leader integrating technology. (VDOE 3)</t>
        </is>
      </c>
      <c r="D95" s="347" t="inlineStr">
        <is>
          <t>Reflection / notes / artifact</t>
        </is>
      </c>
    </row>
    <row r="96" ht="30" customHeight="1" s="372">
      <c r="A96" s="348" t="n"/>
      <c r="B96" s="351" t="inlineStr">
        <is>
          <t>3. Operational Management</t>
        </is>
      </c>
      <c r="C96" s="343" t="inlineStr">
        <is>
          <t>Change Management Plan for Tech Integration: Develop and implement a change management plan. (VDOE 3)</t>
        </is>
      </c>
      <c r="D96" s="344" t="inlineStr">
        <is>
          <t>Reflection / notes / artifact</t>
        </is>
      </c>
    </row>
    <row r="97" ht="30" customHeight="1" s="372">
      <c r="A97" s="345" t="n"/>
      <c r="B97" s="351" t="inlineStr">
        <is>
          <t>3. Operational Management</t>
        </is>
      </c>
      <c r="C97" s="346" t="inlineStr">
        <is>
          <t>Data Dashboard Implementation Project: Work with school leaders to implement a data dashboard. (VDOE 3)</t>
        </is>
      </c>
      <c r="D97" s="347" t="inlineStr">
        <is>
          <t>Reflection / notes / artifact</t>
        </is>
      </c>
    </row>
    <row r="98" ht="30" customHeight="1" s="372">
      <c r="A98" s="348" t="n"/>
      <c r="B98" s="352" t="inlineStr">
        <is>
          <t>1. Instructional Leadership</t>
        </is>
      </c>
      <c r="C98" s="343" t="inlineStr">
        <is>
          <t>Digital Instructional Strategy Development: Partner with a teacher to develop strategies. (VDOE 1)</t>
        </is>
      </c>
      <c r="D98" s="344" t="inlineStr">
        <is>
          <t>Reflection / notes / artifact</t>
        </is>
      </c>
    </row>
    <row r="99" ht="30" customHeight="1" s="372">
      <c r="A99" s="345" t="n"/>
      <c r="B99" s="352" t="inlineStr">
        <is>
          <t>1. Instructional Leadership</t>
        </is>
      </c>
      <c r="C99" s="346" t="inlineStr">
        <is>
          <t>Collaborative Curriculum Review: Work with a grade level or dept on curriculum alignment. (VDOE 1)</t>
        </is>
      </c>
      <c r="D99" s="347" t="inlineStr">
        <is>
          <t>Reflection / notes / artifact</t>
        </is>
      </c>
    </row>
    <row r="100" ht="30" customHeight="1" s="372">
      <c r="A100" s="348" t="n"/>
      <c r="B100" s="351" t="inlineStr">
        <is>
          <t>3. Operational Management</t>
        </is>
      </c>
      <c r="C100" s="343" t="inlineStr">
        <is>
          <t>Technology Training for Administrative Staff: Plan and implement a training session. (VDOE 3)</t>
        </is>
      </c>
      <c r="D100" s="344" t="inlineStr">
        <is>
          <t>Reflection / notes / artifact</t>
        </is>
      </c>
    </row>
    <row r="101" ht="30" customHeight="1" s="372">
      <c r="A101" s="345" t="n"/>
      <c r="B101" s="351" t="inlineStr">
        <is>
          <t>3. Operational Management</t>
        </is>
      </c>
      <c r="C101" s="346" t="inlineStr">
        <is>
          <t>Leadership Seminar on Technology Integration: Develop and lead a seminar. (VDOE 3)</t>
        </is>
      </c>
      <c r="D101" s="347" t="inlineStr">
        <is>
          <t>Reflection / notes / artifact</t>
        </is>
      </c>
    </row>
    <row r="102" ht="30" customHeight="1" s="372">
      <c r="A102" s="348" t="n"/>
      <c r="B102" s="353" t="inlineStr">
        <is>
          <t>6. Advocacy</t>
        </is>
      </c>
      <c r="C102" s="343" t="inlineStr">
        <is>
          <t>Analysis of Critical Partnership Issues and Solutions. (VDOE 6)</t>
        </is>
      </c>
      <c r="D102" s="344" t="inlineStr">
        <is>
          <t>Reflection / notes / artifact</t>
        </is>
      </c>
    </row>
    <row r="103" ht="30" customHeight="1" s="372">
      <c r="A103" s="345" t="n"/>
      <c r="B103" s="342" t="inlineStr">
        <is>
          <t>4. Systemic Equity &amp; Community Engagement</t>
        </is>
      </c>
      <c r="C103" s="346" t="inlineStr">
        <is>
          <t>Virtual Community Engagement Event: Plan and facilitate a virtual event. (VDOE 4)</t>
        </is>
      </c>
      <c r="D103" s="347" t="inlineStr">
        <is>
          <t>Reflection / notes / artifact</t>
        </is>
      </c>
    </row>
    <row r="104" ht="30" customHeight="1" s="372">
      <c r="A104" s="341" t="inlineStr">
        <is>
          <t>7815 – Leadership for Diverse Learners</t>
        </is>
      </c>
      <c r="B104" s="342" t="inlineStr">
        <is>
          <t>4. Systemic Equity &amp; Community Engagement</t>
        </is>
      </c>
      <c r="C104" s="343" t="inlineStr">
        <is>
          <t>Multicultural Night: Collaborate with school administrators on a multicultural event. (VDOE 4)</t>
        </is>
      </c>
      <c r="D104" s="344" t="inlineStr">
        <is>
          <t>Reflection / notes / artifact</t>
        </is>
      </c>
    </row>
    <row r="105" ht="30" customHeight="1" s="372">
      <c r="A105" s="345" t="n"/>
      <c r="B105" s="352" t="inlineStr">
        <is>
          <t>1. Instructional Leadership</t>
        </is>
      </c>
      <c r="C105" s="346" t="inlineStr">
        <is>
          <t>Collaborative Data Review Sessions: Work collaboratively with teachers on student data. (VDOE 1)</t>
        </is>
      </c>
      <c r="D105" s="347" t="inlineStr">
        <is>
          <t>Reflection / notes / artifact</t>
        </is>
      </c>
    </row>
    <row r="106" ht="30" customHeight="1" s="372">
      <c r="A106" s="348" t="n"/>
      <c r="B106" s="353" t="inlineStr">
        <is>
          <t>6. Advocacy</t>
        </is>
      </c>
      <c r="C106" s="343" t="inlineStr">
        <is>
          <t>Special Education Compliance Project: Work with special education on compliance. (VDOE 6c)</t>
        </is>
      </c>
      <c r="D106" s="344" t="inlineStr">
        <is>
          <t>Reflection / notes / artifact</t>
        </is>
      </c>
    </row>
    <row r="107" ht="30" customHeight="1" s="372">
      <c r="A107" s="345" t="n"/>
      <c r="B107" s="342" t="inlineStr">
        <is>
          <t>4. Systemic Equity &amp; Community Engagement</t>
        </is>
      </c>
      <c r="C107" s="346" t="inlineStr">
        <is>
          <t>Community Resource Partnership Program: Work with student services on resources. (VDOE 4)</t>
        </is>
      </c>
      <c r="D107" s="347" t="inlineStr">
        <is>
          <t>Reflection / notes / artifact</t>
        </is>
      </c>
    </row>
    <row r="108" ht="30" customHeight="1" s="372">
      <c r="A108" s="348" t="n"/>
      <c r="B108" s="342" t="inlineStr">
        <is>
          <t>4. Systemic Equity &amp; Community Engagement</t>
        </is>
      </c>
      <c r="C108" s="343" t="inlineStr">
        <is>
          <t>Equity Audit: Conduct a Review of Division Policies for Equity. (VDOE 4)</t>
        </is>
      </c>
      <c r="D108" s="344" t="inlineStr">
        <is>
          <t>Reflection / notes / artifact</t>
        </is>
      </c>
    </row>
    <row r="109" ht="30" customHeight="1" s="372">
      <c r="A109" s="345" t="n"/>
      <c r="B109" s="350" t="inlineStr">
        <is>
          <t>5. Professionalism</t>
        </is>
      </c>
      <c r="C109" s="346" t="inlineStr">
        <is>
          <t>Review and Summarize State and Federal Policies on Special Education. (VDOE 5c, 6c)</t>
        </is>
      </c>
      <c r="D109" s="347" t="inlineStr">
        <is>
          <t>Reflection / notes / artifact</t>
        </is>
      </c>
    </row>
    <row r="110" ht="30" customHeight="1" s="372">
      <c r="A110" s="348" t="n"/>
      <c r="B110" s="342" t="inlineStr">
        <is>
          <t>4. Systemic Equity &amp; Community Engagement</t>
        </is>
      </c>
      <c r="C110" s="343" t="inlineStr">
        <is>
          <t>Shadow a district-level Title III or English Learner Coordinator. (VDOE 4)</t>
        </is>
      </c>
      <c r="D110" s="344" t="inlineStr">
        <is>
          <t>Reflection / notes / artifact</t>
        </is>
      </c>
    </row>
    <row r="111" ht="30" customHeight="1" s="372">
      <c r="A111" s="345" t="n"/>
      <c r="B111" s="342" t="inlineStr">
        <is>
          <t>4. Systemic Equity &amp; Community Engagement</t>
        </is>
      </c>
      <c r="C111" s="346" t="inlineStr">
        <is>
          <t>Interview a district-level Title III or English Learner Coordinator. (VDOE 4)</t>
        </is>
      </c>
      <c r="D111" s="347" t="inlineStr">
        <is>
          <t>Reflection / notes / artifact</t>
        </is>
      </c>
    </row>
    <row r="112" ht="30" customHeight="1" s="372">
      <c r="A112" s="348" t="n"/>
      <c r="B112" s="352" t="inlineStr">
        <is>
          <t>1. Instructional Leadership</t>
        </is>
      </c>
      <c r="C112" s="343" t="inlineStr">
        <is>
          <t>Observe a gifted education class alongside an administrator. (VDOE 1)</t>
        </is>
      </c>
      <c r="D112" s="344" t="inlineStr">
        <is>
          <t>Reflection / notes / artifact</t>
        </is>
      </c>
    </row>
    <row r="113" ht="15.75" customHeight="1" s="372">
      <c r="A113" s="236" t="n"/>
    </row>
    <row r="114" ht="15.75" customHeight="1" s="372">
      <c r="A114" s="236" t="n"/>
    </row>
    <row r="115" ht="15.75" customHeight="1" s="372">
      <c r="A115" s="236" t="n"/>
    </row>
    <row r="116" ht="15.75" customHeight="1" s="372">
      <c r="A116" s="236" t="n"/>
    </row>
    <row r="117" ht="15.75" customHeight="1" s="372">
      <c r="A117" s="236" t="n"/>
    </row>
    <row r="118" ht="15.75" customHeight="1" s="372">
      <c r="A118" s="236" t="n"/>
    </row>
    <row r="119" ht="15.75" customHeight="1" s="372">
      <c r="A119" s="236" t="n"/>
    </row>
    <row r="120" ht="15.75" customHeight="1" s="372">
      <c r="A120" s="236" t="n"/>
    </row>
    <row r="121" ht="15.75" customHeight="1" s="372">
      <c r="A121" s="236" t="n"/>
    </row>
    <row r="122" ht="15.75" customHeight="1" s="372">
      <c r="A122" s="236" t="n"/>
    </row>
    <row r="123" ht="15.75" customHeight="1" s="372">
      <c r="A123" s="236" t="n"/>
    </row>
    <row r="124" ht="15.75" customHeight="1" s="372">
      <c r="A124" s="236" t="n"/>
    </row>
    <row r="125" ht="15.75" customHeight="1" s="372">
      <c r="A125" s="236" t="n"/>
    </row>
    <row r="126" ht="15.75" customHeight="1" s="372">
      <c r="A126" s="236" t="n"/>
    </row>
    <row r="127" ht="15.75" customHeight="1" s="372">
      <c r="A127" s="236" t="n"/>
    </row>
    <row r="128" ht="15.75" customHeight="1" s="372">
      <c r="A128" s="236" t="n"/>
    </row>
    <row r="129" ht="15.75" customHeight="1" s="372">
      <c r="A129" s="236" t="n"/>
    </row>
    <row r="130" ht="15.75" customHeight="1" s="372">
      <c r="A130" s="236" t="n"/>
    </row>
    <row r="131" ht="15.75" customHeight="1" s="372">
      <c r="A131" s="236" t="n"/>
    </row>
    <row r="132" ht="15.75" customHeight="1" s="372">
      <c r="A132" s="236" t="n"/>
    </row>
    <row r="133" ht="15.75" customHeight="1" s="372">
      <c r="A133" s="236" t="n"/>
    </row>
    <row r="134" ht="15.75" customHeight="1" s="372">
      <c r="A134" s="236" t="n"/>
    </row>
    <row r="135" ht="15.75" customHeight="1" s="372">
      <c r="A135" s="236" t="n"/>
    </row>
    <row r="136" ht="15.75" customHeight="1" s="372">
      <c r="A136" s="236" t="n"/>
    </row>
    <row r="137" ht="15.75" customHeight="1" s="372">
      <c r="A137" s="236" t="n"/>
    </row>
    <row r="138" ht="15.75" customHeight="1" s="372">
      <c r="A138" s="236" t="n"/>
    </row>
    <row r="139" ht="15.75" customHeight="1" s="372">
      <c r="A139" s="236" t="n"/>
    </row>
    <row r="140" ht="15.75" customHeight="1" s="372">
      <c r="A140" s="236" t="n"/>
    </row>
    <row r="141" ht="15.75" customHeight="1" s="372">
      <c r="A141" s="236" t="n"/>
    </row>
    <row r="142" ht="15.75" customHeight="1" s="372">
      <c r="A142" s="236" t="n"/>
    </row>
    <row r="143" ht="15.75" customHeight="1" s="372">
      <c r="A143" s="236" t="n"/>
    </row>
    <row r="144" ht="15.75" customHeight="1" s="372">
      <c r="A144" s="236" t="n"/>
    </row>
    <row r="145" ht="15.75" customHeight="1" s="372">
      <c r="A145" s="236" t="n"/>
    </row>
    <row r="146" ht="15.75" customHeight="1" s="372">
      <c r="A146" s="236" t="n"/>
    </row>
    <row r="147" ht="15.75" customHeight="1" s="372">
      <c r="A147" s="236" t="n"/>
    </row>
    <row r="148" ht="15.75" customHeight="1" s="372">
      <c r="A148" s="236" t="n"/>
    </row>
    <row r="149" ht="15.75" customHeight="1" s="372">
      <c r="A149" s="236" t="n"/>
    </row>
    <row r="150" ht="15.75" customHeight="1" s="372">
      <c r="A150" s="236" t="n"/>
    </row>
    <row r="151" ht="15.75" customHeight="1" s="372">
      <c r="A151" s="236" t="n"/>
    </row>
    <row r="152" ht="15.75" customHeight="1" s="372">
      <c r="A152" s="236" t="n"/>
    </row>
    <row r="153" ht="15.75" customHeight="1" s="372">
      <c r="A153" s="236" t="n"/>
    </row>
    <row r="154" ht="15.75" customHeight="1" s="372">
      <c r="A154" s="236" t="n"/>
    </row>
    <row r="155" ht="15.75" customHeight="1" s="372">
      <c r="A155" s="236" t="n"/>
    </row>
    <row r="156" ht="15.75" customHeight="1" s="372">
      <c r="A156" s="236" t="n"/>
    </row>
    <row r="157" ht="15.75" customHeight="1" s="372">
      <c r="A157" s="236" t="n"/>
    </row>
    <row r="158" ht="15.75" customHeight="1" s="372">
      <c r="A158" s="236" t="n"/>
    </row>
    <row r="159" ht="15.75" customHeight="1" s="372">
      <c r="A159" s="236" t="n"/>
    </row>
    <row r="160" ht="15.75" customHeight="1" s="372">
      <c r="A160" s="236" t="n"/>
    </row>
    <row r="161" ht="15.75" customHeight="1" s="372">
      <c r="A161" s="236" t="n"/>
    </row>
    <row r="162" ht="15.75" customHeight="1" s="372">
      <c r="A162" s="236" t="n"/>
    </row>
    <row r="163" ht="15.75" customHeight="1" s="372">
      <c r="A163" s="236" t="n"/>
    </row>
    <row r="164" ht="15.75" customHeight="1" s="372">
      <c r="A164" s="236" t="n"/>
    </row>
    <row r="165" ht="15.75" customHeight="1" s="372">
      <c r="A165" s="236" t="n"/>
    </row>
    <row r="166" ht="15.75" customHeight="1" s="372">
      <c r="A166" s="236" t="n"/>
    </row>
    <row r="167" ht="15.75" customHeight="1" s="372">
      <c r="A167" s="236" t="n"/>
    </row>
    <row r="168" ht="15.75" customHeight="1" s="372">
      <c r="A168" s="236" t="n"/>
    </row>
    <row r="169" ht="15.75" customHeight="1" s="372">
      <c r="A169" s="236" t="n"/>
    </row>
    <row r="170" ht="15.75" customHeight="1" s="372">
      <c r="A170" s="236" t="n"/>
    </row>
    <row r="171" ht="15.75" customHeight="1" s="372">
      <c r="A171" s="236" t="n"/>
    </row>
    <row r="172" ht="15.75" customHeight="1" s="372">
      <c r="A172" s="236" t="n"/>
    </row>
    <row r="173" ht="15.75" customHeight="1" s="372">
      <c r="A173" s="236" t="n"/>
    </row>
    <row r="174" ht="15.75" customHeight="1" s="372">
      <c r="A174" s="236" t="n"/>
    </row>
    <row r="175" ht="15.75" customHeight="1" s="372">
      <c r="A175" s="236" t="n"/>
    </row>
    <row r="176" ht="15.75" customHeight="1" s="372">
      <c r="A176" s="236" t="n"/>
    </row>
    <row r="177" ht="15.75" customHeight="1" s="372">
      <c r="A177" s="236" t="n"/>
    </row>
    <row r="178" ht="15.75" customHeight="1" s="372">
      <c r="A178" s="236" t="n"/>
    </row>
    <row r="179" ht="15.75" customHeight="1" s="372">
      <c r="A179" s="236" t="n"/>
    </row>
    <row r="180" ht="15.75" customHeight="1" s="372">
      <c r="A180" s="236" t="n"/>
    </row>
    <row r="181" ht="15.75" customHeight="1" s="372">
      <c r="A181" s="236" t="n"/>
    </row>
    <row r="182" ht="15.75" customHeight="1" s="372">
      <c r="A182" s="236" t="n"/>
    </row>
    <row r="183" ht="15.75" customHeight="1" s="372">
      <c r="A183" s="236" t="n"/>
    </row>
    <row r="184" ht="15.75" customHeight="1" s="372">
      <c r="A184" s="236" t="n"/>
    </row>
    <row r="185" ht="15.75" customHeight="1" s="372">
      <c r="A185" s="236" t="n"/>
    </row>
    <row r="186" ht="15.75" customHeight="1" s="372">
      <c r="A186" s="236" t="n"/>
    </row>
    <row r="187" ht="15.75" customHeight="1" s="372">
      <c r="A187" s="236" t="n"/>
    </row>
    <row r="188" ht="15.75" customHeight="1" s="372">
      <c r="A188" s="236" t="n"/>
    </row>
    <row r="189" ht="15.75" customHeight="1" s="372">
      <c r="A189" s="236" t="n"/>
    </row>
    <row r="190" ht="15.75" customHeight="1" s="372">
      <c r="A190" s="236" t="n"/>
    </row>
    <row r="191" ht="15.75" customHeight="1" s="372">
      <c r="A191" s="236" t="n"/>
    </row>
    <row r="192" ht="15.75" customHeight="1" s="372">
      <c r="A192" s="236" t="n"/>
    </row>
    <row r="193" ht="15.75" customHeight="1" s="372">
      <c r="A193" s="236" t="n"/>
    </row>
    <row r="194" ht="15.75" customHeight="1" s="372">
      <c r="A194" s="236" t="n"/>
    </row>
    <row r="195" ht="15.75" customHeight="1" s="372">
      <c r="A195" s="236" t="n"/>
    </row>
    <row r="196" ht="15.75" customHeight="1" s="372">
      <c r="A196" s="236" t="n"/>
    </row>
    <row r="197" ht="15.75" customHeight="1" s="372">
      <c r="A197" s="236" t="n"/>
    </row>
    <row r="198" ht="15.75" customHeight="1" s="372">
      <c r="A198" s="236" t="n"/>
    </row>
    <row r="199" ht="15.75" customHeight="1" s="372">
      <c r="A199" s="236" t="n"/>
    </row>
    <row r="200" ht="15.75" customHeight="1" s="372">
      <c r="A200" s="236" t="n"/>
    </row>
    <row r="201" ht="15.75" customHeight="1" s="372">
      <c r="A201" s="236" t="n"/>
    </row>
    <row r="202" ht="15.75" customHeight="1" s="372">
      <c r="A202" s="236" t="n"/>
    </row>
    <row r="203" ht="15.75" customHeight="1" s="372">
      <c r="A203" s="236" t="n"/>
    </row>
    <row r="204" ht="15.75" customHeight="1" s="372">
      <c r="A204" s="236" t="n"/>
    </row>
    <row r="205" ht="15.75" customHeight="1" s="372">
      <c r="A205" s="236" t="n"/>
    </row>
    <row r="206" ht="15.75" customHeight="1" s="372">
      <c r="A206" s="236" t="n"/>
    </row>
    <row r="207" ht="15.75" customHeight="1" s="372">
      <c r="A207" s="236" t="n"/>
    </row>
    <row r="208" ht="15.75" customHeight="1" s="372">
      <c r="A208" s="236" t="n"/>
    </row>
    <row r="209" ht="15.75" customHeight="1" s="372">
      <c r="A209" s="236" t="n"/>
    </row>
    <row r="210" ht="15.75" customHeight="1" s="372">
      <c r="A210" s="236" t="n"/>
    </row>
    <row r="211" ht="15.75" customHeight="1" s="372">
      <c r="A211" s="236" t="n"/>
    </row>
    <row r="212" ht="15.75" customHeight="1" s="372">
      <c r="A212" s="236" t="n"/>
    </row>
    <row r="213" ht="15.75" customHeight="1" s="372">
      <c r="A213" s="236" t="n"/>
    </row>
    <row r="214" ht="15.75" customHeight="1" s="372">
      <c r="A214" s="236" t="n"/>
    </row>
    <row r="215" ht="15.75" customHeight="1" s="372">
      <c r="A215" s="236" t="n"/>
    </row>
    <row r="216" ht="15.75" customHeight="1" s="372">
      <c r="A216" s="236" t="n"/>
    </row>
    <row r="217" ht="15.75" customHeight="1" s="372">
      <c r="A217" s="236" t="n"/>
    </row>
    <row r="218" ht="15.75" customHeight="1" s="372">
      <c r="A218" s="236" t="n"/>
    </row>
    <row r="219" ht="15.75" customHeight="1" s="372">
      <c r="A219" s="236" t="n"/>
    </row>
    <row r="220" ht="15.75" customHeight="1" s="372">
      <c r="A220" s="236" t="n"/>
    </row>
    <row r="221" ht="15.75" customHeight="1" s="372">
      <c r="A221" s="236" t="n"/>
    </row>
    <row r="222" ht="15.75" customHeight="1" s="372">
      <c r="A222" s="236" t="n"/>
    </row>
    <row r="223" ht="15.75" customHeight="1" s="372">
      <c r="A223" s="236" t="n"/>
    </row>
    <row r="224" ht="15.75" customHeight="1" s="372">
      <c r="A224" s="236" t="n"/>
    </row>
    <row r="225" ht="15.75" customHeight="1" s="372">
      <c r="A225" s="236" t="n"/>
    </row>
    <row r="226" ht="15.75" customHeight="1" s="372">
      <c r="A226" s="236" t="n"/>
    </row>
    <row r="227" ht="15.75" customHeight="1" s="372">
      <c r="A227" s="236" t="n"/>
    </row>
    <row r="228" ht="15.75" customHeight="1" s="372">
      <c r="A228" s="236" t="n"/>
    </row>
    <row r="229" ht="15.75" customHeight="1" s="372">
      <c r="A229" s="236" t="n"/>
    </row>
    <row r="230" ht="15.75" customHeight="1" s="372">
      <c r="A230" s="236" t="n"/>
    </row>
    <row r="231" ht="15.75" customHeight="1" s="372">
      <c r="A231" s="236" t="n"/>
    </row>
    <row r="232" ht="15.75" customHeight="1" s="372">
      <c r="A232" s="236" t="n"/>
    </row>
    <row r="233" ht="15.75" customHeight="1" s="372">
      <c r="A233" s="236" t="n"/>
    </row>
    <row r="234" ht="15.75" customHeight="1" s="372">
      <c r="A234" s="236" t="n"/>
    </row>
    <row r="235" ht="15.75" customHeight="1" s="372">
      <c r="A235" s="236" t="n"/>
    </row>
    <row r="236" ht="15.75" customHeight="1" s="372">
      <c r="A236" s="236" t="n"/>
    </row>
    <row r="237" ht="15.75" customHeight="1" s="372">
      <c r="A237" s="236" t="n"/>
    </row>
    <row r="238" ht="15.75" customHeight="1" s="372">
      <c r="A238" s="236" t="n"/>
    </row>
    <row r="239" ht="15.75" customHeight="1" s="372">
      <c r="A239" s="236" t="n"/>
    </row>
    <row r="240" ht="15.75" customHeight="1" s="372">
      <c r="A240" s="236" t="n"/>
    </row>
    <row r="241" ht="15.75" customHeight="1" s="372">
      <c r="A241" s="236" t="n"/>
    </row>
    <row r="242" ht="15.75" customHeight="1" s="372">
      <c r="A242" s="236" t="n"/>
    </row>
    <row r="243" ht="15.75" customHeight="1" s="372">
      <c r="A243" s="236" t="n"/>
    </row>
    <row r="244" ht="15.75" customHeight="1" s="372">
      <c r="A244" s="236" t="n"/>
    </row>
    <row r="245" ht="15.75" customHeight="1" s="372">
      <c r="A245" s="236" t="n"/>
    </row>
    <row r="246" ht="15.75" customHeight="1" s="372">
      <c r="A246" s="236" t="n"/>
    </row>
    <row r="247" ht="15.75" customHeight="1" s="372">
      <c r="A247" s="236" t="n"/>
    </row>
    <row r="248" ht="15.75" customHeight="1" s="372">
      <c r="A248" s="236" t="n"/>
    </row>
    <row r="249" ht="15.75" customHeight="1" s="372">
      <c r="A249" s="236" t="n"/>
    </row>
    <row r="250" ht="15.75" customHeight="1" s="372">
      <c r="A250" s="236" t="n"/>
    </row>
    <row r="251" ht="15.75" customHeight="1" s="372">
      <c r="A251" s="236" t="n"/>
    </row>
    <row r="252" ht="15.75" customHeight="1" s="372">
      <c r="A252" s="236" t="n"/>
    </row>
    <row r="253" ht="15.75" customHeight="1" s="372">
      <c r="A253" s="236" t="n"/>
    </row>
    <row r="254" ht="15.75" customHeight="1" s="372">
      <c r="A254" s="236" t="n"/>
    </row>
    <row r="255" ht="15.75" customHeight="1" s="372">
      <c r="A255" s="236" t="n"/>
    </row>
    <row r="256" ht="15.75" customHeight="1" s="372">
      <c r="A256" s="236" t="n"/>
    </row>
    <row r="257" ht="15.75" customHeight="1" s="372">
      <c r="A257" s="236" t="n"/>
    </row>
    <row r="258" ht="15.75" customHeight="1" s="372">
      <c r="A258" s="236" t="n"/>
    </row>
    <row r="259" ht="15.75" customHeight="1" s="372">
      <c r="A259" s="236" t="n"/>
    </row>
    <row r="260" ht="15.75" customHeight="1" s="372">
      <c r="A260" s="236" t="n"/>
    </row>
    <row r="261" ht="15.75" customHeight="1" s="372">
      <c r="A261" s="236" t="n"/>
    </row>
    <row r="262" ht="15.75" customHeight="1" s="372">
      <c r="A262" s="236" t="n"/>
    </row>
    <row r="263" ht="15.75" customHeight="1" s="372">
      <c r="A263" s="236" t="n"/>
    </row>
    <row r="264" ht="15.75" customHeight="1" s="372">
      <c r="A264" s="236" t="n"/>
    </row>
    <row r="265" ht="15.75" customHeight="1" s="372">
      <c r="A265" s="236" t="n"/>
    </row>
    <row r="266" ht="15.75" customHeight="1" s="372">
      <c r="A266" s="236" t="n"/>
    </row>
    <row r="267" ht="15.75" customHeight="1" s="372">
      <c r="A267" s="236" t="n"/>
    </row>
    <row r="268" ht="15.75" customHeight="1" s="372">
      <c r="A268" s="236" t="n"/>
    </row>
    <row r="269" ht="15.75" customHeight="1" s="372">
      <c r="A269" s="236" t="n"/>
    </row>
    <row r="270" ht="15.75" customHeight="1" s="372">
      <c r="A270" s="236" t="n"/>
    </row>
    <row r="271" ht="15.75" customHeight="1" s="372">
      <c r="A271" s="236" t="n"/>
    </row>
    <row r="272" ht="15.75" customHeight="1" s="372">
      <c r="A272" s="236" t="n"/>
    </row>
    <row r="273" ht="15.75" customHeight="1" s="372">
      <c r="A273" s="236" t="n"/>
    </row>
    <row r="274" ht="15.75" customHeight="1" s="372">
      <c r="A274" s="236" t="n"/>
    </row>
    <row r="275" ht="15.75" customHeight="1" s="372">
      <c r="A275" s="236" t="n"/>
    </row>
    <row r="276" ht="15.75" customHeight="1" s="372">
      <c r="A276" s="236" t="n"/>
    </row>
    <row r="277" ht="15.75" customHeight="1" s="372">
      <c r="A277" s="236" t="n"/>
    </row>
    <row r="278" ht="15.75" customHeight="1" s="372">
      <c r="A278" s="236" t="n"/>
    </row>
    <row r="279" ht="15.75" customHeight="1" s="372">
      <c r="A279" s="236" t="n"/>
    </row>
    <row r="280" ht="15.75" customHeight="1" s="372">
      <c r="A280" s="236" t="n"/>
    </row>
    <row r="281" ht="15.75" customHeight="1" s="372">
      <c r="A281" s="236" t="n"/>
    </row>
    <row r="282" ht="15.75" customHeight="1" s="372">
      <c r="A282" s="236" t="n"/>
    </row>
    <row r="283" ht="15.75" customHeight="1" s="372">
      <c r="A283" s="236" t="n"/>
    </row>
    <row r="284" ht="15.75" customHeight="1" s="372">
      <c r="A284" s="236" t="n"/>
    </row>
    <row r="285" ht="15.75" customHeight="1" s="372">
      <c r="A285" s="236" t="n"/>
    </row>
    <row r="286" ht="15.75" customHeight="1" s="372">
      <c r="A286" s="236" t="n"/>
    </row>
    <row r="287" ht="15.75" customHeight="1" s="372">
      <c r="A287" s="236" t="n"/>
    </row>
    <row r="288" ht="15.75" customHeight="1" s="372">
      <c r="A288" s="236" t="n"/>
    </row>
    <row r="289" ht="15.75" customHeight="1" s="372">
      <c r="A289" s="236" t="n"/>
    </row>
    <row r="290" ht="15.75" customHeight="1" s="372">
      <c r="A290" s="236" t="n"/>
    </row>
    <row r="291" ht="15.75" customHeight="1" s="372">
      <c r="A291" s="236" t="n"/>
    </row>
    <row r="292" ht="15.75" customHeight="1" s="372">
      <c r="A292" s="236" t="n"/>
    </row>
    <row r="293" ht="15.75" customHeight="1" s="372">
      <c r="A293" s="236" t="n"/>
    </row>
    <row r="294" ht="15.75" customHeight="1" s="372">
      <c r="A294" s="236" t="n"/>
    </row>
    <row r="295" ht="15.75" customHeight="1" s="372">
      <c r="A295" s="236" t="n"/>
    </row>
    <row r="296" ht="15.75" customHeight="1" s="372">
      <c r="A296" s="236" t="n"/>
    </row>
    <row r="297" ht="15.75" customHeight="1" s="372">
      <c r="A297" s="236" t="n"/>
    </row>
    <row r="298" ht="15.75" customHeight="1" s="372">
      <c r="A298" s="236" t="n"/>
    </row>
    <row r="299" ht="15.75" customHeight="1" s="372">
      <c r="A299" s="236" t="n"/>
    </row>
    <row r="300" ht="15.75" customHeight="1" s="372">
      <c r="A300" s="236" t="n"/>
    </row>
    <row r="301" ht="15.75" customHeight="1" s="372">
      <c r="A301" s="236" t="n"/>
    </row>
    <row r="302" ht="15.75" customHeight="1" s="372">
      <c r="A302" s="236" t="n"/>
    </row>
    <row r="303" ht="15.75" customHeight="1" s="372">
      <c r="A303" s="236" t="n"/>
    </row>
    <row r="304" ht="15.75" customHeight="1" s="372">
      <c r="A304" s="236" t="n"/>
    </row>
    <row r="305" ht="15.75" customHeight="1" s="372">
      <c r="A305" s="236" t="n"/>
    </row>
    <row r="306" ht="15.75" customHeight="1" s="372">
      <c r="A306" s="236" t="n"/>
    </row>
    <row r="307" ht="15.75" customHeight="1" s="372">
      <c r="A307" s="236" t="n"/>
    </row>
    <row r="308" ht="15.75" customHeight="1" s="372">
      <c r="A308" s="236" t="n"/>
    </row>
    <row r="309" ht="15.75" customHeight="1" s="372">
      <c r="A309" s="236" t="n"/>
    </row>
    <row r="310" ht="15.75" customHeight="1" s="372">
      <c r="A310" s="236" t="n"/>
    </row>
    <row r="311" ht="15.75" customHeight="1" s="372">
      <c r="A311" s="236" t="n"/>
    </row>
    <row r="312" ht="15.75" customHeight="1" s="372">
      <c r="A312" s="236" t="n"/>
    </row>
    <row r="313" ht="15.75" customHeight="1" s="372">
      <c r="A313" s="236" t="n"/>
    </row>
    <row r="314" ht="15.75" customHeight="1" s="372">
      <c r="A314" s="236" t="n"/>
    </row>
    <row r="315" ht="15.75" customHeight="1" s="372">
      <c r="A315" s="236" t="n"/>
    </row>
    <row r="316" ht="15.75" customHeight="1" s="372">
      <c r="A316" s="236" t="n"/>
    </row>
    <row r="317" ht="15.75" customHeight="1" s="372">
      <c r="A317" s="236" t="n"/>
    </row>
    <row r="318" ht="15.75" customHeight="1" s="372">
      <c r="A318" s="236" t="n"/>
    </row>
    <row r="319" ht="15.75" customHeight="1" s="372">
      <c r="A319" s="236" t="n"/>
    </row>
    <row r="320" ht="15.75" customHeight="1" s="372">
      <c r="A320" s="236" t="n"/>
    </row>
    <row r="321" ht="15.75" customHeight="1" s="372">
      <c r="A321" s="236" t="n"/>
    </row>
    <row r="322" ht="15.75" customHeight="1" s="372">
      <c r="A322" s="236" t="n"/>
    </row>
    <row r="323" ht="15.75" customHeight="1" s="372">
      <c r="A323" s="236" t="n"/>
    </row>
    <row r="324" ht="15.75" customHeight="1" s="372">
      <c r="A324" s="236" t="n"/>
    </row>
    <row r="325" ht="15.75" customHeight="1" s="372">
      <c r="A325" s="236" t="n"/>
    </row>
    <row r="326" ht="15.75" customHeight="1" s="372">
      <c r="A326" s="236" t="n"/>
    </row>
    <row r="327" ht="15.75" customHeight="1" s="372">
      <c r="A327" s="236" t="n"/>
    </row>
    <row r="328" ht="15.75" customHeight="1" s="372">
      <c r="A328" s="236" t="n"/>
    </row>
    <row r="329" ht="15.75" customHeight="1" s="372">
      <c r="A329" s="236" t="n"/>
    </row>
    <row r="330" ht="15.75" customHeight="1" s="372">
      <c r="A330" s="236" t="n"/>
    </row>
    <row r="331" ht="15.75" customHeight="1" s="372">
      <c r="A331" s="236" t="n"/>
    </row>
    <row r="332" ht="15.75" customHeight="1" s="372">
      <c r="A332" s="236" t="n"/>
    </row>
    <row r="333" ht="15.75" customHeight="1" s="372">
      <c r="A333" s="236" t="n"/>
    </row>
    <row r="334" ht="15.75" customHeight="1" s="372">
      <c r="A334" s="236" t="n"/>
    </row>
    <row r="335" ht="15.75" customHeight="1" s="372">
      <c r="A335" s="236" t="n"/>
    </row>
    <row r="336" ht="15.75" customHeight="1" s="372">
      <c r="A336" s="236" t="n"/>
    </row>
    <row r="337" ht="15.75" customHeight="1" s="372">
      <c r="A337" s="236" t="n"/>
    </row>
    <row r="338" ht="15.75" customHeight="1" s="372">
      <c r="A338" s="236" t="n"/>
    </row>
    <row r="339" ht="15.75" customHeight="1" s="372">
      <c r="A339" s="236" t="n"/>
    </row>
    <row r="340" ht="15.75" customHeight="1" s="372">
      <c r="A340" s="236" t="n"/>
    </row>
    <row r="341" ht="15.75" customHeight="1" s="372">
      <c r="A341" s="236" t="n"/>
    </row>
    <row r="342" ht="15.75" customHeight="1" s="372">
      <c r="A342" s="236" t="n"/>
    </row>
    <row r="343" ht="15.75" customHeight="1" s="372">
      <c r="A343" s="236" t="n"/>
    </row>
    <row r="344" ht="15.75" customHeight="1" s="372">
      <c r="A344" s="236" t="n"/>
    </row>
    <row r="345" ht="15.75" customHeight="1" s="372">
      <c r="A345" s="236" t="n"/>
    </row>
    <row r="346" ht="15.75" customHeight="1" s="372">
      <c r="A346" s="236" t="n"/>
    </row>
    <row r="347" ht="15.75" customHeight="1" s="372">
      <c r="A347" s="236" t="n"/>
    </row>
    <row r="348" ht="15.75" customHeight="1" s="372">
      <c r="A348" s="236" t="n"/>
    </row>
    <row r="349" ht="15.75" customHeight="1" s="372">
      <c r="A349" s="236" t="n"/>
    </row>
    <row r="350" ht="15.75" customHeight="1" s="372">
      <c r="A350" s="236" t="n"/>
    </row>
    <row r="351" ht="15.75" customHeight="1" s="372">
      <c r="A351" s="236" t="n"/>
    </row>
    <row r="352" ht="15.75" customHeight="1" s="372">
      <c r="A352" s="236" t="n"/>
    </row>
    <row r="353" ht="15.75" customHeight="1" s="372">
      <c r="A353" s="236" t="n"/>
    </row>
    <row r="354" ht="15.75" customHeight="1" s="372">
      <c r="A354" s="236" t="n"/>
    </row>
    <row r="355" ht="15.75" customHeight="1" s="372">
      <c r="A355" s="236" t="n"/>
    </row>
    <row r="356" ht="15.75" customHeight="1" s="372">
      <c r="A356" s="236" t="n"/>
    </row>
    <row r="357" ht="15.75" customHeight="1" s="372">
      <c r="A357" s="236" t="n"/>
    </row>
    <row r="358" ht="15.75" customHeight="1" s="372">
      <c r="A358" s="236" t="n"/>
    </row>
    <row r="359" ht="15.75" customHeight="1" s="372">
      <c r="A359" s="236" t="n"/>
    </row>
    <row r="360" ht="15.75" customHeight="1" s="372">
      <c r="A360" s="236" t="n"/>
    </row>
    <row r="361" ht="15.75" customHeight="1" s="372">
      <c r="A361" s="236" t="n"/>
    </row>
    <row r="362" ht="15.75" customHeight="1" s="372">
      <c r="A362" s="236" t="n"/>
    </row>
    <row r="363" ht="15.75" customHeight="1" s="372">
      <c r="A363" s="236" t="n"/>
    </row>
    <row r="364" ht="15.75" customHeight="1" s="372">
      <c r="A364" s="236" t="n"/>
    </row>
    <row r="365" ht="15.75" customHeight="1" s="372">
      <c r="A365" s="236" t="n"/>
    </row>
    <row r="366" ht="15.75" customHeight="1" s="372">
      <c r="A366" s="236" t="n"/>
    </row>
    <row r="367" ht="15.75" customHeight="1" s="372">
      <c r="A367" s="236" t="n"/>
    </row>
    <row r="368" ht="15.75" customHeight="1" s="372">
      <c r="A368" s="236" t="n"/>
    </row>
    <row r="369" ht="15.75" customHeight="1" s="372">
      <c r="A369" s="236" t="n"/>
    </row>
    <row r="370" ht="15.75" customHeight="1" s="372">
      <c r="A370" s="236" t="n"/>
    </row>
    <row r="371" ht="15.75" customHeight="1" s="372">
      <c r="A371" s="236" t="n"/>
    </row>
    <row r="372" ht="15.75" customHeight="1" s="372">
      <c r="A372" s="236" t="n"/>
    </row>
    <row r="373" ht="15.75" customHeight="1" s="372">
      <c r="A373" s="236" t="n"/>
    </row>
    <row r="374" ht="15.75" customHeight="1" s="372">
      <c r="A374" s="236" t="n"/>
    </row>
    <row r="375" ht="15.75" customHeight="1" s="372">
      <c r="A375" s="236" t="n"/>
    </row>
    <row r="376" ht="15.75" customHeight="1" s="372">
      <c r="A376" s="236" t="n"/>
    </row>
    <row r="377" ht="15.75" customHeight="1" s="372">
      <c r="A377" s="236" t="n"/>
    </row>
    <row r="378" ht="15.75" customHeight="1" s="372">
      <c r="A378" s="236" t="n"/>
    </row>
    <row r="379" ht="15.75" customHeight="1" s="372">
      <c r="A379" s="236" t="n"/>
    </row>
    <row r="380" ht="15.75" customHeight="1" s="372">
      <c r="A380" s="236" t="n"/>
    </row>
    <row r="381" ht="15.75" customHeight="1" s="372">
      <c r="A381" s="236" t="n"/>
    </row>
    <row r="382" ht="15.75" customHeight="1" s="372">
      <c r="A382" s="236" t="n"/>
    </row>
    <row r="383" ht="15.75" customHeight="1" s="372">
      <c r="A383" s="236" t="n"/>
    </row>
    <row r="384" ht="15.75" customHeight="1" s="372">
      <c r="A384" s="236" t="n"/>
    </row>
    <row r="385" ht="15.75" customHeight="1" s="372">
      <c r="A385" s="236" t="n"/>
    </row>
    <row r="386" ht="15.75" customHeight="1" s="372">
      <c r="A386" s="236" t="n"/>
    </row>
    <row r="387" ht="15.75" customHeight="1" s="372">
      <c r="A387" s="236" t="n"/>
    </row>
    <row r="388" ht="15.75" customHeight="1" s="372">
      <c r="A388" s="236" t="n"/>
    </row>
    <row r="389" ht="15.75" customHeight="1" s="372">
      <c r="A389" s="236" t="n"/>
    </row>
    <row r="390" ht="15.75" customHeight="1" s="372">
      <c r="A390" s="236" t="n"/>
    </row>
    <row r="391" ht="15.75" customHeight="1" s="372">
      <c r="A391" s="236" t="n"/>
    </row>
    <row r="392" ht="15.75" customHeight="1" s="372">
      <c r="A392" s="236" t="n"/>
    </row>
    <row r="393" ht="15.75" customHeight="1" s="372">
      <c r="A393" s="236" t="n"/>
    </row>
    <row r="394" ht="15.75" customHeight="1" s="372">
      <c r="A394" s="236" t="n"/>
    </row>
    <row r="395" ht="15.75" customHeight="1" s="372">
      <c r="A395" s="236" t="n"/>
    </row>
    <row r="396" ht="15.75" customHeight="1" s="372">
      <c r="A396" s="236" t="n"/>
    </row>
    <row r="397" ht="15.75" customHeight="1" s="372">
      <c r="A397" s="236" t="n"/>
    </row>
    <row r="398" ht="15.75" customHeight="1" s="372">
      <c r="A398" s="236" t="n"/>
    </row>
    <row r="399" ht="15.75" customHeight="1" s="372">
      <c r="A399" s="236" t="n"/>
    </row>
    <row r="400" ht="15.75" customHeight="1" s="372">
      <c r="A400" s="236" t="n"/>
    </row>
    <row r="401" ht="15.75" customHeight="1" s="372">
      <c r="A401" s="236" t="n"/>
    </row>
    <row r="402" ht="15.75" customHeight="1" s="372">
      <c r="A402" s="236" t="n"/>
    </row>
    <row r="403" ht="15.75" customHeight="1" s="372">
      <c r="A403" s="236" t="n"/>
    </row>
    <row r="404" ht="15.75" customHeight="1" s="372">
      <c r="A404" s="236" t="n"/>
    </row>
    <row r="405" ht="15.75" customHeight="1" s="372">
      <c r="A405" s="236" t="n"/>
    </row>
    <row r="406" ht="15.75" customHeight="1" s="372">
      <c r="A406" s="236" t="n"/>
    </row>
    <row r="407" ht="15.75" customHeight="1" s="372">
      <c r="A407" s="236" t="n"/>
    </row>
    <row r="408" ht="15.75" customHeight="1" s="372">
      <c r="A408" s="236" t="n"/>
    </row>
    <row r="409" ht="15.75" customHeight="1" s="372">
      <c r="A409" s="236" t="n"/>
    </row>
    <row r="410" ht="15.75" customHeight="1" s="372">
      <c r="A410" s="236" t="n"/>
    </row>
    <row r="411" ht="15.75" customHeight="1" s="372">
      <c r="A411" s="236" t="n"/>
    </row>
    <row r="412" ht="15.75" customHeight="1" s="372">
      <c r="A412" s="236" t="n"/>
    </row>
    <row r="413" ht="15.75" customHeight="1" s="372">
      <c r="A413" s="236" t="n"/>
    </row>
    <row r="414" ht="15.75" customHeight="1" s="372">
      <c r="A414" s="236" t="n"/>
    </row>
    <row r="415" ht="15.75" customHeight="1" s="372">
      <c r="A415" s="236" t="n"/>
    </row>
    <row r="416" ht="15.75" customHeight="1" s="372">
      <c r="A416" s="236" t="n"/>
    </row>
    <row r="417" ht="15.75" customHeight="1" s="372">
      <c r="A417" s="236" t="n"/>
    </row>
    <row r="418" ht="15.75" customHeight="1" s="372">
      <c r="A418" s="236" t="n"/>
    </row>
    <row r="419" ht="15.75" customHeight="1" s="372">
      <c r="A419" s="236" t="n"/>
    </row>
    <row r="420" ht="15.75" customHeight="1" s="372">
      <c r="A420" s="236" t="n"/>
    </row>
    <row r="421" ht="15.75" customHeight="1" s="372">
      <c r="A421" s="236" t="n"/>
    </row>
    <row r="422" ht="15.75" customHeight="1" s="372">
      <c r="A422" s="236" t="n"/>
    </row>
    <row r="423" ht="15.75" customHeight="1" s="372">
      <c r="A423" s="236" t="n"/>
    </row>
    <row r="424" ht="15.75" customHeight="1" s="372">
      <c r="A424" s="236" t="n"/>
    </row>
    <row r="425" ht="15.75" customHeight="1" s="372">
      <c r="A425" s="236" t="n"/>
    </row>
    <row r="426" ht="15.75" customHeight="1" s="372">
      <c r="A426" s="236" t="n"/>
    </row>
    <row r="427" ht="15.75" customHeight="1" s="372">
      <c r="A427" s="236" t="n"/>
    </row>
    <row r="428" ht="15.75" customHeight="1" s="372">
      <c r="A428" s="236" t="n"/>
    </row>
    <row r="429" ht="15.75" customHeight="1" s="372">
      <c r="A429" s="236" t="n"/>
    </row>
    <row r="430" ht="15.75" customHeight="1" s="372">
      <c r="A430" s="236" t="n"/>
    </row>
    <row r="431" ht="15.75" customHeight="1" s="372">
      <c r="A431" s="236" t="n"/>
    </row>
    <row r="432" ht="15.75" customHeight="1" s="372">
      <c r="A432" s="236" t="n"/>
    </row>
    <row r="433" ht="15.75" customHeight="1" s="372">
      <c r="A433" s="236" t="n"/>
    </row>
    <row r="434" ht="15.75" customHeight="1" s="372">
      <c r="A434" s="236" t="n"/>
    </row>
    <row r="435" ht="15.75" customHeight="1" s="372">
      <c r="A435" s="236" t="n"/>
    </row>
    <row r="436" ht="15.75" customHeight="1" s="372">
      <c r="A436" s="236" t="n"/>
    </row>
    <row r="437" ht="15.75" customHeight="1" s="372">
      <c r="A437" s="236" t="n"/>
    </row>
    <row r="438" ht="15.75" customHeight="1" s="372">
      <c r="A438" s="236" t="n"/>
    </row>
    <row r="439" ht="15.75" customHeight="1" s="372">
      <c r="A439" s="236" t="n"/>
    </row>
    <row r="440" ht="15.75" customHeight="1" s="372">
      <c r="A440" s="236" t="n"/>
    </row>
    <row r="441" ht="15.75" customHeight="1" s="372">
      <c r="A441" s="236" t="n"/>
    </row>
    <row r="442" ht="15.75" customHeight="1" s="372">
      <c r="A442" s="236" t="n"/>
    </row>
    <row r="443" ht="15.75" customHeight="1" s="372">
      <c r="A443" s="236" t="n"/>
    </row>
    <row r="444" ht="15.75" customHeight="1" s="372">
      <c r="A444" s="236" t="n"/>
    </row>
    <row r="445" ht="15.75" customHeight="1" s="372">
      <c r="A445" s="236" t="n"/>
    </row>
    <row r="446" ht="15.75" customHeight="1" s="372">
      <c r="A446" s="236" t="n"/>
    </row>
    <row r="447" ht="15.75" customHeight="1" s="372">
      <c r="A447" s="236" t="n"/>
    </row>
    <row r="448" ht="15.75" customHeight="1" s="372">
      <c r="A448" s="236" t="n"/>
    </row>
    <row r="449" ht="15.75" customHeight="1" s="372">
      <c r="A449" s="236" t="n"/>
    </row>
    <row r="450" ht="15.75" customHeight="1" s="372">
      <c r="A450" s="236" t="n"/>
    </row>
    <row r="451" ht="15.75" customHeight="1" s="372">
      <c r="A451" s="236" t="n"/>
    </row>
    <row r="452" ht="15.75" customHeight="1" s="372">
      <c r="A452" s="236" t="n"/>
    </row>
    <row r="453" ht="15.75" customHeight="1" s="372">
      <c r="A453" s="236" t="n"/>
    </row>
    <row r="454" ht="15.75" customHeight="1" s="372">
      <c r="A454" s="236" t="n"/>
    </row>
    <row r="455" ht="15.75" customHeight="1" s="372">
      <c r="A455" s="236" t="n"/>
    </row>
    <row r="456" ht="15.75" customHeight="1" s="372">
      <c r="A456" s="236" t="n"/>
    </row>
    <row r="457" ht="15.75" customHeight="1" s="372">
      <c r="A457" s="236" t="n"/>
    </row>
    <row r="458" ht="15.75" customHeight="1" s="372">
      <c r="A458" s="236" t="n"/>
    </row>
    <row r="459" ht="15.75" customHeight="1" s="372">
      <c r="A459" s="236" t="n"/>
    </row>
    <row r="460" ht="15.75" customHeight="1" s="372">
      <c r="A460" s="236" t="n"/>
    </row>
    <row r="461" ht="15.75" customHeight="1" s="372">
      <c r="A461" s="236" t="n"/>
    </row>
    <row r="462" ht="15.75" customHeight="1" s="372">
      <c r="A462" s="236" t="n"/>
    </row>
    <row r="463" ht="15.75" customHeight="1" s="372">
      <c r="A463" s="236" t="n"/>
    </row>
    <row r="464" ht="15.75" customHeight="1" s="372">
      <c r="A464" s="236" t="n"/>
    </row>
    <row r="465" ht="15.75" customHeight="1" s="372">
      <c r="A465" s="236" t="n"/>
    </row>
    <row r="466" ht="15.75" customHeight="1" s="372">
      <c r="A466" s="236" t="n"/>
    </row>
    <row r="467" ht="15.75" customHeight="1" s="372">
      <c r="A467" s="236" t="n"/>
    </row>
    <row r="468" ht="15.75" customHeight="1" s="372">
      <c r="A468" s="236" t="n"/>
    </row>
    <row r="469" ht="15.75" customHeight="1" s="372">
      <c r="A469" s="236" t="n"/>
    </row>
    <row r="470" ht="15.75" customHeight="1" s="372">
      <c r="A470" s="236" t="n"/>
    </row>
    <row r="471" ht="15.75" customHeight="1" s="372">
      <c r="A471" s="236" t="n"/>
    </row>
    <row r="472" ht="15.75" customHeight="1" s="372">
      <c r="A472" s="236" t="n"/>
    </row>
    <row r="473" ht="15.75" customHeight="1" s="372">
      <c r="A473" s="236" t="n"/>
    </row>
    <row r="474" ht="15.75" customHeight="1" s="372">
      <c r="A474" s="236" t="n"/>
    </row>
    <row r="475" ht="15.75" customHeight="1" s="372">
      <c r="A475" s="236" t="n"/>
    </row>
    <row r="476" ht="15.75" customHeight="1" s="372">
      <c r="A476" s="236" t="n"/>
    </row>
    <row r="477" ht="15.75" customHeight="1" s="372">
      <c r="A477" s="236" t="n"/>
    </row>
    <row r="478" ht="15.75" customHeight="1" s="372">
      <c r="A478" s="236" t="n"/>
    </row>
    <row r="479" ht="15.75" customHeight="1" s="372">
      <c r="A479" s="236" t="n"/>
    </row>
    <row r="480" ht="15.75" customHeight="1" s="372">
      <c r="A480" s="236" t="n"/>
    </row>
    <row r="481" ht="15.75" customHeight="1" s="372">
      <c r="A481" s="236" t="n"/>
    </row>
    <row r="482" ht="15.75" customHeight="1" s="372">
      <c r="A482" s="236" t="n"/>
    </row>
    <row r="483" ht="15.75" customHeight="1" s="372">
      <c r="A483" s="236" t="n"/>
    </row>
    <row r="484" ht="15.75" customHeight="1" s="372">
      <c r="A484" s="236" t="n"/>
    </row>
    <row r="485" ht="15.75" customHeight="1" s="372">
      <c r="A485" s="236" t="n"/>
    </row>
    <row r="486" ht="15.75" customHeight="1" s="372">
      <c r="A486" s="236" t="n"/>
    </row>
    <row r="487" ht="15.75" customHeight="1" s="372">
      <c r="A487" s="236" t="n"/>
    </row>
    <row r="488" ht="15.75" customHeight="1" s="372">
      <c r="A488" s="236" t="n"/>
    </row>
    <row r="489" ht="15.75" customHeight="1" s="372">
      <c r="A489" s="236" t="n"/>
    </row>
    <row r="490" ht="15.75" customHeight="1" s="372">
      <c r="A490" s="236" t="n"/>
    </row>
    <row r="491" ht="15.75" customHeight="1" s="372">
      <c r="A491" s="236" t="n"/>
    </row>
    <row r="492" ht="15.75" customHeight="1" s="372">
      <c r="A492" s="236" t="n"/>
    </row>
    <row r="493" ht="15.75" customHeight="1" s="372">
      <c r="A493" s="236" t="n"/>
    </row>
    <row r="494" ht="15.75" customHeight="1" s="372">
      <c r="A494" s="236" t="n"/>
    </row>
    <row r="495" ht="15.75" customHeight="1" s="372">
      <c r="A495" s="236" t="n"/>
    </row>
    <row r="496" ht="15.75" customHeight="1" s="372">
      <c r="A496" s="236" t="n"/>
    </row>
    <row r="497" ht="15.75" customHeight="1" s="372">
      <c r="A497" s="236" t="n"/>
    </row>
    <row r="498" ht="15.75" customHeight="1" s="372">
      <c r="A498" s="236" t="n"/>
    </row>
    <row r="499" ht="15.75" customHeight="1" s="372">
      <c r="A499" s="236" t="n"/>
    </row>
    <row r="500" ht="15.75" customHeight="1" s="372">
      <c r="A500" s="236" t="n"/>
    </row>
    <row r="501" ht="15.75" customHeight="1" s="372">
      <c r="A501" s="236" t="n"/>
    </row>
    <row r="502" ht="15.75" customHeight="1" s="372">
      <c r="A502" s="236" t="n"/>
    </row>
    <row r="503" ht="15.75" customHeight="1" s="372">
      <c r="A503" s="236" t="n"/>
    </row>
    <row r="504" ht="15.75" customHeight="1" s="372">
      <c r="A504" s="236" t="n"/>
    </row>
    <row r="505" ht="15.75" customHeight="1" s="372">
      <c r="A505" s="236" t="n"/>
    </row>
    <row r="506" ht="15.75" customHeight="1" s="372">
      <c r="A506" s="236" t="n"/>
    </row>
    <row r="507" ht="15.75" customHeight="1" s="372">
      <c r="A507" s="236" t="n"/>
    </row>
    <row r="508" ht="15.75" customHeight="1" s="372">
      <c r="A508" s="236" t="n"/>
    </row>
    <row r="509" ht="15.75" customHeight="1" s="372">
      <c r="A509" s="236" t="n"/>
    </row>
    <row r="510" ht="15.75" customHeight="1" s="372">
      <c r="A510" s="236" t="n"/>
    </row>
    <row r="511" ht="15.75" customHeight="1" s="372">
      <c r="A511" s="236" t="n"/>
    </row>
    <row r="512" ht="15.75" customHeight="1" s="372">
      <c r="A512" s="236" t="n"/>
    </row>
    <row r="513" ht="15.75" customHeight="1" s="372">
      <c r="A513" s="236" t="n"/>
    </row>
    <row r="514" ht="15.75" customHeight="1" s="372">
      <c r="A514" s="236" t="n"/>
    </row>
    <row r="515" ht="15.75" customHeight="1" s="372">
      <c r="A515" s="236" t="n"/>
    </row>
    <row r="516" ht="15.75" customHeight="1" s="372">
      <c r="A516" s="236" t="n"/>
    </row>
    <row r="517" ht="15.75" customHeight="1" s="372">
      <c r="A517" s="236" t="n"/>
    </row>
    <row r="518" ht="15.75" customHeight="1" s="372">
      <c r="A518" s="236" t="n"/>
    </row>
    <row r="519" ht="15.75" customHeight="1" s="372">
      <c r="A519" s="236" t="n"/>
    </row>
    <row r="520" ht="15.75" customHeight="1" s="372">
      <c r="A520" s="236" t="n"/>
    </row>
    <row r="521" ht="15.75" customHeight="1" s="372">
      <c r="A521" s="236" t="n"/>
    </row>
    <row r="522" ht="15.75" customHeight="1" s="372">
      <c r="A522" s="236" t="n"/>
    </row>
    <row r="523" ht="15.75" customHeight="1" s="372">
      <c r="A523" s="236" t="n"/>
    </row>
    <row r="524" ht="15.75" customHeight="1" s="372">
      <c r="A524" s="236" t="n"/>
    </row>
    <row r="525" ht="15.75" customHeight="1" s="372">
      <c r="A525" s="236" t="n"/>
    </row>
    <row r="526" ht="15.75" customHeight="1" s="372">
      <c r="A526" s="236" t="n"/>
    </row>
    <row r="527" ht="15.75" customHeight="1" s="372">
      <c r="A527" s="236" t="n"/>
    </row>
    <row r="528" ht="15.75" customHeight="1" s="372">
      <c r="A528" s="236" t="n"/>
    </row>
    <row r="529" ht="15.75" customHeight="1" s="372">
      <c r="A529" s="236" t="n"/>
    </row>
    <row r="530" ht="15.75" customHeight="1" s="372">
      <c r="A530" s="236" t="n"/>
    </row>
    <row r="531" ht="15.75" customHeight="1" s="372">
      <c r="A531" s="236" t="n"/>
    </row>
    <row r="532" ht="15.75" customHeight="1" s="372">
      <c r="A532" s="236" t="n"/>
    </row>
    <row r="533" ht="15.75" customHeight="1" s="372">
      <c r="A533" s="236" t="n"/>
    </row>
    <row r="534" ht="15.75" customHeight="1" s="372">
      <c r="A534" s="236" t="n"/>
    </row>
    <row r="535" ht="15.75" customHeight="1" s="372">
      <c r="A535" s="236" t="n"/>
    </row>
    <row r="536" ht="15.75" customHeight="1" s="372">
      <c r="A536" s="236" t="n"/>
    </row>
    <row r="537" ht="15.75" customHeight="1" s="372">
      <c r="A537" s="236" t="n"/>
    </row>
    <row r="538" ht="15.75" customHeight="1" s="372">
      <c r="A538" s="236" t="n"/>
    </row>
    <row r="539" ht="15.75" customHeight="1" s="372">
      <c r="A539" s="236" t="n"/>
    </row>
    <row r="540" ht="15.75" customHeight="1" s="372">
      <c r="A540" s="236" t="n"/>
    </row>
    <row r="541" ht="15.75" customHeight="1" s="372">
      <c r="A541" s="236" t="n"/>
    </row>
    <row r="542" ht="15.75" customHeight="1" s="372">
      <c r="A542" s="236" t="n"/>
    </row>
    <row r="543" ht="15.75" customHeight="1" s="372">
      <c r="A543" s="236" t="n"/>
    </row>
    <row r="544" ht="15.75" customHeight="1" s="372">
      <c r="A544" s="236" t="n"/>
    </row>
    <row r="545" ht="15.75" customHeight="1" s="372">
      <c r="A545" s="236" t="n"/>
    </row>
    <row r="546" ht="15.75" customHeight="1" s="372">
      <c r="A546" s="236" t="n"/>
    </row>
    <row r="547" ht="15.75" customHeight="1" s="372">
      <c r="A547" s="236" t="n"/>
    </row>
    <row r="548" ht="15.75" customHeight="1" s="372">
      <c r="A548" s="236" t="n"/>
    </row>
    <row r="549" ht="15.75" customHeight="1" s="372">
      <c r="A549" s="236" t="n"/>
    </row>
    <row r="550" ht="15.75" customHeight="1" s="372">
      <c r="A550" s="236" t="n"/>
    </row>
    <row r="551" ht="15.75" customHeight="1" s="372">
      <c r="A551" s="236" t="n"/>
    </row>
    <row r="552" ht="15.75" customHeight="1" s="372">
      <c r="A552" s="236" t="n"/>
    </row>
    <row r="553" ht="15.75" customHeight="1" s="372">
      <c r="A553" s="236" t="n"/>
    </row>
    <row r="554" ht="15.75" customHeight="1" s="372">
      <c r="A554" s="236" t="n"/>
    </row>
    <row r="555" ht="15.75" customHeight="1" s="372">
      <c r="A555" s="236" t="n"/>
    </row>
    <row r="556" ht="15.75" customHeight="1" s="372">
      <c r="A556" s="236" t="n"/>
    </row>
    <row r="557" ht="15.75" customHeight="1" s="372">
      <c r="A557" s="236" t="n"/>
    </row>
    <row r="558" ht="15.75" customHeight="1" s="372">
      <c r="A558" s="236" t="n"/>
    </row>
    <row r="559" ht="15.75" customHeight="1" s="372">
      <c r="A559" s="236" t="n"/>
    </row>
    <row r="560" ht="15.75" customHeight="1" s="372">
      <c r="A560" s="236" t="n"/>
    </row>
    <row r="561" ht="15.75" customHeight="1" s="372">
      <c r="A561" s="236" t="n"/>
    </row>
    <row r="562" ht="15.75" customHeight="1" s="372">
      <c r="A562" s="236" t="n"/>
    </row>
    <row r="563" ht="15.75" customHeight="1" s="372">
      <c r="A563" s="236" t="n"/>
    </row>
    <row r="564" ht="15.75" customHeight="1" s="372">
      <c r="A564" s="236" t="n"/>
    </row>
    <row r="565" ht="15.75" customHeight="1" s="372">
      <c r="A565" s="236" t="n"/>
    </row>
    <row r="566" ht="15.75" customHeight="1" s="372">
      <c r="A566" s="236" t="n"/>
    </row>
    <row r="567" ht="15.75" customHeight="1" s="372">
      <c r="A567" s="236" t="n"/>
    </row>
    <row r="568" ht="15.75" customHeight="1" s="372">
      <c r="A568" s="236" t="n"/>
    </row>
    <row r="569" ht="15.75" customHeight="1" s="372">
      <c r="A569" s="236" t="n"/>
    </row>
    <row r="570" ht="15.75" customHeight="1" s="372">
      <c r="A570" s="236" t="n"/>
    </row>
    <row r="571" ht="15.75" customHeight="1" s="372">
      <c r="A571" s="236" t="n"/>
    </row>
    <row r="572" ht="15.75" customHeight="1" s="372">
      <c r="A572" s="236" t="n"/>
    </row>
    <row r="573" ht="15.75" customHeight="1" s="372">
      <c r="A573" s="236" t="n"/>
    </row>
    <row r="574" ht="15.75" customHeight="1" s="372">
      <c r="A574" s="236" t="n"/>
    </row>
    <row r="575" ht="15.75" customHeight="1" s="372">
      <c r="A575" s="236" t="n"/>
    </row>
    <row r="576" ht="15.75" customHeight="1" s="372">
      <c r="A576" s="236" t="n"/>
    </row>
    <row r="577" ht="15.75" customHeight="1" s="372">
      <c r="A577" s="236" t="n"/>
    </row>
    <row r="578" ht="15.75" customHeight="1" s="372">
      <c r="A578" s="236" t="n"/>
    </row>
    <row r="579" ht="15.75" customHeight="1" s="372">
      <c r="A579" s="236" t="n"/>
    </row>
    <row r="580" ht="15.75" customHeight="1" s="372">
      <c r="A580" s="236" t="n"/>
    </row>
    <row r="581" ht="15.75" customHeight="1" s="372">
      <c r="A581" s="236" t="n"/>
    </row>
    <row r="582" ht="15.75" customHeight="1" s="372">
      <c r="A582" s="236" t="n"/>
    </row>
    <row r="583" ht="15.75" customHeight="1" s="372">
      <c r="A583" s="236" t="n"/>
    </row>
    <row r="584" ht="15.75" customHeight="1" s="372">
      <c r="A584" s="236" t="n"/>
    </row>
    <row r="585" ht="15.75" customHeight="1" s="372">
      <c r="A585" s="236" t="n"/>
    </row>
    <row r="586" ht="15.75" customHeight="1" s="372">
      <c r="A586" s="236" t="n"/>
    </row>
    <row r="587" ht="15.75" customHeight="1" s="372">
      <c r="A587" s="236" t="n"/>
    </row>
    <row r="588" ht="15.75" customHeight="1" s="372">
      <c r="A588" s="236" t="n"/>
    </row>
    <row r="589" ht="15.75" customHeight="1" s="372">
      <c r="A589" s="236" t="n"/>
    </row>
    <row r="590" ht="15.75" customHeight="1" s="372">
      <c r="A590" s="236" t="n"/>
    </row>
    <row r="591" ht="15.75" customHeight="1" s="372">
      <c r="A591" s="236" t="n"/>
    </row>
    <row r="592" ht="15.75" customHeight="1" s="372">
      <c r="A592" s="236" t="n"/>
    </row>
    <row r="593" ht="15.75" customHeight="1" s="372">
      <c r="A593" s="236" t="n"/>
    </row>
    <row r="594" ht="15.75" customHeight="1" s="372">
      <c r="A594" s="236" t="n"/>
    </row>
    <row r="595" ht="15.75" customHeight="1" s="372">
      <c r="A595" s="236" t="n"/>
    </row>
    <row r="596" ht="15.75" customHeight="1" s="372">
      <c r="A596" s="236" t="n"/>
    </row>
    <row r="597" ht="15.75" customHeight="1" s="372">
      <c r="A597" s="236" t="n"/>
    </row>
    <row r="598" ht="15.75" customHeight="1" s="372">
      <c r="A598" s="236" t="n"/>
    </row>
    <row r="599" ht="15.75" customHeight="1" s="372">
      <c r="A599" s="236" t="n"/>
    </row>
    <row r="600" ht="15.75" customHeight="1" s="372">
      <c r="A600" s="236" t="n"/>
    </row>
    <row r="601" ht="15.75" customHeight="1" s="372">
      <c r="A601" s="236" t="n"/>
    </row>
    <row r="602" ht="15.75" customHeight="1" s="372">
      <c r="A602" s="236" t="n"/>
    </row>
    <row r="603" ht="15.75" customHeight="1" s="372">
      <c r="A603" s="236" t="n"/>
    </row>
    <row r="604" ht="15.75" customHeight="1" s="372">
      <c r="A604" s="236" t="n"/>
    </row>
    <row r="605" ht="15.75" customHeight="1" s="372">
      <c r="A605" s="236" t="n"/>
    </row>
    <row r="606" ht="15.75" customHeight="1" s="372">
      <c r="A606" s="236" t="n"/>
    </row>
    <row r="607" ht="15.75" customHeight="1" s="372">
      <c r="A607" s="236" t="n"/>
    </row>
    <row r="608" ht="15.75" customHeight="1" s="372">
      <c r="A608" s="236" t="n"/>
    </row>
    <row r="609" ht="15.75" customHeight="1" s="372">
      <c r="A609" s="236" t="n"/>
    </row>
    <row r="610" ht="15.75" customHeight="1" s="372">
      <c r="A610" s="236" t="n"/>
    </row>
    <row r="611" ht="15.75" customHeight="1" s="372">
      <c r="A611" s="236" t="n"/>
    </row>
    <row r="612" ht="15.75" customHeight="1" s="372">
      <c r="A612" s="236" t="n"/>
    </row>
    <row r="613" ht="15.75" customHeight="1" s="372">
      <c r="A613" s="236" t="n"/>
    </row>
    <row r="614" ht="15.75" customHeight="1" s="372">
      <c r="A614" s="236" t="n"/>
    </row>
    <row r="615" ht="15.75" customHeight="1" s="372">
      <c r="A615" s="236" t="n"/>
    </row>
    <row r="616" ht="15.75" customHeight="1" s="372">
      <c r="A616" s="236" t="n"/>
    </row>
    <row r="617" ht="15.75" customHeight="1" s="372">
      <c r="A617" s="236" t="n"/>
    </row>
    <row r="618" ht="15.75" customHeight="1" s="372">
      <c r="A618" s="236" t="n"/>
    </row>
    <row r="619" ht="15.75" customHeight="1" s="372">
      <c r="A619" s="236" t="n"/>
    </row>
    <row r="620" ht="15.75" customHeight="1" s="372">
      <c r="A620" s="236" t="n"/>
    </row>
    <row r="621" ht="15.75" customHeight="1" s="372">
      <c r="A621" s="236" t="n"/>
    </row>
    <row r="622" ht="15.75" customHeight="1" s="372">
      <c r="A622" s="236" t="n"/>
    </row>
    <row r="623" ht="15.75" customHeight="1" s="372">
      <c r="A623" s="236" t="n"/>
    </row>
    <row r="624" ht="15.75" customHeight="1" s="372">
      <c r="A624" s="236" t="n"/>
    </row>
    <row r="625" ht="15.75" customHeight="1" s="372">
      <c r="A625" s="236" t="n"/>
    </row>
    <row r="626" ht="15.75" customHeight="1" s="372">
      <c r="A626" s="236" t="n"/>
    </row>
    <row r="627" ht="15.75" customHeight="1" s="372">
      <c r="A627" s="236" t="n"/>
    </row>
    <row r="628" ht="15.75" customHeight="1" s="372">
      <c r="A628" s="236" t="n"/>
    </row>
    <row r="629" ht="15.75" customHeight="1" s="372">
      <c r="A629" s="236" t="n"/>
    </row>
    <row r="630" ht="15.75" customHeight="1" s="372">
      <c r="A630" s="236" t="n"/>
    </row>
    <row r="631" ht="15.75" customHeight="1" s="372">
      <c r="A631" s="236" t="n"/>
    </row>
    <row r="632" ht="15.75" customHeight="1" s="372">
      <c r="A632" s="236" t="n"/>
    </row>
    <row r="633" ht="15.75" customHeight="1" s="372">
      <c r="A633" s="236" t="n"/>
    </row>
    <row r="634" ht="15.75" customHeight="1" s="372">
      <c r="A634" s="236" t="n"/>
    </row>
    <row r="635" ht="15.75" customHeight="1" s="372">
      <c r="A635" s="236" t="n"/>
    </row>
    <row r="636" ht="15.75" customHeight="1" s="372">
      <c r="A636" s="236" t="n"/>
    </row>
    <row r="637" ht="15.75" customHeight="1" s="372">
      <c r="A637" s="236" t="n"/>
    </row>
    <row r="638" ht="15.75" customHeight="1" s="372">
      <c r="A638" s="236" t="n"/>
    </row>
    <row r="639" ht="15.75" customHeight="1" s="372">
      <c r="A639" s="236" t="n"/>
    </row>
    <row r="640" ht="15.75" customHeight="1" s="372">
      <c r="A640" s="236" t="n"/>
    </row>
    <row r="641" ht="15.75" customHeight="1" s="372">
      <c r="A641" s="236" t="n"/>
    </row>
    <row r="642" ht="15.75" customHeight="1" s="372">
      <c r="A642" s="236" t="n"/>
    </row>
    <row r="643" ht="15.75" customHeight="1" s="372">
      <c r="A643" s="236" t="n"/>
    </row>
    <row r="644" ht="15.75" customHeight="1" s="372">
      <c r="A644" s="236" t="n"/>
    </row>
    <row r="645" ht="15.75" customHeight="1" s="372">
      <c r="A645" s="236" t="n"/>
    </row>
    <row r="646" ht="15.75" customHeight="1" s="372">
      <c r="A646" s="236" t="n"/>
    </row>
    <row r="647" ht="15.75" customHeight="1" s="372">
      <c r="A647" s="236" t="n"/>
    </row>
    <row r="648" ht="15.75" customHeight="1" s="372">
      <c r="A648" s="236" t="n"/>
    </row>
    <row r="649" ht="15.75" customHeight="1" s="372">
      <c r="A649" s="236" t="n"/>
    </row>
    <row r="650" ht="15.75" customHeight="1" s="372">
      <c r="A650" s="236" t="n"/>
    </row>
    <row r="651" ht="15.75" customHeight="1" s="372">
      <c r="A651" s="236" t="n"/>
    </row>
    <row r="652" ht="15.75" customHeight="1" s="372">
      <c r="A652" s="236" t="n"/>
    </row>
    <row r="653" ht="15.75" customHeight="1" s="372">
      <c r="A653" s="236" t="n"/>
    </row>
    <row r="654" ht="15.75" customHeight="1" s="372">
      <c r="A654" s="236" t="n"/>
    </row>
    <row r="655" ht="15.75" customHeight="1" s="372">
      <c r="A655" s="236" t="n"/>
    </row>
    <row r="656" ht="15.75" customHeight="1" s="372">
      <c r="A656" s="236" t="n"/>
    </row>
    <row r="657" ht="15.75" customHeight="1" s="372">
      <c r="A657" s="236" t="n"/>
    </row>
    <row r="658" ht="15.75" customHeight="1" s="372">
      <c r="A658" s="236" t="n"/>
    </row>
    <row r="659" ht="15.75" customHeight="1" s="372">
      <c r="A659" s="236" t="n"/>
    </row>
    <row r="660" ht="15.75" customHeight="1" s="372">
      <c r="A660" s="236" t="n"/>
    </row>
    <row r="661" ht="15.75" customHeight="1" s="372">
      <c r="A661" s="236" t="n"/>
    </row>
    <row r="662" ht="15.75" customHeight="1" s="372">
      <c r="A662" s="236" t="n"/>
    </row>
    <row r="663" ht="15.75" customHeight="1" s="372">
      <c r="A663" s="236" t="n"/>
    </row>
    <row r="664" ht="15.75" customHeight="1" s="372">
      <c r="A664" s="236" t="n"/>
    </row>
    <row r="665" ht="15.75" customHeight="1" s="372">
      <c r="A665" s="236" t="n"/>
    </row>
    <row r="666" ht="15.75" customHeight="1" s="372">
      <c r="A666" s="236" t="n"/>
    </row>
    <row r="667" ht="15.75" customHeight="1" s="372">
      <c r="A667" s="236" t="n"/>
    </row>
    <row r="668" ht="15.75" customHeight="1" s="372">
      <c r="A668" s="236" t="n"/>
    </row>
    <row r="669" ht="15.75" customHeight="1" s="372">
      <c r="A669" s="236" t="n"/>
    </row>
    <row r="670" ht="15.75" customHeight="1" s="372">
      <c r="A670" s="236" t="n"/>
    </row>
    <row r="671" ht="15.75" customHeight="1" s="372">
      <c r="A671" s="236" t="n"/>
    </row>
    <row r="672" ht="15.75" customHeight="1" s="372">
      <c r="A672" s="236" t="n"/>
    </row>
    <row r="673" ht="15.75" customHeight="1" s="372">
      <c r="A673" s="236" t="n"/>
    </row>
    <row r="674" ht="15.75" customHeight="1" s="372">
      <c r="A674" s="236" t="n"/>
    </row>
    <row r="675" ht="15.75" customHeight="1" s="372">
      <c r="A675" s="236" t="n"/>
    </row>
    <row r="676" ht="15.75" customHeight="1" s="372">
      <c r="A676" s="236" t="n"/>
    </row>
    <row r="677" ht="15.75" customHeight="1" s="372">
      <c r="A677" s="236" t="n"/>
    </row>
    <row r="678" ht="15.75" customHeight="1" s="372">
      <c r="A678" s="236" t="n"/>
    </row>
    <row r="679" ht="15.75" customHeight="1" s="372">
      <c r="A679" s="236" t="n"/>
    </row>
    <row r="680" ht="15.75" customHeight="1" s="372">
      <c r="A680" s="236" t="n"/>
    </row>
    <row r="681" ht="15.75" customHeight="1" s="372">
      <c r="A681" s="236" t="n"/>
    </row>
    <row r="682" ht="15.75" customHeight="1" s="372">
      <c r="A682" s="236" t="n"/>
    </row>
    <row r="683" ht="15.75" customHeight="1" s="372">
      <c r="A683" s="236" t="n"/>
    </row>
    <row r="684" ht="15.75" customHeight="1" s="372">
      <c r="A684" s="236" t="n"/>
    </row>
    <row r="685" ht="15.75" customHeight="1" s="372">
      <c r="A685" s="236" t="n"/>
    </row>
    <row r="686" ht="15.75" customHeight="1" s="372">
      <c r="A686" s="236" t="n"/>
    </row>
    <row r="687" ht="15.75" customHeight="1" s="372">
      <c r="A687" s="236" t="n"/>
    </row>
    <row r="688" ht="15.75" customHeight="1" s="372">
      <c r="A688" s="236" t="n"/>
    </row>
    <row r="689" ht="15.75" customHeight="1" s="372">
      <c r="A689" s="236" t="n"/>
    </row>
    <row r="690" ht="15.75" customHeight="1" s="372">
      <c r="A690" s="236" t="n"/>
    </row>
    <row r="691" ht="15.75" customHeight="1" s="372">
      <c r="A691" s="236" t="n"/>
    </row>
    <row r="692" ht="15.75" customHeight="1" s="372">
      <c r="A692" s="236" t="n"/>
    </row>
    <row r="693" ht="15.75" customHeight="1" s="372">
      <c r="A693" s="236" t="n"/>
    </row>
    <row r="694" ht="15.75" customHeight="1" s="372">
      <c r="A694" s="236" t="n"/>
    </row>
    <row r="695" ht="15.75" customHeight="1" s="372">
      <c r="A695" s="236" t="n"/>
    </row>
    <row r="696" ht="15.75" customHeight="1" s="372">
      <c r="A696" s="236" t="n"/>
    </row>
    <row r="697" ht="15.75" customHeight="1" s="372">
      <c r="A697" s="236" t="n"/>
    </row>
    <row r="698" ht="15.75" customHeight="1" s="372">
      <c r="A698" s="236" t="n"/>
    </row>
    <row r="699" ht="15.75" customHeight="1" s="372">
      <c r="A699" s="236" t="n"/>
    </row>
    <row r="700" ht="15.75" customHeight="1" s="372">
      <c r="A700" s="236" t="n"/>
    </row>
    <row r="701" ht="15.75" customHeight="1" s="372">
      <c r="A701" s="236" t="n"/>
    </row>
    <row r="702" ht="15.75" customHeight="1" s="372">
      <c r="A702" s="236" t="n"/>
    </row>
    <row r="703" ht="15.75" customHeight="1" s="372">
      <c r="A703" s="236" t="n"/>
    </row>
    <row r="704" ht="15.75" customHeight="1" s="372">
      <c r="A704" s="236" t="n"/>
    </row>
    <row r="705" ht="15.75" customHeight="1" s="372">
      <c r="A705" s="236" t="n"/>
    </row>
    <row r="706" ht="15.75" customHeight="1" s="372">
      <c r="A706" s="236" t="n"/>
    </row>
    <row r="707" ht="15.75" customHeight="1" s="372">
      <c r="A707" s="236" t="n"/>
    </row>
    <row r="708" ht="15.75" customHeight="1" s="372">
      <c r="A708" s="236" t="n"/>
    </row>
    <row r="709" ht="15.75" customHeight="1" s="372">
      <c r="A709" s="236" t="n"/>
    </row>
    <row r="710" ht="15.75" customHeight="1" s="372">
      <c r="A710" s="236" t="n"/>
    </row>
    <row r="711" ht="15.75" customHeight="1" s="372">
      <c r="A711" s="236" t="n"/>
    </row>
    <row r="712" ht="15.75" customHeight="1" s="372">
      <c r="A712" s="236" t="n"/>
    </row>
    <row r="713" ht="15.75" customHeight="1" s="372">
      <c r="A713" s="236" t="n"/>
    </row>
    <row r="714" ht="15.75" customHeight="1" s="372">
      <c r="A714" s="236" t="n"/>
    </row>
    <row r="715" ht="15.75" customHeight="1" s="372">
      <c r="A715" s="236" t="n"/>
    </row>
    <row r="716" ht="15.75" customHeight="1" s="372">
      <c r="A716" s="236" t="n"/>
    </row>
    <row r="717" ht="15.75" customHeight="1" s="372">
      <c r="A717" s="236" t="n"/>
    </row>
    <row r="718" ht="15.75" customHeight="1" s="372">
      <c r="A718" s="236" t="n"/>
    </row>
    <row r="719" ht="15.75" customHeight="1" s="372">
      <c r="A719" s="236" t="n"/>
    </row>
    <row r="720" ht="15.75" customHeight="1" s="372">
      <c r="A720" s="236" t="n"/>
    </row>
    <row r="721" ht="15.75" customHeight="1" s="372">
      <c r="A721" s="236" t="n"/>
    </row>
    <row r="722" ht="15.75" customHeight="1" s="372">
      <c r="A722" s="236" t="n"/>
    </row>
    <row r="723" ht="15.75" customHeight="1" s="372">
      <c r="A723" s="236" t="n"/>
    </row>
    <row r="724" ht="15.75" customHeight="1" s="372">
      <c r="A724" s="236" t="n"/>
    </row>
    <row r="725" ht="15.75" customHeight="1" s="372">
      <c r="A725" s="236" t="n"/>
    </row>
    <row r="726" ht="15.75" customHeight="1" s="372">
      <c r="A726" s="236" t="n"/>
    </row>
    <row r="727" ht="15.75" customHeight="1" s="372">
      <c r="A727" s="236" t="n"/>
    </row>
    <row r="728" ht="15.75" customHeight="1" s="372">
      <c r="A728" s="236" t="n"/>
    </row>
    <row r="729" ht="15.75" customHeight="1" s="372">
      <c r="A729" s="236" t="n"/>
    </row>
    <row r="730" ht="15.75" customHeight="1" s="372">
      <c r="A730" s="236" t="n"/>
    </row>
    <row r="731" ht="15.75" customHeight="1" s="372">
      <c r="A731" s="236" t="n"/>
    </row>
    <row r="732" ht="15.75" customHeight="1" s="372">
      <c r="A732" s="236" t="n"/>
    </row>
    <row r="733" ht="15.75" customHeight="1" s="372">
      <c r="A733" s="236" t="n"/>
    </row>
    <row r="734" ht="15.75" customHeight="1" s="372">
      <c r="A734" s="236" t="n"/>
    </row>
    <row r="735" ht="15.75" customHeight="1" s="372">
      <c r="A735" s="236" t="n"/>
    </row>
    <row r="736" ht="15.75" customHeight="1" s="372">
      <c r="A736" s="236" t="n"/>
    </row>
    <row r="737" ht="15.75" customHeight="1" s="372">
      <c r="A737" s="236" t="n"/>
    </row>
    <row r="738" ht="15.75" customHeight="1" s="372">
      <c r="A738" s="236" t="n"/>
    </row>
    <row r="739" ht="15.75" customHeight="1" s="372">
      <c r="A739" s="236" t="n"/>
    </row>
    <row r="740" ht="15.75" customHeight="1" s="372">
      <c r="A740" s="236" t="n"/>
    </row>
    <row r="741" ht="15.75" customHeight="1" s="372">
      <c r="A741" s="236" t="n"/>
    </row>
    <row r="742" ht="15.75" customHeight="1" s="372">
      <c r="A742" s="236" t="n"/>
    </row>
    <row r="743" ht="15.75" customHeight="1" s="372">
      <c r="A743" s="236" t="n"/>
    </row>
    <row r="744" ht="15.75" customHeight="1" s="372">
      <c r="A744" s="236" t="n"/>
    </row>
    <row r="745" ht="15.75" customHeight="1" s="372">
      <c r="A745" s="236" t="n"/>
    </row>
    <row r="746" ht="15.75" customHeight="1" s="372">
      <c r="A746" s="236" t="n"/>
    </row>
    <row r="747" ht="15.75" customHeight="1" s="372">
      <c r="A747" s="236" t="n"/>
    </row>
    <row r="748" ht="15.75" customHeight="1" s="372">
      <c r="A748" s="236" t="n"/>
    </row>
    <row r="749" ht="15.75" customHeight="1" s="372">
      <c r="A749" s="236" t="n"/>
    </row>
    <row r="750" ht="15.75" customHeight="1" s="372">
      <c r="A750" s="236" t="n"/>
    </row>
    <row r="751" ht="15.75" customHeight="1" s="372">
      <c r="A751" s="236" t="n"/>
    </row>
    <row r="752" ht="15.75" customHeight="1" s="372">
      <c r="A752" s="236" t="n"/>
    </row>
    <row r="753" ht="15.75" customHeight="1" s="372">
      <c r="A753" s="236" t="n"/>
    </row>
    <row r="754" ht="15.75" customHeight="1" s="372">
      <c r="A754" s="236" t="n"/>
    </row>
    <row r="755" ht="15.75" customHeight="1" s="372">
      <c r="A755" s="236" t="n"/>
    </row>
    <row r="756" ht="15.75" customHeight="1" s="372">
      <c r="A756" s="236" t="n"/>
    </row>
    <row r="757" ht="15.75" customHeight="1" s="372">
      <c r="A757" s="236" t="n"/>
    </row>
    <row r="758" ht="15.75" customHeight="1" s="372">
      <c r="A758" s="236" t="n"/>
    </row>
    <row r="759" ht="15.75" customHeight="1" s="372">
      <c r="A759" s="236" t="n"/>
    </row>
    <row r="760" ht="15.75" customHeight="1" s="372">
      <c r="A760" s="236" t="n"/>
    </row>
    <row r="761" ht="15.75" customHeight="1" s="372">
      <c r="A761" s="236" t="n"/>
    </row>
    <row r="762" ht="15.75" customHeight="1" s="372">
      <c r="A762" s="236" t="n"/>
    </row>
    <row r="763" ht="15.75" customHeight="1" s="372">
      <c r="A763" s="236" t="n"/>
    </row>
    <row r="764" ht="15.75" customHeight="1" s="372">
      <c r="A764" s="236" t="n"/>
    </row>
    <row r="765" ht="15.75" customHeight="1" s="372">
      <c r="A765" s="236" t="n"/>
    </row>
    <row r="766" ht="15.75" customHeight="1" s="372">
      <c r="A766" s="236" t="n"/>
    </row>
    <row r="767" ht="15.75" customHeight="1" s="372">
      <c r="A767" s="236" t="n"/>
    </row>
    <row r="768" ht="15.75" customHeight="1" s="372">
      <c r="A768" s="236" t="n"/>
    </row>
    <row r="769" ht="15.75" customHeight="1" s="372">
      <c r="A769" s="236" t="n"/>
    </row>
    <row r="770" ht="15.75" customHeight="1" s="372">
      <c r="A770" s="236" t="n"/>
    </row>
    <row r="771" ht="15.75" customHeight="1" s="372">
      <c r="A771" s="236" t="n"/>
    </row>
    <row r="772" ht="15.75" customHeight="1" s="372">
      <c r="A772" s="236" t="n"/>
    </row>
    <row r="773" ht="15.75" customHeight="1" s="372">
      <c r="A773" s="236" t="n"/>
    </row>
    <row r="774" ht="15.75" customHeight="1" s="372">
      <c r="A774" s="236" t="n"/>
    </row>
    <row r="775" ht="15.75" customHeight="1" s="372">
      <c r="A775" s="236" t="n"/>
    </row>
    <row r="776" ht="15.75" customHeight="1" s="372">
      <c r="A776" s="236" t="n"/>
    </row>
    <row r="777" ht="15.75" customHeight="1" s="372">
      <c r="A777" s="236" t="n"/>
    </row>
    <row r="778" ht="15.75" customHeight="1" s="372">
      <c r="A778" s="236" t="n"/>
    </row>
    <row r="779" ht="15.75" customHeight="1" s="372">
      <c r="A779" s="236" t="n"/>
    </row>
    <row r="780" ht="15.75" customHeight="1" s="372">
      <c r="A780" s="236" t="n"/>
    </row>
    <row r="781" ht="15.75" customHeight="1" s="372">
      <c r="A781" s="236" t="n"/>
    </row>
    <row r="782" ht="15.75" customHeight="1" s="372">
      <c r="A782" s="236" t="n"/>
    </row>
    <row r="783" ht="15.75" customHeight="1" s="372">
      <c r="A783" s="236" t="n"/>
    </row>
    <row r="784" ht="15.75" customHeight="1" s="372">
      <c r="A784" s="236" t="n"/>
    </row>
    <row r="785" ht="15.75" customHeight="1" s="372">
      <c r="A785" s="236" t="n"/>
    </row>
    <row r="786" ht="15.75" customHeight="1" s="372">
      <c r="A786" s="236" t="n"/>
    </row>
    <row r="787" ht="15.75" customHeight="1" s="372">
      <c r="A787" s="236" t="n"/>
    </row>
    <row r="788" ht="15.75" customHeight="1" s="372">
      <c r="A788" s="236" t="n"/>
    </row>
    <row r="789" ht="15.75" customHeight="1" s="372">
      <c r="A789" s="236" t="n"/>
    </row>
    <row r="790" ht="15.75" customHeight="1" s="372">
      <c r="A790" s="236" t="n"/>
    </row>
    <row r="791" ht="15.75" customHeight="1" s="372">
      <c r="A791" s="236" t="n"/>
    </row>
    <row r="792" ht="15.75" customHeight="1" s="372">
      <c r="A792" s="236" t="n"/>
    </row>
    <row r="793" ht="15.75" customHeight="1" s="372">
      <c r="A793" s="236" t="n"/>
    </row>
    <row r="794" ht="15.75" customHeight="1" s="372">
      <c r="A794" s="236" t="n"/>
    </row>
    <row r="795" ht="15.75" customHeight="1" s="372">
      <c r="A795" s="236" t="n"/>
    </row>
    <row r="796" ht="15.75" customHeight="1" s="372">
      <c r="A796" s="236" t="n"/>
    </row>
    <row r="797" ht="15.75" customHeight="1" s="372">
      <c r="A797" s="236" t="n"/>
    </row>
    <row r="798" ht="15.75" customHeight="1" s="372">
      <c r="A798" s="236" t="n"/>
    </row>
    <row r="799" ht="15.75" customHeight="1" s="372">
      <c r="A799" s="236" t="n"/>
    </row>
    <row r="800" ht="15.75" customHeight="1" s="372">
      <c r="A800" s="236" t="n"/>
    </row>
    <row r="801" ht="15.75" customHeight="1" s="372">
      <c r="A801" s="236" t="n"/>
    </row>
    <row r="802" ht="15.75" customHeight="1" s="372">
      <c r="A802" s="236" t="n"/>
    </row>
    <row r="803" ht="15.75" customHeight="1" s="372">
      <c r="A803" s="236" t="n"/>
    </row>
    <row r="804" ht="15.75" customHeight="1" s="372">
      <c r="A804" s="236" t="n"/>
    </row>
    <row r="805" ht="15.75" customHeight="1" s="372">
      <c r="A805" s="236" t="n"/>
    </row>
    <row r="806" ht="15.75" customHeight="1" s="372">
      <c r="A806" s="236" t="n"/>
    </row>
    <row r="807" ht="15.75" customHeight="1" s="372">
      <c r="A807" s="236" t="n"/>
    </row>
    <row r="808" ht="15.75" customHeight="1" s="372">
      <c r="A808" s="236" t="n"/>
    </row>
    <row r="809" ht="15.75" customHeight="1" s="372">
      <c r="A809" s="236" t="n"/>
    </row>
    <row r="810" ht="15.75" customHeight="1" s="372">
      <c r="A810" s="236" t="n"/>
    </row>
    <row r="811" ht="15.75" customHeight="1" s="372">
      <c r="A811" s="236" t="n"/>
    </row>
    <row r="812" ht="15.75" customHeight="1" s="372">
      <c r="A812" s="236" t="n"/>
    </row>
    <row r="813" ht="15.75" customHeight="1" s="372">
      <c r="A813" s="236" t="n"/>
    </row>
    <row r="814" ht="15.75" customHeight="1" s="372">
      <c r="A814" s="236" t="n"/>
    </row>
    <row r="815" ht="15.75" customHeight="1" s="372">
      <c r="A815" s="236" t="n"/>
    </row>
    <row r="816" ht="15.75" customHeight="1" s="372">
      <c r="A816" s="236" t="n"/>
    </row>
    <row r="817" ht="15.75" customHeight="1" s="372">
      <c r="A817" s="236" t="n"/>
    </row>
    <row r="818" ht="15.75" customHeight="1" s="372">
      <c r="A818" s="236" t="n"/>
    </row>
    <row r="819" ht="15.75" customHeight="1" s="372">
      <c r="A819" s="236" t="n"/>
    </row>
    <row r="820" ht="15.75" customHeight="1" s="372">
      <c r="A820" s="236" t="n"/>
    </row>
    <row r="821" ht="15.75" customHeight="1" s="372">
      <c r="A821" s="236" t="n"/>
    </row>
    <row r="822" ht="15.75" customHeight="1" s="372">
      <c r="A822" s="236" t="n"/>
    </row>
    <row r="823" ht="15.75" customHeight="1" s="372">
      <c r="A823" s="236" t="n"/>
    </row>
    <row r="824" ht="15.75" customHeight="1" s="372">
      <c r="A824" s="236" t="n"/>
    </row>
    <row r="825" ht="15.75" customHeight="1" s="372">
      <c r="A825" s="236" t="n"/>
    </row>
    <row r="826" ht="15.75" customHeight="1" s="372">
      <c r="A826" s="236" t="n"/>
    </row>
    <row r="827" ht="15.75" customHeight="1" s="372">
      <c r="A827" s="236" t="n"/>
    </row>
    <row r="828" ht="15.75" customHeight="1" s="372">
      <c r="A828" s="236" t="n"/>
    </row>
    <row r="829" ht="15.75" customHeight="1" s="372">
      <c r="A829" s="236" t="n"/>
    </row>
    <row r="830" ht="15.75" customHeight="1" s="372">
      <c r="A830" s="236" t="n"/>
    </row>
    <row r="831" ht="15.75" customHeight="1" s="372">
      <c r="A831" s="236" t="n"/>
    </row>
    <row r="832" ht="15.75" customHeight="1" s="372">
      <c r="A832" s="236" t="n"/>
    </row>
    <row r="833" ht="15.75" customHeight="1" s="372">
      <c r="A833" s="236" t="n"/>
    </row>
    <row r="834" ht="15.75" customHeight="1" s="372">
      <c r="A834" s="236" t="n"/>
    </row>
    <row r="835" ht="15.75" customHeight="1" s="372">
      <c r="A835" s="236" t="n"/>
    </row>
    <row r="836" ht="15.75" customHeight="1" s="372">
      <c r="A836" s="236" t="n"/>
    </row>
    <row r="837" ht="15.75" customHeight="1" s="372">
      <c r="A837" s="236" t="n"/>
    </row>
    <row r="838" ht="15.75" customHeight="1" s="372">
      <c r="A838" s="236" t="n"/>
    </row>
    <row r="839" ht="15.75" customHeight="1" s="372">
      <c r="A839" s="236" t="n"/>
    </row>
    <row r="840" ht="15.75" customHeight="1" s="372">
      <c r="A840" s="236" t="n"/>
    </row>
    <row r="841" ht="15.75" customHeight="1" s="372">
      <c r="A841" s="236" t="n"/>
    </row>
    <row r="842" ht="15.75" customHeight="1" s="372">
      <c r="A842" s="236" t="n"/>
    </row>
    <row r="843" ht="15.75" customHeight="1" s="372">
      <c r="A843" s="236" t="n"/>
    </row>
    <row r="844" ht="15.75" customHeight="1" s="372">
      <c r="A844" s="236" t="n"/>
    </row>
    <row r="845" ht="15.75" customHeight="1" s="372">
      <c r="A845" s="236" t="n"/>
    </row>
    <row r="846" ht="15.75" customHeight="1" s="372">
      <c r="A846" s="236" t="n"/>
    </row>
    <row r="847" ht="15.75" customHeight="1" s="372">
      <c r="A847" s="236" t="n"/>
    </row>
    <row r="848" ht="15.75" customHeight="1" s="372">
      <c r="A848" s="236" t="n"/>
    </row>
    <row r="849" ht="15.75" customHeight="1" s="372">
      <c r="A849" s="236" t="n"/>
    </row>
    <row r="850" ht="15.75" customHeight="1" s="372">
      <c r="A850" s="236" t="n"/>
    </row>
    <row r="851" ht="15.75" customHeight="1" s="372">
      <c r="A851" s="236" t="n"/>
    </row>
    <row r="852" ht="15.75" customHeight="1" s="372">
      <c r="A852" s="236" t="n"/>
    </row>
    <row r="853" ht="15.75" customHeight="1" s="372">
      <c r="A853" s="236" t="n"/>
    </row>
    <row r="854" ht="15.75" customHeight="1" s="372">
      <c r="A854" s="236" t="n"/>
    </row>
    <row r="855" ht="15.75" customHeight="1" s="372">
      <c r="A855" s="236" t="n"/>
    </row>
    <row r="856" ht="15.75" customHeight="1" s="372">
      <c r="A856" s="236" t="n"/>
    </row>
    <row r="857" ht="15.75" customHeight="1" s="372">
      <c r="A857" s="236" t="n"/>
    </row>
    <row r="858" ht="15.75" customHeight="1" s="372">
      <c r="A858" s="236" t="n"/>
    </row>
    <row r="859" ht="15.75" customHeight="1" s="372">
      <c r="A859" s="236" t="n"/>
    </row>
    <row r="860" ht="15.75" customHeight="1" s="372">
      <c r="A860" s="236" t="n"/>
    </row>
    <row r="861" ht="15.75" customHeight="1" s="372">
      <c r="A861" s="236" t="n"/>
    </row>
    <row r="862" ht="15.75" customHeight="1" s="372">
      <c r="A862" s="236" t="n"/>
    </row>
    <row r="863" ht="15.75" customHeight="1" s="372">
      <c r="A863" s="236" t="n"/>
    </row>
    <row r="864" ht="15.75" customHeight="1" s="372">
      <c r="A864" s="236" t="n"/>
    </row>
    <row r="865" ht="15.75" customHeight="1" s="372">
      <c r="A865" s="236" t="n"/>
    </row>
    <row r="866" ht="15.75" customHeight="1" s="372">
      <c r="A866" s="236" t="n"/>
    </row>
    <row r="867" ht="15.75" customHeight="1" s="372">
      <c r="A867" s="236" t="n"/>
    </row>
    <row r="868" ht="15.75" customHeight="1" s="372">
      <c r="A868" s="236" t="n"/>
    </row>
    <row r="869" ht="15.75" customHeight="1" s="372">
      <c r="A869" s="236" t="n"/>
    </row>
    <row r="870" ht="15.75" customHeight="1" s="372">
      <c r="A870" s="236" t="n"/>
    </row>
    <row r="871" ht="15.75" customHeight="1" s="372">
      <c r="A871" s="236" t="n"/>
    </row>
    <row r="872" ht="15.75" customHeight="1" s="372">
      <c r="A872" s="236" t="n"/>
    </row>
    <row r="873" ht="15.75" customHeight="1" s="372">
      <c r="A873" s="236" t="n"/>
    </row>
    <row r="874" ht="15.75" customHeight="1" s="372">
      <c r="A874" s="236" t="n"/>
    </row>
    <row r="875" ht="15.75" customHeight="1" s="372">
      <c r="A875" s="236" t="n"/>
    </row>
    <row r="876" ht="15.75" customHeight="1" s="372">
      <c r="A876" s="236" t="n"/>
    </row>
    <row r="877" ht="15.75" customHeight="1" s="372">
      <c r="A877" s="236" t="n"/>
    </row>
    <row r="878" ht="15.75" customHeight="1" s="372">
      <c r="A878" s="236" t="n"/>
    </row>
    <row r="879" ht="15.75" customHeight="1" s="372">
      <c r="A879" s="236" t="n"/>
    </row>
    <row r="880" ht="15.75" customHeight="1" s="372">
      <c r="A880" s="236" t="n"/>
    </row>
    <row r="881" ht="15.75" customHeight="1" s="372">
      <c r="A881" s="236" t="n"/>
    </row>
    <row r="882" ht="15.75" customHeight="1" s="372">
      <c r="A882" s="236" t="n"/>
    </row>
    <row r="883" ht="15.75" customHeight="1" s="372">
      <c r="A883" s="236" t="n"/>
    </row>
    <row r="884" ht="15.75" customHeight="1" s="372">
      <c r="A884" s="236" t="n"/>
    </row>
    <row r="885" ht="15.75" customHeight="1" s="372">
      <c r="A885" s="236" t="n"/>
    </row>
    <row r="886" ht="15.75" customHeight="1" s="372">
      <c r="A886" s="236" t="n"/>
    </row>
    <row r="887" ht="15.75" customHeight="1" s="372">
      <c r="A887" s="236" t="n"/>
    </row>
    <row r="888" ht="15.75" customHeight="1" s="372">
      <c r="A888" s="236" t="n"/>
    </row>
    <row r="889" ht="15.75" customHeight="1" s="372">
      <c r="A889" s="236" t="n"/>
    </row>
    <row r="890" ht="15.75" customHeight="1" s="372">
      <c r="A890" s="236" t="n"/>
    </row>
    <row r="891" ht="15.75" customHeight="1" s="372">
      <c r="A891" s="236" t="n"/>
    </row>
    <row r="892" ht="15.75" customHeight="1" s="372">
      <c r="A892" s="236" t="n"/>
    </row>
    <row r="893" ht="15.75" customHeight="1" s="372">
      <c r="A893" s="236" t="n"/>
    </row>
    <row r="894" ht="15.75" customHeight="1" s="372">
      <c r="A894" s="236" t="n"/>
    </row>
    <row r="895" ht="15.75" customHeight="1" s="372">
      <c r="A895" s="236" t="n"/>
    </row>
    <row r="896" ht="15.75" customHeight="1" s="372">
      <c r="A896" s="236" t="n"/>
    </row>
    <row r="897" ht="15.75" customHeight="1" s="372">
      <c r="A897" s="236" t="n"/>
    </row>
    <row r="898" ht="15.75" customHeight="1" s="372">
      <c r="A898" s="236" t="n"/>
    </row>
    <row r="899" ht="15.75" customHeight="1" s="372">
      <c r="A899" s="236" t="n"/>
    </row>
    <row r="900" ht="15.75" customHeight="1" s="372">
      <c r="A900" s="236" t="n"/>
    </row>
    <row r="901" ht="15.75" customHeight="1" s="372">
      <c r="A901" s="236" t="n"/>
    </row>
    <row r="902" ht="15.75" customHeight="1" s="372">
      <c r="A902" s="236" t="n"/>
    </row>
    <row r="903" ht="15.75" customHeight="1" s="372">
      <c r="A903" s="236" t="n"/>
    </row>
    <row r="904" ht="15.75" customHeight="1" s="372">
      <c r="A904" s="236" t="n"/>
    </row>
    <row r="905" ht="15.75" customHeight="1" s="372">
      <c r="A905" s="236" t="n"/>
    </row>
    <row r="906" ht="15.75" customHeight="1" s="372">
      <c r="A906" s="236" t="n"/>
    </row>
    <row r="907" ht="15.75" customHeight="1" s="372">
      <c r="A907" s="236" t="n"/>
    </row>
    <row r="908" ht="15.75" customHeight="1" s="372">
      <c r="A908" s="236" t="n"/>
    </row>
    <row r="909" ht="15.75" customHeight="1" s="372">
      <c r="A909" s="236" t="n"/>
    </row>
    <row r="910" ht="15.75" customHeight="1" s="372">
      <c r="A910" s="236" t="n"/>
    </row>
    <row r="911" ht="15.75" customHeight="1" s="372">
      <c r="A911" s="236" t="n"/>
    </row>
    <row r="912" ht="15.75" customHeight="1" s="372">
      <c r="A912" s="236" t="n"/>
    </row>
    <row r="913" ht="15.75" customHeight="1" s="372">
      <c r="A913" s="236" t="n"/>
    </row>
    <row r="914" ht="15.75" customHeight="1" s="372">
      <c r="A914" s="236" t="n"/>
    </row>
    <row r="915" ht="15.75" customHeight="1" s="372">
      <c r="A915" s="236" t="n"/>
    </row>
    <row r="916" ht="15.75" customHeight="1" s="372">
      <c r="A916" s="236" t="n"/>
    </row>
    <row r="917" ht="15.75" customHeight="1" s="372">
      <c r="A917" s="236" t="n"/>
    </row>
    <row r="918" ht="15.75" customHeight="1" s="372">
      <c r="A918" s="236" t="n"/>
    </row>
    <row r="919" ht="15.75" customHeight="1" s="372">
      <c r="A919" s="236" t="n"/>
    </row>
    <row r="920" ht="15.75" customHeight="1" s="372">
      <c r="A920" s="236" t="n"/>
    </row>
    <row r="921" ht="15.75" customHeight="1" s="372">
      <c r="A921" s="236" t="n"/>
    </row>
    <row r="922" ht="15.75" customHeight="1" s="372">
      <c r="A922" s="236" t="n"/>
    </row>
    <row r="923" ht="15.75" customHeight="1" s="372">
      <c r="A923" s="236" t="n"/>
    </row>
    <row r="924" ht="15.75" customHeight="1" s="372">
      <c r="A924" s="236" t="n"/>
    </row>
    <row r="925" ht="15.75" customHeight="1" s="372">
      <c r="A925" s="236" t="n"/>
    </row>
    <row r="926" ht="15.75" customHeight="1" s="372">
      <c r="A926" s="236" t="n"/>
    </row>
    <row r="927" ht="15.75" customHeight="1" s="372">
      <c r="A927" s="236" t="n"/>
    </row>
    <row r="928" ht="15.75" customHeight="1" s="372">
      <c r="A928" s="236" t="n"/>
    </row>
    <row r="929" ht="15.75" customHeight="1" s="372">
      <c r="A929" s="236" t="n"/>
    </row>
    <row r="930" ht="15.75" customHeight="1" s="372">
      <c r="A930" s="236" t="n"/>
    </row>
    <row r="931" ht="15.75" customHeight="1" s="372">
      <c r="A931" s="236" t="n"/>
    </row>
    <row r="932" ht="15.75" customHeight="1" s="372">
      <c r="A932" s="236" t="n"/>
    </row>
    <row r="933" ht="15.75" customHeight="1" s="372">
      <c r="A933" s="236" t="n"/>
    </row>
    <row r="934" ht="15.75" customHeight="1" s="372">
      <c r="A934" s="236" t="n"/>
    </row>
    <row r="935" ht="15.75" customHeight="1" s="372">
      <c r="A935" s="236" t="n"/>
    </row>
    <row r="936" ht="15.75" customHeight="1" s="372">
      <c r="A936" s="236" t="n"/>
    </row>
    <row r="937" ht="15.75" customHeight="1" s="372">
      <c r="A937" s="236" t="n"/>
    </row>
    <row r="938" ht="15.75" customHeight="1" s="372">
      <c r="A938" s="236" t="n"/>
    </row>
    <row r="939" ht="15.75" customHeight="1" s="372">
      <c r="A939" s="236" t="n"/>
    </row>
    <row r="940" ht="15.75" customHeight="1" s="372">
      <c r="A940" s="236" t="n"/>
    </row>
    <row r="941" ht="15.75" customHeight="1" s="372">
      <c r="A941" s="236" t="n"/>
    </row>
    <row r="942" ht="15.75" customHeight="1" s="372">
      <c r="A942" s="236" t="n"/>
    </row>
    <row r="943" ht="15.75" customHeight="1" s="372">
      <c r="A943" s="236" t="n"/>
    </row>
    <row r="944" ht="15.75" customHeight="1" s="372">
      <c r="A944" s="236" t="n"/>
    </row>
    <row r="945" ht="15.75" customHeight="1" s="372">
      <c r="A945" s="236" t="n"/>
    </row>
    <row r="946" ht="15.75" customHeight="1" s="372">
      <c r="A946" s="236" t="n"/>
    </row>
    <row r="947" ht="15.75" customHeight="1" s="372">
      <c r="A947" s="236" t="n"/>
    </row>
    <row r="948" ht="15.75" customHeight="1" s="372">
      <c r="A948" s="236" t="n"/>
    </row>
    <row r="949" ht="15.75" customHeight="1" s="372">
      <c r="A949" s="236" t="n"/>
    </row>
    <row r="950" ht="15.75" customHeight="1" s="372">
      <c r="A950" s="236" t="n"/>
    </row>
    <row r="951" ht="15.75" customHeight="1" s="372">
      <c r="A951" s="236" t="n"/>
    </row>
    <row r="952" ht="15.75" customHeight="1" s="372">
      <c r="A952" s="236" t="n"/>
    </row>
    <row r="953" ht="15.75" customHeight="1" s="372">
      <c r="A953" s="236" t="n"/>
    </row>
    <row r="954" ht="15.75" customHeight="1" s="372">
      <c r="A954" s="236" t="n"/>
    </row>
    <row r="955" ht="15.75" customHeight="1" s="372">
      <c r="A955" s="236" t="n"/>
    </row>
    <row r="956" ht="15.75" customHeight="1" s="372">
      <c r="A956" s="236" t="n"/>
    </row>
    <row r="957" ht="15.75" customHeight="1" s="372">
      <c r="A957" s="236" t="n"/>
    </row>
    <row r="958" ht="15.75" customHeight="1" s="372">
      <c r="A958" s="236" t="n"/>
    </row>
    <row r="959" ht="15.75" customHeight="1" s="372">
      <c r="A959" s="236" t="n"/>
    </row>
    <row r="960" ht="15.75" customHeight="1" s="372">
      <c r="A960" s="236" t="n"/>
    </row>
    <row r="961" ht="15.75" customHeight="1" s="372">
      <c r="A961" s="236" t="n"/>
    </row>
    <row r="962" ht="15.75" customHeight="1" s="372">
      <c r="A962" s="236" t="n"/>
    </row>
    <row r="963" ht="15.75" customHeight="1" s="372">
      <c r="A963" s="236" t="n"/>
    </row>
    <row r="964" ht="15.75" customHeight="1" s="372">
      <c r="A964" s="236" t="n"/>
    </row>
    <row r="965" ht="15.75" customHeight="1" s="372">
      <c r="A965" s="236" t="n"/>
    </row>
    <row r="966" ht="15.75" customHeight="1" s="372">
      <c r="A966" s="236" t="n"/>
    </row>
    <row r="967" ht="15.75" customHeight="1" s="372">
      <c r="A967" s="236" t="n"/>
    </row>
    <row r="968" ht="15.75" customHeight="1" s="372">
      <c r="A968" s="236" t="n"/>
    </row>
    <row r="969" ht="15.75" customHeight="1" s="372">
      <c r="A969" s="236" t="n"/>
    </row>
    <row r="970" ht="15.75" customHeight="1" s="372">
      <c r="A970" s="236" t="n"/>
    </row>
    <row r="971" ht="15.75" customHeight="1" s="372">
      <c r="A971" s="236" t="n"/>
    </row>
    <row r="972" ht="15.75" customHeight="1" s="372">
      <c r="A972" s="236" t="n"/>
    </row>
    <row r="973" ht="15.75" customHeight="1" s="372">
      <c r="A973" s="236" t="n"/>
    </row>
    <row r="974" ht="15.75" customHeight="1" s="372">
      <c r="A974" s="236" t="n"/>
    </row>
    <row r="975" ht="15.75" customHeight="1" s="372">
      <c r="A975" s="236" t="n"/>
    </row>
    <row r="976" ht="15.75" customHeight="1" s="372">
      <c r="A976" s="236" t="n"/>
    </row>
    <row r="977" ht="15.75" customHeight="1" s="372">
      <c r="A977" s="236" t="n"/>
    </row>
    <row r="978" ht="15.75" customHeight="1" s="372">
      <c r="A978" s="236" t="n"/>
    </row>
    <row r="979" ht="15.75" customHeight="1" s="372">
      <c r="A979" s="236" t="n"/>
    </row>
    <row r="980" ht="15.75" customHeight="1" s="372">
      <c r="A980" s="236" t="n"/>
    </row>
    <row r="981" ht="15.75" customHeight="1" s="372">
      <c r="A981" s="236" t="n"/>
    </row>
    <row r="982" ht="15.75" customHeight="1" s="372">
      <c r="A982" s="236" t="n"/>
    </row>
    <row r="983" ht="15.75" customHeight="1" s="372">
      <c r="A983" s="236" t="n"/>
    </row>
    <row r="984" ht="15.75" customHeight="1" s="372">
      <c r="A984" s="236" t="n"/>
    </row>
    <row r="985" ht="15.75" customHeight="1" s="372">
      <c r="A985" s="236" t="n"/>
    </row>
    <row r="986" ht="15.75" customHeight="1" s="372">
      <c r="A986" s="236" t="n"/>
    </row>
    <row r="987" ht="15.75" customHeight="1" s="372">
      <c r="A987" s="236" t="n"/>
    </row>
    <row r="988" ht="15.75" customHeight="1" s="372">
      <c r="A988" s="236" t="n"/>
    </row>
    <row r="989" ht="15.75" customHeight="1" s="372">
      <c r="A989" s="236" t="n"/>
    </row>
    <row r="990" ht="15.75" customHeight="1" s="372">
      <c r="A990" s="236" t="n"/>
    </row>
    <row r="991" ht="15.75" customHeight="1" s="372">
      <c r="A991" s="236" t="n"/>
    </row>
    <row r="992" ht="15.75" customHeight="1" s="372">
      <c r="A992" s="236" t="n"/>
    </row>
    <row r="993" ht="15.75" customHeight="1" s="372">
      <c r="A993" s="236" t="n"/>
    </row>
    <row r="994" ht="15.75" customHeight="1" s="372">
      <c r="A994" s="236" t="n"/>
    </row>
    <row r="995" ht="15.75" customHeight="1" s="372">
      <c r="A995" s="236" t="n"/>
    </row>
    <row r="996" ht="15.75" customHeight="1" s="372">
      <c r="A996" s="236" t="n"/>
    </row>
    <row r="997" ht="15.75" customHeight="1" s="372">
      <c r="A997" s="236" t="n"/>
    </row>
    <row r="998" ht="15.75" customHeight="1" s="372">
      <c r="A998" s="236" t="n"/>
    </row>
    <row r="999" ht="15.75" customHeight="1" s="372">
      <c r="A999" s="236" t="n"/>
    </row>
    <row r="1000" ht="15.75" customHeight="1" s="372">
      <c r="A1000" s="236" t="n"/>
    </row>
  </sheetData>
  <autoFilter ref="$A$3:$D$113"/>
  <mergeCells count="2">
    <mergeCell ref="A1:D1"/>
    <mergeCell ref="A2:D2"/>
  </mergeCells>
  <pageMargins left="0.75" right="0.75" top="1" bottom="1" header="0" footer="0"/>
  <pageSetup orientation="portrait" paperSize="9"/>
</worksheet>
</file>

<file path=xl/worksheets/sheet17.xml><?xml version="1.0" encoding="utf-8"?>
<worksheet xmlns="http://schemas.openxmlformats.org/spreadsheetml/2006/main">
  <sheetPr>
    <tabColor rgb="FF555555"/>
    <outlinePr summaryBelow="1" summaryRight="1"/>
    <pageSetUpPr/>
  </sheetPr>
  <dimension ref="A1:C9"/>
  <sheetViews>
    <sheetView workbookViewId="0">
      <selection activeCell="A1" sqref="A1"/>
    </sheetView>
  </sheetViews>
  <sheetFormatPr baseColWidth="8" defaultColWidth="14.43" defaultRowHeight="15" customHeight="1"/>
  <cols>
    <col width="30" customWidth="1" style="372" min="1" max="1"/>
    <col width="20" customWidth="1" style="372" min="2" max="2"/>
    <col width="60" customWidth="1" style="372" min="3" max="3"/>
    <col width="8.710000000000001" customWidth="1" style="372" min="4" max="6"/>
  </cols>
  <sheetData>
    <row r="1" ht="39.75" customHeight="1" s="372">
      <c r="A1" s="355" t="inlineStr">
        <is>
          <t>📓  COMPETENCY JOURNALS — Course &amp; Submission Reference</t>
        </is>
      </c>
    </row>
    <row r="2" ht="6" customHeight="1" s="372"/>
    <row r="3" ht="21.75" customHeight="1" s="372">
      <c r="A3" s="340" t="inlineStr">
        <is>
          <t>Competency</t>
        </is>
      </c>
      <c r="B3" s="340" t="inlineStr">
        <is>
          <t>Course</t>
        </is>
      </c>
      <c r="C3" s="340" t="inlineStr">
        <is>
          <t>Journal Activity</t>
        </is>
      </c>
    </row>
    <row r="4" ht="30" customHeight="1" s="372">
      <c r="A4" s="356" t="inlineStr">
        <is>
          <t>Competency 1 – Instructional Leadership</t>
        </is>
      </c>
      <c r="B4" s="357" t="inlineStr">
        <is>
          <t>7815</t>
        </is>
      </c>
      <c r="C4" s="358" t="inlineStr">
        <is>
          <t>Journal 1 – Shadow a Special Education Leader</t>
        </is>
      </c>
    </row>
    <row r="5" ht="30" customHeight="1" s="372">
      <c r="A5" s="359" t="inlineStr">
        <is>
          <t>Competency 2 – Organizational Management</t>
        </is>
      </c>
      <c r="B5" s="360" t="inlineStr">
        <is>
          <t>7811</t>
        </is>
      </c>
      <c r="C5" s="361" t="inlineStr">
        <is>
          <t>Journal 2 – Enhance knowledge of VA competencies</t>
        </is>
      </c>
    </row>
    <row r="6" ht="30" customHeight="1" s="372">
      <c r="A6" s="362" t="inlineStr">
        <is>
          <t>Competency 3 – Operational Management</t>
        </is>
      </c>
      <c r="B6" s="363" t="inlineStr">
        <is>
          <t>7805</t>
        </is>
      </c>
      <c r="C6" s="364" t="inlineStr">
        <is>
          <t>Journal 3 – HR Roadmap aligned experience</t>
        </is>
      </c>
    </row>
    <row r="7" ht="30" customHeight="1" s="372">
      <c r="A7" s="365" t="inlineStr">
        <is>
          <t>Competency 4 – Systemic Equity</t>
        </is>
      </c>
      <c r="B7" s="366" t="inlineStr">
        <is>
          <t>7806</t>
        </is>
      </c>
      <c r="C7" s="367" t="inlineStr">
        <is>
          <t>Journal 4 – Agency/community interview</t>
        </is>
      </c>
    </row>
    <row r="8" ht="30" customHeight="1" s="372">
      <c r="A8" s="368" t="inlineStr">
        <is>
          <t>Competency 5 – Professionalism</t>
        </is>
      </c>
      <c r="B8" s="140" t="inlineStr">
        <is>
          <t>7807</t>
        </is>
      </c>
      <c r="C8" s="139" t="inlineStr">
        <is>
          <t>Journal 5 – Decision reflection with mentor</t>
        </is>
      </c>
    </row>
    <row r="9" ht="30" customHeight="1" s="372">
      <c r="A9" s="369" t="inlineStr">
        <is>
          <t>Competency 6 – Advocacy</t>
        </is>
      </c>
      <c r="B9" s="370" t="inlineStr">
        <is>
          <t>7810</t>
        </is>
      </c>
      <c r="C9" s="371" t="inlineStr">
        <is>
          <t>Journal 6 – School board meeting observation</t>
        </is>
      </c>
    </row>
    <row r="21" ht="15.75" customHeight="1" s="372"/>
    <row r="22" ht="15.75" customHeight="1" s="372"/>
    <row r="23" ht="15.75" customHeight="1" s="372"/>
    <row r="24" ht="15.75" customHeight="1" s="372"/>
    <row r="25" ht="15.75" customHeight="1" s="372"/>
    <row r="26" ht="15.75" customHeight="1" s="372"/>
    <row r="27" ht="15.75" customHeight="1" s="372"/>
    <row r="28" ht="15.75" customHeight="1" s="372"/>
    <row r="29" ht="15.75" customHeight="1" s="372"/>
    <row r="30" ht="15.75" customHeight="1" s="372"/>
    <row r="31" ht="15.75" customHeight="1" s="372"/>
    <row r="32" ht="15.75" customHeight="1" s="372"/>
    <row r="33" ht="15.75" customHeight="1" s="372"/>
    <row r="34" ht="15.75" customHeight="1" s="372"/>
    <row r="35" ht="15.75" customHeight="1" s="372"/>
    <row r="36" ht="15.75" customHeight="1" s="372"/>
    <row r="37" ht="15.75" customHeight="1" s="372"/>
    <row r="38" ht="15.75" customHeight="1" s="372"/>
    <row r="39" ht="15.75" customHeight="1" s="372"/>
    <row r="40" ht="15.75" customHeight="1" s="372"/>
    <row r="41" ht="15.75" customHeight="1" s="372"/>
    <row r="42" ht="15.75" customHeight="1" s="372"/>
    <row r="43" ht="15.75" customHeight="1" s="372"/>
    <row r="44" ht="15.75" customHeight="1" s="372"/>
    <row r="45" ht="15.75" customHeight="1" s="372"/>
    <row r="46" ht="15.75" customHeight="1" s="372"/>
    <row r="47" ht="15.75" customHeight="1" s="372"/>
    <row r="48" ht="15.75" customHeight="1" s="372"/>
    <row r="49" ht="15.75" customHeight="1" s="372"/>
    <row r="50" ht="15.75" customHeight="1" s="372"/>
    <row r="51" ht="15.75" customHeight="1" s="372"/>
    <row r="52" ht="15.75" customHeight="1" s="372"/>
    <row r="53" ht="15.75" customHeight="1" s="372"/>
    <row r="54" ht="15.75" customHeight="1" s="372"/>
    <row r="55" ht="15.75" customHeight="1" s="372"/>
    <row r="56" ht="15.75" customHeight="1" s="372"/>
    <row r="57" ht="15.75" customHeight="1" s="372"/>
    <row r="58" ht="15.75" customHeight="1" s="372"/>
    <row r="59" ht="15.75" customHeight="1" s="372"/>
    <row r="60" ht="15.75" customHeight="1" s="372"/>
    <row r="61" ht="15.75" customHeight="1" s="372"/>
    <row r="62" ht="15.75" customHeight="1" s="372"/>
    <row r="63" ht="15.75" customHeight="1" s="372"/>
    <row r="64" ht="15.75" customHeight="1" s="372"/>
    <row r="65" ht="15.75" customHeight="1" s="372"/>
    <row r="66" ht="15.75" customHeight="1" s="372"/>
    <row r="67" ht="15.75" customHeight="1" s="372"/>
    <row r="68" ht="15.75" customHeight="1" s="372"/>
    <row r="69" ht="15.75" customHeight="1" s="372"/>
    <row r="70" ht="15.75" customHeight="1" s="372"/>
    <row r="71" ht="15.75" customHeight="1" s="372"/>
    <row r="72" ht="15.75" customHeight="1" s="372"/>
    <row r="73" ht="15.75" customHeight="1" s="372"/>
    <row r="74" ht="15.75" customHeight="1" s="372"/>
    <row r="75" ht="15.75" customHeight="1" s="372"/>
    <row r="76" ht="15.75" customHeight="1" s="372"/>
    <row r="77" ht="15.75" customHeight="1" s="372"/>
    <row r="78" ht="15.75" customHeight="1" s="372"/>
    <row r="79" ht="15.75" customHeight="1" s="372"/>
    <row r="80" ht="15.75" customHeight="1" s="372"/>
    <row r="81" ht="15.75" customHeight="1" s="372"/>
    <row r="82" ht="15.75" customHeight="1" s="372"/>
    <row r="83" ht="15.75" customHeight="1" s="372"/>
    <row r="84" ht="15.75" customHeight="1" s="372"/>
    <row r="85" ht="15.75" customHeight="1" s="372"/>
    <row r="86" ht="15.75" customHeight="1" s="372"/>
    <row r="87" ht="15.75" customHeight="1" s="372"/>
    <row r="88" ht="15.75" customHeight="1" s="372"/>
    <row r="89" ht="15.75" customHeight="1" s="372"/>
    <row r="90" ht="15.75" customHeight="1" s="372"/>
    <row r="91" ht="15.75" customHeight="1" s="372"/>
    <row r="92" ht="15.75" customHeight="1" s="372"/>
    <row r="93" ht="15.75" customHeight="1" s="372"/>
    <row r="94" ht="15.75" customHeight="1" s="372"/>
    <row r="95" ht="15.75" customHeight="1" s="372"/>
    <row r="96" ht="15.75" customHeight="1" s="372"/>
    <row r="97" ht="15.75" customHeight="1" s="372"/>
    <row r="98" ht="15.75" customHeight="1" s="372"/>
    <row r="99" ht="15.75" customHeight="1" s="372"/>
    <row r="100" ht="15.75" customHeight="1" s="372"/>
    <row r="101" ht="15.75" customHeight="1" s="372"/>
    <row r="102" ht="15.75" customHeight="1" s="372"/>
    <row r="103" ht="15.75" customHeight="1" s="372"/>
    <row r="104" ht="15.75" customHeight="1" s="372"/>
    <row r="105" ht="15.75" customHeight="1" s="372"/>
    <row r="106" ht="15.75" customHeight="1" s="372"/>
    <row r="107" ht="15.75" customHeight="1" s="372"/>
    <row r="108" ht="15.75" customHeight="1" s="372"/>
    <row r="109" ht="15.75" customHeight="1" s="372"/>
    <row r="110" ht="15.75" customHeight="1" s="372"/>
    <row r="111" ht="15.75" customHeight="1" s="372"/>
    <row r="112" ht="15.75" customHeight="1" s="372"/>
    <row r="113" ht="15.75" customHeight="1" s="372"/>
    <row r="114" ht="15.75" customHeight="1" s="372"/>
    <row r="115" ht="15.75" customHeight="1" s="372"/>
    <row r="116" ht="15.75" customHeight="1" s="372"/>
    <row r="117" ht="15.75" customHeight="1" s="372"/>
    <row r="118" ht="15.75" customHeight="1" s="372"/>
    <row r="119" ht="15.75" customHeight="1" s="372"/>
    <row r="120" ht="15.75" customHeight="1" s="372"/>
    <row r="121" ht="15.75" customHeight="1" s="372"/>
    <row r="122" ht="15.75" customHeight="1" s="372"/>
    <row r="123" ht="15.75" customHeight="1" s="372"/>
    <row r="124" ht="15.75" customHeight="1" s="372"/>
    <row r="125" ht="15.75" customHeight="1" s="372"/>
    <row r="126" ht="15.75" customHeight="1" s="372"/>
    <row r="127" ht="15.75" customHeight="1" s="372"/>
    <row r="128" ht="15.75" customHeight="1" s="372"/>
    <row r="129" ht="15.75" customHeight="1" s="372"/>
    <row r="130" ht="15.75" customHeight="1" s="372"/>
    <row r="131" ht="15.75" customHeight="1" s="372"/>
    <row r="132" ht="15.75" customHeight="1" s="372"/>
    <row r="133" ht="15.75" customHeight="1" s="372"/>
    <row r="134" ht="15.75" customHeight="1" s="372"/>
    <row r="135" ht="15.75" customHeight="1" s="372"/>
    <row r="136" ht="15.75" customHeight="1" s="372"/>
    <row r="137" ht="15.75" customHeight="1" s="372"/>
    <row r="138" ht="15.75" customHeight="1" s="372"/>
    <row r="139" ht="15.75" customHeight="1" s="372"/>
    <row r="140" ht="15.75" customHeight="1" s="372"/>
    <row r="141" ht="15.75" customHeight="1" s="372"/>
    <row r="142" ht="15.75" customHeight="1" s="372"/>
    <row r="143" ht="15.75" customHeight="1" s="372"/>
    <row r="144" ht="15.75" customHeight="1" s="372"/>
    <row r="145" ht="15.75" customHeight="1" s="372"/>
    <row r="146" ht="15.75" customHeight="1" s="372"/>
    <row r="147" ht="15.75" customHeight="1" s="372"/>
    <row r="148" ht="15.75" customHeight="1" s="372"/>
    <row r="149" ht="15.75" customHeight="1" s="372"/>
    <row r="150" ht="15.75" customHeight="1" s="372"/>
    <row r="151" ht="15.75" customHeight="1" s="372"/>
    <row r="152" ht="15.75" customHeight="1" s="372"/>
    <row r="153" ht="15.75" customHeight="1" s="372"/>
    <row r="154" ht="15.75" customHeight="1" s="372"/>
    <row r="155" ht="15.75" customHeight="1" s="372"/>
    <row r="156" ht="15.75" customHeight="1" s="372"/>
    <row r="157" ht="15.75" customHeight="1" s="372"/>
    <row r="158" ht="15.75" customHeight="1" s="372"/>
    <row r="159" ht="15.75" customHeight="1" s="372"/>
    <row r="160" ht="15.75" customHeight="1" s="372"/>
    <row r="161" ht="15.75" customHeight="1" s="372"/>
    <row r="162" ht="15.75" customHeight="1" s="372"/>
    <row r="163" ht="15.75" customHeight="1" s="372"/>
    <row r="164" ht="15.75" customHeight="1" s="372"/>
    <row r="165" ht="15.75" customHeight="1" s="372"/>
    <row r="166" ht="15.75" customHeight="1" s="372"/>
    <row r="167" ht="15.75" customHeight="1" s="372"/>
    <row r="168" ht="15.75" customHeight="1" s="372"/>
    <row r="169" ht="15.75" customHeight="1" s="372"/>
    <row r="170" ht="15.75" customHeight="1" s="372"/>
    <row r="171" ht="15.75" customHeight="1" s="372"/>
    <row r="172" ht="15.75" customHeight="1" s="372"/>
    <row r="173" ht="15.75" customHeight="1" s="372"/>
    <row r="174" ht="15.75" customHeight="1" s="372"/>
    <row r="175" ht="15.75" customHeight="1" s="372"/>
    <row r="176" ht="15.75" customHeight="1" s="372"/>
    <row r="177" ht="15.75" customHeight="1" s="372"/>
    <row r="178" ht="15.75" customHeight="1" s="372"/>
    <row r="179" ht="15.75" customHeight="1" s="372"/>
    <row r="180" ht="15.75" customHeight="1" s="372"/>
    <row r="181" ht="15.75" customHeight="1" s="372"/>
    <row r="182" ht="15.75" customHeight="1" s="372"/>
    <row r="183" ht="15.75" customHeight="1" s="372"/>
    <row r="184" ht="15.75" customHeight="1" s="372"/>
    <row r="185" ht="15.75" customHeight="1" s="372"/>
    <row r="186" ht="15.75" customHeight="1" s="372"/>
    <row r="187" ht="15.75" customHeight="1" s="372"/>
    <row r="188" ht="15.75" customHeight="1" s="372"/>
    <row r="189" ht="15.75" customHeight="1" s="372"/>
    <row r="190" ht="15.75" customHeight="1" s="372"/>
    <row r="191" ht="15.75" customHeight="1" s="372"/>
    <row r="192" ht="15.75" customHeight="1" s="372"/>
    <row r="193" ht="15.75" customHeight="1" s="372"/>
    <row r="194" ht="15.75" customHeight="1" s="372"/>
    <row r="195" ht="15.75" customHeight="1" s="372"/>
    <row r="196" ht="15.75" customHeight="1" s="372"/>
    <row r="197" ht="15.75" customHeight="1" s="372"/>
    <row r="198" ht="15.75" customHeight="1" s="372"/>
    <row r="199" ht="15.75" customHeight="1" s="372"/>
    <row r="200" ht="15.75" customHeight="1" s="372"/>
    <row r="201" ht="15.75" customHeight="1" s="372"/>
    <row r="202" ht="15.75" customHeight="1" s="372"/>
    <row r="203" ht="15.75" customHeight="1" s="372"/>
    <row r="204" ht="15.75" customHeight="1" s="372"/>
    <row r="205" ht="15.75" customHeight="1" s="372"/>
    <row r="206" ht="15.75" customHeight="1" s="372"/>
    <row r="207" ht="15.75" customHeight="1" s="372"/>
    <row r="208" ht="15.75" customHeight="1" s="372"/>
    <row r="209" ht="15.75" customHeight="1" s="372"/>
    <row r="210" ht="15.75" customHeight="1" s="372"/>
    <row r="211" ht="15.75" customHeight="1" s="372"/>
    <row r="212" ht="15.75" customHeight="1" s="372"/>
    <row r="213" ht="15.75" customHeight="1" s="372"/>
    <row r="214" ht="15.75" customHeight="1" s="372"/>
    <row r="215" ht="15.75" customHeight="1" s="372"/>
    <row r="216" ht="15.75" customHeight="1" s="372"/>
    <row r="217" ht="15.75" customHeight="1" s="372"/>
    <row r="218" ht="15.75" customHeight="1" s="372"/>
    <row r="219" ht="15.75" customHeight="1" s="372"/>
    <row r="220" ht="15.75" customHeight="1" s="372"/>
    <row r="221" ht="15.75" customHeight="1" s="372"/>
    <row r="222" ht="15.75" customHeight="1" s="372"/>
    <row r="223" ht="15.75" customHeight="1" s="372"/>
    <row r="224" ht="15.75" customHeight="1" s="372"/>
    <row r="225" ht="15.75" customHeight="1" s="372"/>
    <row r="226" ht="15.75" customHeight="1" s="372"/>
    <row r="227" ht="15.75" customHeight="1" s="372"/>
    <row r="228" ht="15.75" customHeight="1" s="372"/>
    <row r="229" ht="15.75" customHeight="1" s="372"/>
    <row r="230" ht="15.75" customHeight="1" s="372"/>
    <row r="231" ht="15.75" customHeight="1" s="372"/>
    <row r="232" ht="15.75" customHeight="1" s="372"/>
    <row r="233" ht="15.75" customHeight="1" s="372"/>
    <row r="234" ht="15.75" customHeight="1" s="372"/>
    <row r="235" ht="15.75" customHeight="1" s="372"/>
    <row r="236" ht="15.75" customHeight="1" s="372"/>
    <row r="237" ht="15.75" customHeight="1" s="372"/>
    <row r="238" ht="15.75" customHeight="1" s="372"/>
    <row r="239" ht="15.75" customHeight="1" s="372"/>
    <row r="240" ht="15.75" customHeight="1" s="372"/>
    <row r="241" ht="15.75" customHeight="1" s="372"/>
    <row r="242" ht="15.75" customHeight="1" s="372"/>
    <row r="243" ht="15.75" customHeight="1" s="372"/>
    <row r="244" ht="15.75" customHeight="1" s="372"/>
    <row r="245" ht="15.75" customHeight="1" s="372"/>
    <row r="246" ht="15.75" customHeight="1" s="372"/>
    <row r="247" ht="15.75" customHeight="1" s="372"/>
    <row r="248" ht="15.75" customHeight="1" s="372"/>
    <row r="249" ht="15.75" customHeight="1" s="372"/>
    <row r="250" ht="15.75" customHeight="1" s="372"/>
    <row r="251" ht="15.75" customHeight="1" s="372"/>
    <row r="252" ht="15.75" customHeight="1" s="372"/>
    <row r="253" ht="15.75" customHeight="1" s="372"/>
    <row r="254" ht="15.75" customHeight="1" s="372"/>
    <row r="255" ht="15.75" customHeight="1" s="372"/>
    <row r="256" ht="15.75" customHeight="1" s="372"/>
    <row r="257" ht="15.75" customHeight="1" s="372"/>
    <row r="258" ht="15.75" customHeight="1" s="372"/>
    <row r="259" ht="15.75" customHeight="1" s="372"/>
    <row r="260" ht="15.75" customHeight="1" s="372"/>
    <row r="261" ht="15.75" customHeight="1" s="372"/>
    <row r="262" ht="15.75" customHeight="1" s="372"/>
    <row r="263" ht="15.75" customHeight="1" s="372"/>
    <row r="264" ht="15.75" customHeight="1" s="372"/>
    <row r="265" ht="15.75" customHeight="1" s="372"/>
    <row r="266" ht="15.75" customHeight="1" s="372"/>
    <row r="267" ht="15.75" customHeight="1" s="372"/>
    <row r="268" ht="15.75" customHeight="1" s="372"/>
    <row r="269" ht="15.75" customHeight="1" s="372"/>
    <row r="270" ht="15.75" customHeight="1" s="372"/>
    <row r="271" ht="15.75" customHeight="1" s="372"/>
    <row r="272" ht="15.75" customHeight="1" s="372"/>
    <row r="273" ht="15.75" customHeight="1" s="372"/>
    <row r="274" ht="15.75" customHeight="1" s="372"/>
    <row r="275" ht="15.75" customHeight="1" s="372"/>
    <row r="276" ht="15.75" customHeight="1" s="372"/>
    <row r="277" ht="15.75" customHeight="1" s="372"/>
    <row r="278" ht="15.75" customHeight="1" s="372"/>
    <row r="279" ht="15.75" customHeight="1" s="372"/>
    <row r="280" ht="15.75" customHeight="1" s="372"/>
    <row r="281" ht="15.75" customHeight="1" s="372"/>
    <row r="282" ht="15.75" customHeight="1" s="372"/>
    <row r="283" ht="15.75" customHeight="1" s="372"/>
    <row r="284" ht="15.75" customHeight="1" s="372"/>
    <row r="285" ht="15.75" customHeight="1" s="372"/>
    <row r="286" ht="15.75" customHeight="1" s="372"/>
    <row r="287" ht="15.75" customHeight="1" s="372"/>
    <row r="288" ht="15.75" customHeight="1" s="372"/>
    <row r="289" ht="15.75" customHeight="1" s="372"/>
    <row r="290" ht="15.75" customHeight="1" s="372"/>
    <row r="291" ht="15.75" customHeight="1" s="372"/>
    <row r="292" ht="15.75" customHeight="1" s="372"/>
    <row r="293" ht="15.75" customHeight="1" s="372"/>
    <row r="294" ht="15.75" customHeight="1" s="372"/>
    <row r="295" ht="15.75" customHeight="1" s="372"/>
    <row r="296" ht="15.75" customHeight="1" s="372"/>
    <row r="297" ht="15.75" customHeight="1" s="372"/>
    <row r="298" ht="15.75" customHeight="1" s="372"/>
    <row r="299" ht="15.75" customHeight="1" s="372"/>
    <row r="300" ht="15.75" customHeight="1" s="372"/>
    <row r="301" ht="15.75" customHeight="1" s="372"/>
    <row r="302" ht="15.75" customHeight="1" s="372"/>
    <row r="303" ht="15.75" customHeight="1" s="372"/>
    <row r="304" ht="15.75" customHeight="1" s="372"/>
    <row r="305" ht="15.75" customHeight="1" s="372"/>
    <row r="306" ht="15.75" customHeight="1" s="372"/>
    <row r="307" ht="15.75" customHeight="1" s="372"/>
    <row r="308" ht="15.75" customHeight="1" s="372"/>
    <row r="309" ht="15.75" customHeight="1" s="372"/>
    <row r="310" ht="15.75" customHeight="1" s="372"/>
    <row r="311" ht="15.75" customHeight="1" s="372"/>
    <row r="312" ht="15.75" customHeight="1" s="372"/>
    <row r="313" ht="15.75" customHeight="1" s="372"/>
    <row r="314" ht="15.75" customHeight="1" s="372"/>
    <row r="315" ht="15.75" customHeight="1" s="372"/>
    <row r="316" ht="15.75" customHeight="1" s="372"/>
    <row r="317" ht="15.75" customHeight="1" s="372"/>
    <row r="318" ht="15.75" customHeight="1" s="372"/>
    <row r="319" ht="15.75" customHeight="1" s="372"/>
    <row r="320" ht="15.75" customHeight="1" s="372"/>
    <row r="321" ht="15.75" customHeight="1" s="372"/>
    <row r="322" ht="15.75" customHeight="1" s="372"/>
    <row r="323" ht="15.75" customHeight="1" s="372"/>
    <row r="324" ht="15.75" customHeight="1" s="372"/>
    <row r="325" ht="15.75" customHeight="1" s="372"/>
    <row r="326" ht="15.75" customHeight="1" s="372"/>
    <row r="327" ht="15.75" customHeight="1" s="372"/>
    <row r="328" ht="15.75" customHeight="1" s="372"/>
    <row r="329" ht="15.75" customHeight="1" s="372"/>
    <row r="330" ht="15.75" customHeight="1" s="372"/>
    <row r="331" ht="15.75" customHeight="1" s="372"/>
    <row r="332" ht="15.75" customHeight="1" s="372"/>
    <row r="333" ht="15.75" customHeight="1" s="372"/>
    <row r="334" ht="15.75" customHeight="1" s="372"/>
    <row r="335" ht="15.75" customHeight="1" s="372"/>
    <row r="336" ht="15.75" customHeight="1" s="372"/>
    <row r="337" ht="15.75" customHeight="1" s="372"/>
    <row r="338" ht="15.75" customHeight="1" s="372"/>
    <row r="339" ht="15.75" customHeight="1" s="372"/>
    <row r="340" ht="15.75" customHeight="1" s="372"/>
    <row r="341" ht="15.75" customHeight="1" s="372"/>
    <row r="342" ht="15.75" customHeight="1" s="372"/>
    <row r="343" ht="15.75" customHeight="1" s="372"/>
    <row r="344" ht="15.75" customHeight="1" s="372"/>
    <row r="345" ht="15.75" customHeight="1" s="372"/>
    <row r="346" ht="15.75" customHeight="1" s="372"/>
    <row r="347" ht="15.75" customHeight="1" s="372"/>
    <row r="348" ht="15.75" customHeight="1" s="372"/>
    <row r="349" ht="15.75" customHeight="1" s="372"/>
    <row r="350" ht="15.75" customHeight="1" s="372"/>
    <row r="351" ht="15.75" customHeight="1" s="372"/>
    <row r="352" ht="15.75" customHeight="1" s="372"/>
    <row r="353" ht="15.75" customHeight="1" s="372"/>
    <row r="354" ht="15.75" customHeight="1" s="372"/>
    <row r="355" ht="15.75" customHeight="1" s="372"/>
    <row r="356" ht="15.75" customHeight="1" s="372"/>
    <row r="357" ht="15.75" customHeight="1" s="372"/>
    <row r="358" ht="15.75" customHeight="1" s="372"/>
    <row r="359" ht="15.75" customHeight="1" s="372"/>
    <row r="360" ht="15.75" customHeight="1" s="372"/>
    <row r="361" ht="15.75" customHeight="1" s="372"/>
    <row r="362" ht="15.75" customHeight="1" s="372"/>
    <row r="363" ht="15.75" customHeight="1" s="372"/>
    <row r="364" ht="15.75" customHeight="1" s="372"/>
    <row r="365" ht="15.75" customHeight="1" s="372"/>
    <row r="366" ht="15.75" customHeight="1" s="372"/>
    <row r="367" ht="15.75" customHeight="1" s="372"/>
    <row r="368" ht="15.75" customHeight="1" s="372"/>
    <row r="369" ht="15.75" customHeight="1" s="372"/>
    <row r="370" ht="15.75" customHeight="1" s="372"/>
    <row r="371" ht="15.75" customHeight="1" s="372"/>
    <row r="372" ht="15.75" customHeight="1" s="372"/>
    <row r="373" ht="15.75" customHeight="1" s="372"/>
    <row r="374" ht="15.75" customHeight="1" s="372"/>
    <row r="375" ht="15.75" customHeight="1" s="372"/>
    <row r="376" ht="15.75" customHeight="1" s="372"/>
    <row r="377" ht="15.75" customHeight="1" s="372"/>
    <row r="378" ht="15.75" customHeight="1" s="372"/>
    <row r="379" ht="15.75" customHeight="1" s="372"/>
    <row r="380" ht="15.75" customHeight="1" s="372"/>
    <row r="381" ht="15.75" customHeight="1" s="372"/>
    <row r="382" ht="15.75" customHeight="1" s="372"/>
    <row r="383" ht="15.75" customHeight="1" s="372"/>
    <row r="384" ht="15.75" customHeight="1" s="372"/>
    <row r="385" ht="15.75" customHeight="1" s="372"/>
    <row r="386" ht="15.75" customHeight="1" s="372"/>
    <row r="387" ht="15.75" customHeight="1" s="372"/>
    <row r="388" ht="15.75" customHeight="1" s="372"/>
    <row r="389" ht="15.75" customHeight="1" s="372"/>
    <row r="390" ht="15.75" customHeight="1" s="372"/>
    <row r="391" ht="15.75" customHeight="1" s="372"/>
    <row r="392" ht="15.75" customHeight="1" s="372"/>
    <row r="393" ht="15.75" customHeight="1" s="372"/>
    <row r="394" ht="15.75" customHeight="1" s="372"/>
    <row r="395" ht="15.75" customHeight="1" s="372"/>
    <row r="396" ht="15.75" customHeight="1" s="372"/>
    <row r="397" ht="15.75" customHeight="1" s="372"/>
    <row r="398" ht="15.75" customHeight="1" s="372"/>
    <row r="399" ht="15.75" customHeight="1" s="372"/>
    <row r="400" ht="15.75" customHeight="1" s="372"/>
    <row r="401" ht="15.75" customHeight="1" s="372"/>
    <row r="402" ht="15.75" customHeight="1" s="372"/>
    <row r="403" ht="15.75" customHeight="1" s="372"/>
    <row r="404" ht="15.75" customHeight="1" s="372"/>
    <row r="405" ht="15.75" customHeight="1" s="372"/>
    <row r="406" ht="15.75" customHeight="1" s="372"/>
    <row r="407" ht="15.75" customHeight="1" s="372"/>
    <row r="408" ht="15.75" customHeight="1" s="372"/>
    <row r="409" ht="15.75" customHeight="1" s="372"/>
    <row r="410" ht="15.75" customHeight="1" s="372"/>
    <row r="411" ht="15.75" customHeight="1" s="372"/>
    <row r="412" ht="15.75" customHeight="1" s="372"/>
    <row r="413" ht="15.75" customHeight="1" s="372"/>
    <row r="414" ht="15.75" customHeight="1" s="372"/>
    <row r="415" ht="15.75" customHeight="1" s="372"/>
    <row r="416" ht="15.75" customHeight="1" s="372"/>
    <row r="417" ht="15.75" customHeight="1" s="372"/>
    <row r="418" ht="15.75" customHeight="1" s="372"/>
    <row r="419" ht="15.75" customHeight="1" s="372"/>
    <row r="420" ht="15.75" customHeight="1" s="372"/>
    <row r="421" ht="15.75" customHeight="1" s="372"/>
    <row r="422" ht="15.75" customHeight="1" s="372"/>
    <row r="423" ht="15.75" customHeight="1" s="372"/>
    <row r="424" ht="15.75" customHeight="1" s="372"/>
    <row r="425" ht="15.75" customHeight="1" s="372"/>
    <row r="426" ht="15.75" customHeight="1" s="372"/>
    <row r="427" ht="15.75" customHeight="1" s="372"/>
    <row r="428" ht="15.75" customHeight="1" s="372"/>
    <row r="429" ht="15.75" customHeight="1" s="372"/>
    <row r="430" ht="15.75" customHeight="1" s="372"/>
    <row r="431" ht="15.75" customHeight="1" s="372"/>
    <row r="432" ht="15.75" customHeight="1" s="372"/>
    <row r="433" ht="15.75" customHeight="1" s="372"/>
    <row r="434" ht="15.75" customHeight="1" s="372"/>
    <row r="435" ht="15.75" customHeight="1" s="372"/>
    <row r="436" ht="15.75" customHeight="1" s="372"/>
    <row r="437" ht="15.75" customHeight="1" s="372"/>
    <row r="438" ht="15.75" customHeight="1" s="372"/>
    <row r="439" ht="15.75" customHeight="1" s="372"/>
    <row r="440" ht="15.75" customHeight="1" s="372"/>
    <row r="441" ht="15.75" customHeight="1" s="372"/>
    <row r="442" ht="15.75" customHeight="1" s="372"/>
    <row r="443" ht="15.75" customHeight="1" s="372"/>
    <row r="444" ht="15.75" customHeight="1" s="372"/>
    <row r="445" ht="15.75" customHeight="1" s="372"/>
    <row r="446" ht="15.75" customHeight="1" s="372"/>
    <row r="447" ht="15.75" customHeight="1" s="372"/>
    <row r="448" ht="15.75" customHeight="1" s="372"/>
    <row r="449" ht="15.75" customHeight="1" s="372"/>
    <row r="450" ht="15.75" customHeight="1" s="372"/>
    <row r="451" ht="15.75" customHeight="1" s="372"/>
    <row r="452" ht="15.75" customHeight="1" s="372"/>
    <row r="453" ht="15.75" customHeight="1" s="372"/>
    <row r="454" ht="15.75" customHeight="1" s="372"/>
    <row r="455" ht="15.75" customHeight="1" s="372"/>
    <row r="456" ht="15.75" customHeight="1" s="372"/>
    <row r="457" ht="15.75" customHeight="1" s="372"/>
    <row r="458" ht="15.75" customHeight="1" s="372"/>
    <row r="459" ht="15.75" customHeight="1" s="372"/>
    <row r="460" ht="15.75" customHeight="1" s="372"/>
    <row r="461" ht="15.75" customHeight="1" s="372"/>
    <row r="462" ht="15.75" customHeight="1" s="372"/>
    <row r="463" ht="15.75" customHeight="1" s="372"/>
    <row r="464" ht="15.75" customHeight="1" s="372"/>
    <row r="465" ht="15.75" customHeight="1" s="372"/>
    <row r="466" ht="15.75" customHeight="1" s="372"/>
    <row r="467" ht="15.75" customHeight="1" s="372"/>
    <row r="468" ht="15.75" customHeight="1" s="372"/>
    <row r="469" ht="15.75" customHeight="1" s="372"/>
    <row r="470" ht="15.75" customHeight="1" s="372"/>
    <row r="471" ht="15.75" customHeight="1" s="372"/>
    <row r="472" ht="15.75" customHeight="1" s="372"/>
    <row r="473" ht="15.75" customHeight="1" s="372"/>
    <row r="474" ht="15.75" customHeight="1" s="372"/>
    <row r="475" ht="15.75" customHeight="1" s="372"/>
    <row r="476" ht="15.75" customHeight="1" s="372"/>
    <row r="477" ht="15.75" customHeight="1" s="372"/>
    <row r="478" ht="15.75" customHeight="1" s="372"/>
    <row r="479" ht="15.75" customHeight="1" s="372"/>
    <row r="480" ht="15.75" customHeight="1" s="372"/>
    <row r="481" ht="15.75" customHeight="1" s="372"/>
    <row r="482" ht="15.75" customHeight="1" s="372"/>
    <row r="483" ht="15.75" customHeight="1" s="372"/>
    <row r="484" ht="15.75" customHeight="1" s="372"/>
    <row r="485" ht="15.75" customHeight="1" s="372"/>
    <row r="486" ht="15.75" customHeight="1" s="372"/>
    <row r="487" ht="15.75" customHeight="1" s="372"/>
    <row r="488" ht="15.75" customHeight="1" s="372"/>
    <row r="489" ht="15.75" customHeight="1" s="372"/>
    <row r="490" ht="15.75" customHeight="1" s="372"/>
    <row r="491" ht="15.75" customHeight="1" s="372"/>
    <row r="492" ht="15.75" customHeight="1" s="372"/>
    <row r="493" ht="15.75" customHeight="1" s="372"/>
    <row r="494" ht="15.75" customHeight="1" s="372"/>
    <row r="495" ht="15.75" customHeight="1" s="372"/>
    <row r="496" ht="15.75" customHeight="1" s="372"/>
    <row r="497" ht="15.75" customHeight="1" s="372"/>
    <row r="498" ht="15.75" customHeight="1" s="372"/>
    <row r="499" ht="15.75" customHeight="1" s="372"/>
    <row r="500" ht="15.75" customHeight="1" s="372"/>
    <row r="501" ht="15.75" customHeight="1" s="372"/>
    <row r="502" ht="15.75" customHeight="1" s="372"/>
    <row r="503" ht="15.75" customHeight="1" s="372"/>
    <row r="504" ht="15.75" customHeight="1" s="372"/>
    <row r="505" ht="15.75" customHeight="1" s="372"/>
    <row r="506" ht="15.75" customHeight="1" s="372"/>
    <row r="507" ht="15.75" customHeight="1" s="372"/>
    <row r="508" ht="15.75" customHeight="1" s="372"/>
    <row r="509" ht="15.75" customHeight="1" s="372"/>
    <row r="510" ht="15.75" customHeight="1" s="372"/>
    <row r="511" ht="15.75" customHeight="1" s="372"/>
    <row r="512" ht="15.75" customHeight="1" s="372"/>
    <row r="513" ht="15.75" customHeight="1" s="372"/>
    <row r="514" ht="15.75" customHeight="1" s="372"/>
    <row r="515" ht="15.75" customHeight="1" s="372"/>
    <row r="516" ht="15.75" customHeight="1" s="372"/>
    <row r="517" ht="15.75" customHeight="1" s="372"/>
    <row r="518" ht="15.75" customHeight="1" s="372"/>
    <row r="519" ht="15.75" customHeight="1" s="372"/>
    <row r="520" ht="15.75" customHeight="1" s="372"/>
    <row r="521" ht="15.75" customHeight="1" s="372"/>
    <row r="522" ht="15.75" customHeight="1" s="372"/>
    <row r="523" ht="15.75" customHeight="1" s="372"/>
    <row r="524" ht="15.75" customHeight="1" s="372"/>
    <row r="525" ht="15.75" customHeight="1" s="372"/>
    <row r="526" ht="15.75" customHeight="1" s="372"/>
    <row r="527" ht="15.75" customHeight="1" s="372"/>
    <row r="528" ht="15.75" customHeight="1" s="372"/>
    <row r="529" ht="15.75" customHeight="1" s="372"/>
    <row r="530" ht="15.75" customHeight="1" s="372"/>
    <row r="531" ht="15.75" customHeight="1" s="372"/>
    <row r="532" ht="15.75" customHeight="1" s="372"/>
    <row r="533" ht="15.75" customHeight="1" s="372"/>
    <row r="534" ht="15.75" customHeight="1" s="372"/>
    <row r="535" ht="15.75" customHeight="1" s="372"/>
    <row r="536" ht="15.75" customHeight="1" s="372"/>
    <row r="537" ht="15.75" customHeight="1" s="372"/>
    <row r="538" ht="15.75" customHeight="1" s="372"/>
    <row r="539" ht="15.75" customHeight="1" s="372"/>
    <row r="540" ht="15.75" customHeight="1" s="372"/>
    <row r="541" ht="15.75" customHeight="1" s="372"/>
    <row r="542" ht="15.75" customHeight="1" s="372"/>
    <row r="543" ht="15.75" customHeight="1" s="372"/>
    <row r="544" ht="15.75" customHeight="1" s="372"/>
    <row r="545" ht="15.75" customHeight="1" s="372"/>
    <row r="546" ht="15.75" customHeight="1" s="372"/>
    <row r="547" ht="15.75" customHeight="1" s="372"/>
    <row r="548" ht="15.75" customHeight="1" s="372"/>
    <row r="549" ht="15.75" customHeight="1" s="372"/>
    <row r="550" ht="15.75" customHeight="1" s="372"/>
    <row r="551" ht="15.75" customHeight="1" s="372"/>
    <row r="552" ht="15.75" customHeight="1" s="372"/>
    <row r="553" ht="15.75" customHeight="1" s="372"/>
    <row r="554" ht="15.75" customHeight="1" s="372"/>
    <row r="555" ht="15.75" customHeight="1" s="372"/>
    <row r="556" ht="15.75" customHeight="1" s="372"/>
    <row r="557" ht="15.75" customHeight="1" s="372"/>
    <row r="558" ht="15.75" customHeight="1" s="372"/>
    <row r="559" ht="15.75" customHeight="1" s="372"/>
    <row r="560" ht="15.75" customHeight="1" s="372"/>
    <row r="561" ht="15.75" customHeight="1" s="372"/>
    <row r="562" ht="15.75" customHeight="1" s="372"/>
    <row r="563" ht="15.75" customHeight="1" s="372"/>
    <row r="564" ht="15.75" customHeight="1" s="372"/>
    <row r="565" ht="15.75" customHeight="1" s="372"/>
    <row r="566" ht="15.75" customHeight="1" s="372"/>
    <row r="567" ht="15.75" customHeight="1" s="372"/>
    <row r="568" ht="15.75" customHeight="1" s="372"/>
    <row r="569" ht="15.75" customHeight="1" s="372"/>
    <row r="570" ht="15.75" customHeight="1" s="372"/>
    <row r="571" ht="15.75" customHeight="1" s="372"/>
    <row r="572" ht="15.75" customHeight="1" s="372"/>
    <row r="573" ht="15.75" customHeight="1" s="372"/>
    <row r="574" ht="15.75" customHeight="1" s="372"/>
    <row r="575" ht="15.75" customHeight="1" s="372"/>
    <row r="576" ht="15.75" customHeight="1" s="372"/>
    <row r="577" ht="15.75" customHeight="1" s="372"/>
    <row r="578" ht="15.75" customHeight="1" s="372"/>
    <row r="579" ht="15.75" customHeight="1" s="372"/>
    <row r="580" ht="15.75" customHeight="1" s="372"/>
    <row r="581" ht="15.75" customHeight="1" s="372"/>
    <row r="582" ht="15.75" customHeight="1" s="372"/>
    <row r="583" ht="15.75" customHeight="1" s="372"/>
    <row r="584" ht="15.75" customHeight="1" s="372"/>
    <row r="585" ht="15.75" customHeight="1" s="372"/>
    <row r="586" ht="15.75" customHeight="1" s="372"/>
    <row r="587" ht="15.75" customHeight="1" s="372"/>
    <row r="588" ht="15.75" customHeight="1" s="372"/>
    <row r="589" ht="15.75" customHeight="1" s="372"/>
    <row r="590" ht="15.75" customHeight="1" s="372"/>
    <row r="591" ht="15.75" customHeight="1" s="372"/>
    <row r="592" ht="15.75" customHeight="1" s="372"/>
    <row r="593" ht="15.75" customHeight="1" s="372"/>
    <row r="594" ht="15.75" customHeight="1" s="372"/>
    <row r="595" ht="15.75" customHeight="1" s="372"/>
    <row r="596" ht="15.75" customHeight="1" s="372"/>
    <row r="597" ht="15.75" customHeight="1" s="372"/>
    <row r="598" ht="15.75" customHeight="1" s="372"/>
    <row r="599" ht="15.75" customHeight="1" s="372"/>
    <row r="600" ht="15.75" customHeight="1" s="372"/>
    <row r="601" ht="15.75" customHeight="1" s="372"/>
    <row r="602" ht="15.75" customHeight="1" s="372"/>
    <row r="603" ht="15.75" customHeight="1" s="372"/>
    <row r="604" ht="15.75" customHeight="1" s="372"/>
    <row r="605" ht="15.75" customHeight="1" s="372"/>
    <row r="606" ht="15.75" customHeight="1" s="372"/>
    <row r="607" ht="15.75" customHeight="1" s="372"/>
    <row r="608" ht="15.75" customHeight="1" s="372"/>
    <row r="609" ht="15.75" customHeight="1" s="372"/>
    <row r="610" ht="15.75" customHeight="1" s="372"/>
    <row r="611" ht="15.75" customHeight="1" s="372"/>
    <row r="612" ht="15.75" customHeight="1" s="372"/>
    <row r="613" ht="15.75" customHeight="1" s="372"/>
    <row r="614" ht="15.75" customHeight="1" s="372"/>
    <row r="615" ht="15.75" customHeight="1" s="372"/>
    <row r="616" ht="15.75" customHeight="1" s="372"/>
    <row r="617" ht="15.75" customHeight="1" s="372"/>
    <row r="618" ht="15.75" customHeight="1" s="372"/>
    <row r="619" ht="15.75" customHeight="1" s="372"/>
    <row r="620" ht="15.75" customHeight="1" s="372"/>
    <row r="621" ht="15.75" customHeight="1" s="372"/>
    <row r="622" ht="15.75" customHeight="1" s="372"/>
    <row r="623" ht="15.75" customHeight="1" s="372"/>
    <row r="624" ht="15.75" customHeight="1" s="372"/>
    <row r="625" ht="15.75" customHeight="1" s="372"/>
    <row r="626" ht="15.75" customHeight="1" s="372"/>
    <row r="627" ht="15.75" customHeight="1" s="372"/>
    <row r="628" ht="15.75" customHeight="1" s="372"/>
    <row r="629" ht="15.75" customHeight="1" s="372"/>
    <row r="630" ht="15.75" customHeight="1" s="372"/>
    <row r="631" ht="15.75" customHeight="1" s="372"/>
    <row r="632" ht="15.75" customHeight="1" s="372"/>
    <row r="633" ht="15.75" customHeight="1" s="372"/>
    <row r="634" ht="15.75" customHeight="1" s="372"/>
    <row r="635" ht="15.75" customHeight="1" s="372"/>
    <row r="636" ht="15.75" customHeight="1" s="372"/>
    <row r="637" ht="15.75" customHeight="1" s="372"/>
    <row r="638" ht="15.75" customHeight="1" s="372"/>
    <row r="639" ht="15.75" customHeight="1" s="372"/>
    <row r="640" ht="15.75" customHeight="1" s="372"/>
    <row r="641" ht="15.75" customHeight="1" s="372"/>
    <row r="642" ht="15.75" customHeight="1" s="372"/>
    <row r="643" ht="15.75" customHeight="1" s="372"/>
    <row r="644" ht="15.75" customHeight="1" s="372"/>
    <row r="645" ht="15.75" customHeight="1" s="372"/>
    <row r="646" ht="15.75" customHeight="1" s="372"/>
    <row r="647" ht="15.75" customHeight="1" s="372"/>
    <row r="648" ht="15.75" customHeight="1" s="372"/>
    <row r="649" ht="15.75" customHeight="1" s="372"/>
    <row r="650" ht="15.75" customHeight="1" s="372"/>
    <row r="651" ht="15.75" customHeight="1" s="372"/>
    <row r="652" ht="15.75" customHeight="1" s="372"/>
    <row r="653" ht="15.75" customHeight="1" s="372"/>
    <row r="654" ht="15.75" customHeight="1" s="372"/>
    <row r="655" ht="15.75" customHeight="1" s="372"/>
    <row r="656" ht="15.75" customHeight="1" s="372"/>
    <row r="657" ht="15.75" customHeight="1" s="372"/>
    <row r="658" ht="15.75" customHeight="1" s="372"/>
    <row r="659" ht="15.75" customHeight="1" s="372"/>
    <row r="660" ht="15.75" customHeight="1" s="372"/>
    <row r="661" ht="15.75" customHeight="1" s="372"/>
    <row r="662" ht="15.75" customHeight="1" s="372"/>
    <row r="663" ht="15.75" customHeight="1" s="372"/>
    <row r="664" ht="15.75" customHeight="1" s="372"/>
    <row r="665" ht="15.75" customHeight="1" s="372"/>
    <row r="666" ht="15.75" customHeight="1" s="372"/>
    <row r="667" ht="15.75" customHeight="1" s="372"/>
    <row r="668" ht="15.75" customHeight="1" s="372"/>
    <row r="669" ht="15.75" customHeight="1" s="372"/>
    <row r="670" ht="15.75" customHeight="1" s="372"/>
    <row r="671" ht="15.75" customHeight="1" s="372"/>
    <row r="672" ht="15.75" customHeight="1" s="372"/>
    <row r="673" ht="15.75" customHeight="1" s="372"/>
    <row r="674" ht="15.75" customHeight="1" s="372"/>
    <row r="675" ht="15.75" customHeight="1" s="372"/>
    <row r="676" ht="15.75" customHeight="1" s="372"/>
    <row r="677" ht="15.75" customHeight="1" s="372"/>
    <row r="678" ht="15.75" customHeight="1" s="372"/>
    <row r="679" ht="15.75" customHeight="1" s="372"/>
    <row r="680" ht="15.75" customHeight="1" s="372"/>
    <row r="681" ht="15.75" customHeight="1" s="372"/>
    <row r="682" ht="15.75" customHeight="1" s="372"/>
    <row r="683" ht="15.75" customHeight="1" s="372"/>
    <row r="684" ht="15.75" customHeight="1" s="372"/>
    <row r="685" ht="15.75" customHeight="1" s="372"/>
    <row r="686" ht="15.75" customHeight="1" s="372"/>
    <row r="687" ht="15.75" customHeight="1" s="372"/>
    <row r="688" ht="15.75" customHeight="1" s="372"/>
    <row r="689" ht="15.75" customHeight="1" s="372"/>
    <row r="690" ht="15.75" customHeight="1" s="372"/>
    <row r="691" ht="15.75" customHeight="1" s="372"/>
    <row r="692" ht="15.75" customHeight="1" s="372"/>
    <row r="693" ht="15.75" customHeight="1" s="372"/>
    <row r="694" ht="15.75" customHeight="1" s="372"/>
    <row r="695" ht="15.75" customHeight="1" s="372"/>
    <row r="696" ht="15.75" customHeight="1" s="372"/>
    <row r="697" ht="15.75" customHeight="1" s="372"/>
    <row r="698" ht="15.75" customHeight="1" s="372"/>
    <row r="699" ht="15.75" customHeight="1" s="372"/>
    <row r="700" ht="15.75" customHeight="1" s="372"/>
    <row r="701" ht="15.75" customHeight="1" s="372"/>
    <row r="702" ht="15.75" customHeight="1" s="372"/>
    <row r="703" ht="15.75" customHeight="1" s="372"/>
    <row r="704" ht="15.75" customHeight="1" s="372"/>
    <row r="705" ht="15.75" customHeight="1" s="372"/>
    <row r="706" ht="15.75" customHeight="1" s="372"/>
    <row r="707" ht="15.75" customHeight="1" s="372"/>
    <row r="708" ht="15.75" customHeight="1" s="372"/>
    <row r="709" ht="15.75" customHeight="1" s="372"/>
    <row r="710" ht="15.75" customHeight="1" s="372"/>
    <row r="711" ht="15.75" customHeight="1" s="372"/>
    <row r="712" ht="15.75" customHeight="1" s="372"/>
    <row r="713" ht="15.75" customHeight="1" s="372"/>
    <row r="714" ht="15.75" customHeight="1" s="372"/>
    <row r="715" ht="15.75" customHeight="1" s="372"/>
    <row r="716" ht="15.75" customHeight="1" s="372"/>
    <row r="717" ht="15.75" customHeight="1" s="372"/>
    <row r="718" ht="15.75" customHeight="1" s="372"/>
    <row r="719" ht="15.75" customHeight="1" s="372"/>
    <row r="720" ht="15.75" customHeight="1" s="372"/>
    <row r="721" ht="15.75" customHeight="1" s="372"/>
    <row r="722" ht="15.75" customHeight="1" s="372"/>
    <row r="723" ht="15.75" customHeight="1" s="372"/>
    <row r="724" ht="15.75" customHeight="1" s="372"/>
    <row r="725" ht="15.75" customHeight="1" s="372"/>
    <row r="726" ht="15.75" customHeight="1" s="372"/>
    <row r="727" ht="15.75" customHeight="1" s="372"/>
    <row r="728" ht="15.75" customHeight="1" s="372"/>
    <row r="729" ht="15.75" customHeight="1" s="372"/>
    <row r="730" ht="15.75" customHeight="1" s="372"/>
    <row r="731" ht="15.75" customHeight="1" s="372"/>
    <row r="732" ht="15.75" customHeight="1" s="372"/>
    <row r="733" ht="15.75" customHeight="1" s="372"/>
    <row r="734" ht="15.75" customHeight="1" s="372"/>
    <row r="735" ht="15.75" customHeight="1" s="372"/>
    <row r="736" ht="15.75" customHeight="1" s="372"/>
    <row r="737" ht="15.75" customHeight="1" s="372"/>
    <row r="738" ht="15.75" customHeight="1" s="372"/>
    <row r="739" ht="15.75" customHeight="1" s="372"/>
    <row r="740" ht="15.75" customHeight="1" s="372"/>
    <row r="741" ht="15.75" customHeight="1" s="372"/>
    <row r="742" ht="15.75" customHeight="1" s="372"/>
    <row r="743" ht="15.75" customHeight="1" s="372"/>
    <row r="744" ht="15.75" customHeight="1" s="372"/>
    <row r="745" ht="15.75" customHeight="1" s="372"/>
    <row r="746" ht="15.75" customHeight="1" s="372"/>
    <row r="747" ht="15.75" customHeight="1" s="372"/>
    <row r="748" ht="15.75" customHeight="1" s="372"/>
    <row r="749" ht="15.75" customHeight="1" s="372"/>
    <row r="750" ht="15.75" customHeight="1" s="372"/>
    <row r="751" ht="15.75" customHeight="1" s="372"/>
    <row r="752" ht="15.75" customHeight="1" s="372"/>
    <row r="753" ht="15.75" customHeight="1" s="372"/>
    <row r="754" ht="15.75" customHeight="1" s="372"/>
    <row r="755" ht="15.75" customHeight="1" s="372"/>
    <row r="756" ht="15.75" customHeight="1" s="372"/>
    <row r="757" ht="15.75" customHeight="1" s="372"/>
    <row r="758" ht="15.75" customHeight="1" s="372"/>
    <row r="759" ht="15.75" customHeight="1" s="372"/>
    <row r="760" ht="15.75" customHeight="1" s="372"/>
    <row r="761" ht="15.75" customHeight="1" s="372"/>
    <row r="762" ht="15.75" customHeight="1" s="372"/>
    <row r="763" ht="15.75" customHeight="1" s="372"/>
    <row r="764" ht="15.75" customHeight="1" s="372"/>
    <row r="765" ht="15.75" customHeight="1" s="372"/>
    <row r="766" ht="15.75" customHeight="1" s="372"/>
    <row r="767" ht="15.75" customHeight="1" s="372"/>
    <row r="768" ht="15.75" customHeight="1" s="372"/>
    <row r="769" ht="15.75" customHeight="1" s="372"/>
    <row r="770" ht="15.75" customHeight="1" s="372"/>
    <row r="771" ht="15.75" customHeight="1" s="372"/>
    <row r="772" ht="15.75" customHeight="1" s="372"/>
    <row r="773" ht="15.75" customHeight="1" s="372"/>
    <row r="774" ht="15.75" customHeight="1" s="372"/>
    <row r="775" ht="15.75" customHeight="1" s="372"/>
    <row r="776" ht="15.75" customHeight="1" s="372"/>
    <row r="777" ht="15.75" customHeight="1" s="372"/>
    <row r="778" ht="15.75" customHeight="1" s="372"/>
    <row r="779" ht="15.75" customHeight="1" s="372"/>
    <row r="780" ht="15.75" customHeight="1" s="372"/>
    <row r="781" ht="15.75" customHeight="1" s="372"/>
    <row r="782" ht="15.75" customHeight="1" s="372"/>
    <row r="783" ht="15.75" customHeight="1" s="372"/>
    <row r="784" ht="15.75" customHeight="1" s="372"/>
    <row r="785" ht="15.75" customHeight="1" s="372"/>
    <row r="786" ht="15.75" customHeight="1" s="372"/>
    <row r="787" ht="15.75" customHeight="1" s="372"/>
    <row r="788" ht="15.75" customHeight="1" s="372"/>
    <row r="789" ht="15.75" customHeight="1" s="372"/>
    <row r="790" ht="15.75" customHeight="1" s="372"/>
    <row r="791" ht="15.75" customHeight="1" s="372"/>
    <row r="792" ht="15.75" customHeight="1" s="372"/>
    <row r="793" ht="15.75" customHeight="1" s="372"/>
    <row r="794" ht="15.75" customHeight="1" s="372"/>
    <row r="795" ht="15.75" customHeight="1" s="372"/>
    <row r="796" ht="15.75" customHeight="1" s="372"/>
    <row r="797" ht="15.75" customHeight="1" s="372"/>
    <row r="798" ht="15.75" customHeight="1" s="372"/>
    <row r="799" ht="15.75" customHeight="1" s="372"/>
    <row r="800" ht="15.75" customHeight="1" s="372"/>
    <row r="801" ht="15.75" customHeight="1" s="372"/>
    <row r="802" ht="15.75" customHeight="1" s="372"/>
    <row r="803" ht="15.75" customHeight="1" s="372"/>
    <row r="804" ht="15.75" customHeight="1" s="372"/>
    <row r="805" ht="15.75" customHeight="1" s="372"/>
    <row r="806" ht="15.75" customHeight="1" s="372"/>
    <row r="807" ht="15.75" customHeight="1" s="372"/>
    <row r="808" ht="15.75" customHeight="1" s="372"/>
    <row r="809" ht="15.75" customHeight="1" s="372"/>
    <row r="810" ht="15.75" customHeight="1" s="372"/>
    <row r="811" ht="15.75" customHeight="1" s="372"/>
    <row r="812" ht="15.75" customHeight="1" s="372"/>
    <row r="813" ht="15.75" customHeight="1" s="372"/>
    <row r="814" ht="15.75" customHeight="1" s="372"/>
    <row r="815" ht="15.75" customHeight="1" s="372"/>
    <row r="816" ht="15.75" customHeight="1" s="372"/>
    <row r="817" ht="15.75" customHeight="1" s="372"/>
    <row r="818" ht="15.75" customHeight="1" s="372"/>
    <row r="819" ht="15.75" customHeight="1" s="372"/>
    <row r="820" ht="15.75" customHeight="1" s="372"/>
    <row r="821" ht="15.75" customHeight="1" s="372"/>
    <row r="822" ht="15.75" customHeight="1" s="372"/>
    <row r="823" ht="15.75" customHeight="1" s="372"/>
    <row r="824" ht="15.75" customHeight="1" s="372"/>
    <row r="825" ht="15.75" customHeight="1" s="372"/>
    <row r="826" ht="15.75" customHeight="1" s="372"/>
    <row r="827" ht="15.75" customHeight="1" s="372"/>
    <row r="828" ht="15.75" customHeight="1" s="372"/>
    <row r="829" ht="15.75" customHeight="1" s="372"/>
    <row r="830" ht="15.75" customHeight="1" s="372"/>
    <row r="831" ht="15.75" customHeight="1" s="372"/>
    <row r="832" ht="15.75" customHeight="1" s="372"/>
    <row r="833" ht="15.75" customHeight="1" s="372"/>
    <row r="834" ht="15.75" customHeight="1" s="372"/>
    <row r="835" ht="15.75" customHeight="1" s="372"/>
    <row r="836" ht="15.75" customHeight="1" s="372"/>
    <row r="837" ht="15.75" customHeight="1" s="372"/>
    <row r="838" ht="15.75" customHeight="1" s="372"/>
    <row r="839" ht="15.75" customHeight="1" s="372"/>
    <row r="840" ht="15.75" customHeight="1" s="372"/>
    <row r="841" ht="15.75" customHeight="1" s="372"/>
    <row r="842" ht="15.75" customHeight="1" s="372"/>
    <row r="843" ht="15.75" customHeight="1" s="372"/>
    <row r="844" ht="15.75" customHeight="1" s="372"/>
    <row r="845" ht="15.75" customHeight="1" s="372"/>
    <row r="846" ht="15.75" customHeight="1" s="372"/>
    <row r="847" ht="15.75" customHeight="1" s="372"/>
    <row r="848" ht="15.75" customHeight="1" s="372"/>
    <row r="849" ht="15.75" customHeight="1" s="372"/>
    <row r="850" ht="15.75" customHeight="1" s="372"/>
    <row r="851" ht="15.75" customHeight="1" s="372"/>
    <row r="852" ht="15.75" customHeight="1" s="372"/>
    <row r="853" ht="15.75" customHeight="1" s="372"/>
    <row r="854" ht="15.75" customHeight="1" s="372"/>
    <row r="855" ht="15.75" customHeight="1" s="372"/>
    <row r="856" ht="15.75" customHeight="1" s="372"/>
    <row r="857" ht="15.75" customHeight="1" s="372"/>
    <row r="858" ht="15.75" customHeight="1" s="372"/>
    <row r="859" ht="15.75" customHeight="1" s="372"/>
    <row r="860" ht="15.75" customHeight="1" s="372"/>
    <row r="861" ht="15.75" customHeight="1" s="372"/>
    <row r="862" ht="15.75" customHeight="1" s="372"/>
    <row r="863" ht="15.75" customHeight="1" s="372"/>
    <row r="864" ht="15.75" customHeight="1" s="372"/>
    <row r="865" ht="15.75" customHeight="1" s="372"/>
    <row r="866" ht="15.75" customHeight="1" s="372"/>
    <row r="867" ht="15.75" customHeight="1" s="372"/>
    <row r="868" ht="15.75" customHeight="1" s="372"/>
    <row r="869" ht="15.75" customHeight="1" s="372"/>
    <row r="870" ht="15.75" customHeight="1" s="372"/>
    <row r="871" ht="15.75" customHeight="1" s="372"/>
    <row r="872" ht="15.75" customHeight="1" s="372"/>
    <row r="873" ht="15.75" customHeight="1" s="372"/>
    <row r="874" ht="15.75" customHeight="1" s="372"/>
    <row r="875" ht="15.75" customHeight="1" s="372"/>
    <row r="876" ht="15.75" customHeight="1" s="372"/>
    <row r="877" ht="15.75" customHeight="1" s="372"/>
    <row r="878" ht="15.75" customHeight="1" s="372"/>
    <row r="879" ht="15.75" customHeight="1" s="372"/>
    <row r="880" ht="15.75" customHeight="1" s="372"/>
    <row r="881" ht="15.75" customHeight="1" s="372"/>
    <row r="882" ht="15.75" customHeight="1" s="372"/>
    <row r="883" ht="15.75" customHeight="1" s="372"/>
    <row r="884" ht="15.75" customHeight="1" s="372"/>
    <row r="885" ht="15.75" customHeight="1" s="372"/>
    <row r="886" ht="15.75" customHeight="1" s="372"/>
    <row r="887" ht="15.75" customHeight="1" s="372"/>
    <row r="888" ht="15.75" customHeight="1" s="372"/>
    <row r="889" ht="15.75" customHeight="1" s="372"/>
    <row r="890" ht="15.75" customHeight="1" s="372"/>
    <row r="891" ht="15.75" customHeight="1" s="372"/>
    <row r="892" ht="15.75" customHeight="1" s="372"/>
    <row r="893" ht="15.75" customHeight="1" s="372"/>
    <row r="894" ht="15.75" customHeight="1" s="372"/>
    <row r="895" ht="15.75" customHeight="1" s="372"/>
    <row r="896" ht="15.75" customHeight="1" s="372"/>
    <row r="897" ht="15.75" customHeight="1" s="372"/>
    <row r="898" ht="15.75" customHeight="1" s="372"/>
    <row r="899" ht="15.75" customHeight="1" s="372"/>
    <row r="900" ht="15.75" customHeight="1" s="372"/>
    <row r="901" ht="15.75" customHeight="1" s="372"/>
    <row r="902" ht="15.75" customHeight="1" s="372"/>
    <row r="903" ht="15.75" customHeight="1" s="372"/>
    <row r="904" ht="15.75" customHeight="1" s="372"/>
    <row r="905" ht="15.75" customHeight="1" s="372"/>
    <row r="906" ht="15.75" customHeight="1" s="372"/>
    <row r="907" ht="15.75" customHeight="1" s="372"/>
    <row r="908" ht="15.75" customHeight="1" s="372"/>
    <row r="909" ht="15.75" customHeight="1" s="372"/>
    <row r="910" ht="15.75" customHeight="1" s="372"/>
    <row r="911" ht="15.75" customHeight="1" s="372"/>
    <row r="912" ht="15.75" customHeight="1" s="372"/>
    <row r="913" ht="15.75" customHeight="1" s="372"/>
    <row r="914" ht="15.75" customHeight="1" s="372"/>
    <row r="915" ht="15.75" customHeight="1" s="372"/>
    <row r="916" ht="15.75" customHeight="1" s="372"/>
    <row r="917" ht="15.75" customHeight="1" s="372"/>
    <row r="918" ht="15.75" customHeight="1" s="372"/>
    <row r="919" ht="15.75" customHeight="1" s="372"/>
    <row r="920" ht="15.75" customHeight="1" s="372"/>
    <row r="921" ht="15.75" customHeight="1" s="372"/>
    <row r="922" ht="15.75" customHeight="1" s="372"/>
    <row r="923" ht="15.75" customHeight="1" s="372"/>
    <row r="924" ht="15.75" customHeight="1" s="372"/>
    <row r="925" ht="15.75" customHeight="1" s="372"/>
    <row r="926" ht="15.75" customHeight="1" s="372"/>
    <row r="927" ht="15.75" customHeight="1" s="372"/>
    <row r="928" ht="15.75" customHeight="1" s="372"/>
    <row r="929" ht="15.75" customHeight="1" s="372"/>
    <row r="930" ht="15.75" customHeight="1" s="372"/>
    <row r="931" ht="15.75" customHeight="1" s="372"/>
    <row r="932" ht="15.75" customHeight="1" s="372"/>
    <row r="933" ht="15.75" customHeight="1" s="372"/>
    <row r="934" ht="15.75" customHeight="1" s="372"/>
    <row r="935" ht="15.75" customHeight="1" s="372"/>
    <row r="936" ht="15.75" customHeight="1" s="372"/>
    <row r="937" ht="15.75" customHeight="1" s="372"/>
    <row r="938" ht="15.75" customHeight="1" s="372"/>
    <row r="939" ht="15.75" customHeight="1" s="372"/>
    <row r="940" ht="15.75" customHeight="1" s="372"/>
    <row r="941" ht="15.75" customHeight="1" s="372"/>
    <row r="942" ht="15.75" customHeight="1" s="372"/>
    <row r="943" ht="15.75" customHeight="1" s="372"/>
    <row r="944" ht="15.75" customHeight="1" s="372"/>
    <row r="945" ht="15.75" customHeight="1" s="372"/>
    <row r="946" ht="15.75" customHeight="1" s="372"/>
    <row r="947" ht="15.75" customHeight="1" s="372"/>
    <row r="948" ht="15.75" customHeight="1" s="372"/>
    <row r="949" ht="15.75" customHeight="1" s="372"/>
    <row r="950" ht="15.75" customHeight="1" s="372"/>
    <row r="951" ht="15.75" customHeight="1" s="372"/>
    <row r="952" ht="15.75" customHeight="1" s="372"/>
    <row r="953" ht="15.75" customHeight="1" s="372"/>
    <row r="954" ht="15.75" customHeight="1" s="372"/>
    <row r="955" ht="15.75" customHeight="1" s="372"/>
    <row r="956" ht="15.75" customHeight="1" s="372"/>
    <row r="957" ht="15.75" customHeight="1" s="372"/>
    <row r="958" ht="15.75" customHeight="1" s="372"/>
    <row r="959" ht="15.75" customHeight="1" s="372"/>
    <row r="960" ht="15.75" customHeight="1" s="372"/>
    <row r="961" ht="15.75" customHeight="1" s="372"/>
    <row r="962" ht="15.75" customHeight="1" s="372"/>
    <row r="963" ht="15.75" customHeight="1" s="372"/>
    <row r="964" ht="15.75" customHeight="1" s="372"/>
    <row r="965" ht="15.75" customHeight="1" s="372"/>
    <row r="966" ht="15.75" customHeight="1" s="372"/>
    <row r="967" ht="15.75" customHeight="1" s="372"/>
    <row r="968" ht="15.75" customHeight="1" s="372"/>
    <row r="969" ht="15.75" customHeight="1" s="372"/>
    <row r="970" ht="15.75" customHeight="1" s="372"/>
    <row r="971" ht="15.75" customHeight="1" s="372"/>
    <row r="972" ht="15.75" customHeight="1" s="372"/>
    <row r="973" ht="15.75" customHeight="1" s="372"/>
    <row r="974" ht="15.75" customHeight="1" s="372"/>
    <row r="975" ht="15.75" customHeight="1" s="372"/>
    <row r="976" ht="15.75" customHeight="1" s="372"/>
    <row r="977" ht="15.75" customHeight="1" s="372"/>
    <row r="978" ht="15.75" customHeight="1" s="372"/>
    <row r="979" ht="15.75" customHeight="1" s="372"/>
    <row r="980" ht="15.75" customHeight="1" s="372"/>
    <row r="981" ht="15.75" customHeight="1" s="372"/>
    <row r="982" ht="15.75" customHeight="1" s="372"/>
    <row r="983" ht="15.75" customHeight="1" s="372"/>
    <row r="984" ht="15.75" customHeight="1" s="372"/>
    <row r="985" ht="15.75" customHeight="1" s="372"/>
    <row r="986" ht="15.75" customHeight="1" s="372"/>
    <row r="987" ht="15.75" customHeight="1" s="372"/>
    <row r="988" ht="15.75" customHeight="1" s="372"/>
    <row r="989" ht="15.75" customHeight="1" s="372"/>
    <row r="990" ht="15.75" customHeight="1" s="372"/>
    <row r="991" ht="15.75" customHeight="1" s="372"/>
    <row r="992" ht="15.75" customHeight="1" s="372"/>
    <row r="993" ht="15.75" customHeight="1" s="372"/>
    <row r="994" ht="15.75" customHeight="1" s="372"/>
    <row r="995" ht="15.75" customHeight="1" s="372"/>
    <row r="996" ht="15.75" customHeight="1" s="372"/>
    <row r="997" ht="15.75" customHeight="1" s="372"/>
    <row r="998" ht="15.75" customHeight="1" s="372"/>
    <row r="999" ht="15.75" customHeight="1" s="372"/>
    <row r="1000" ht="15.75" customHeight="1" s="372"/>
  </sheetData>
  <mergeCells count="1">
    <mergeCell ref="A1:C1"/>
  </mergeCells>
  <pageMargins left="0.75" right="0.75" top="1" bottom="1" header="0" footer="0"/>
  <pageSetup orientation="portrait" paperSize="9"/>
</worksheet>
</file>

<file path=xl/worksheets/sheet18.xml><?xml version="1.0" encoding="utf-8"?>
<worksheet xmlns="http://schemas.openxmlformats.org/spreadsheetml/2006/main">
  <sheetPr>
    <tabColor rgb="FF555555"/>
    <outlinePr summaryBelow="1" summaryRight="1"/>
    <pageSetUpPr/>
  </sheetPr>
  <dimension ref="A1:N541"/>
  <sheetViews>
    <sheetView workbookViewId="0">
      <selection activeCell="A1" sqref="A1"/>
    </sheetView>
  </sheetViews>
  <sheetFormatPr baseColWidth="8" defaultRowHeight="15"/>
  <sheetData>
    <row r="1">
      <c r="A1" s="0" t="inlineStr">
        <is>
          <t>Course</t>
        </is>
      </c>
      <c r="B1" s="0" t="inlineStr">
        <is>
          <t>Tab</t>
        </is>
      </c>
      <c r="C1" s="0" t="inlineStr">
        <is>
          <t>Row</t>
        </is>
      </c>
      <c r="D1" s="0" t="inlineStr">
        <is>
          <t>Entry?</t>
        </is>
      </c>
      <c r="E1" s="0" t="inlineStr">
        <is>
          <t>Seq</t>
        </is>
      </c>
      <c r="F1" s="0" t="inlineStr">
        <is>
          <t>Competency</t>
        </is>
      </c>
      <c r="G1" s="0" t="inlineStr">
        <is>
          <t>Date</t>
        </is>
      </c>
      <c r="H1" s="0" t="inlineStr">
        <is>
          <t>Site name</t>
        </is>
      </c>
      <c r="I1" s="0" t="inlineStr">
        <is>
          <t>Site type</t>
        </is>
      </c>
      <c r="J1" s="0" t="inlineStr">
        <is>
          <t>Experience</t>
        </is>
      </c>
      <c r="K1" s="0" t="inlineStr">
        <is>
          <t>Role</t>
        </is>
      </c>
      <c r="L1" s="0" t="inlineStr">
        <is>
          <t>Hours</t>
        </is>
      </c>
      <c r="N1" s="0" t="inlineStr">
        <is>
          <t>Helper sheet for All CHOICE: one row per possible CHOICE row on the course tabs. A row counts as an entry when it has a description or hours. Do not edit.</t>
        </is>
      </c>
    </row>
    <row r="2">
      <c r="A2" s="0" t="inlineStr">
        <is>
          <t>7806 – School &amp; Community Relations</t>
        </is>
      </c>
      <c r="B2" s="0" t="inlineStr">
        <is>
          <t>7806</t>
        </is>
      </c>
      <c r="C2" s="0" t="n">
        <v>6</v>
      </c>
      <c r="D2" s="0">
        <f>IF(AND(UPPER(TRIM('7806'!A6))="CHOICE",LEN(TRIM('7806'!E6&amp;'7806'!F6))&gt;0),1,0)</f>
        <v/>
      </c>
      <c r="E2" s="0">
        <f>IF(D2=1,MAX(E$1:E1)+1,"")</f>
        <v/>
      </c>
      <c r="F2" s="0">
        <f>IF(D2=1,IFERROR(CHOOSE(MATCH("X",'7806'!G6:L6,0),"①","②","③","④","⑤","⑥"),""),"")</f>
        <v/>
      </c>
      <c r="G2" s="0">
        <f>IF(D2=1,IF('7806'!B6="","",'7806'!B6),"")</f>
        <v/>
      </c>
      <c r="H2" s="0">
        <f>IF(D2=1,'7806'!N6&amp;"","")</f>
        <v/>
      </c>
      <c r="I2" s="0">
        <f>IF(D2=1,'7806'!C6&amp;"","")</f>
        <v/>
      </c>
      <c r="J2" s="0">
        <f>IF(D2=1,'7806'!E6&amp;"","")</f>
        <v/>
      </c>
      <c r="K2" s="0">
        <f>IF(D2=1,'7806'!D6&amp;"","")</f>
        <v/>
      </c>
      <c r="L2" s="0">
        <f>IF(D2=1,IF('7806'!F6="","",'7806'!F6),"")</f>
        <v/>
      </c>
    </row>
    <row r="3">
      <c r="A3" s="0" t="inlineStr">
        <is>
          <t>7806 – School &amp; Community Relations</t>
        </is>
      </c>
      <c r="B3" s="0" t="inlineStr">
        <is>
          <t>7806</t>
        </is>
      </c>
      <c r="C3" s="0" t="n">
        <v>7</v>
      </c>
      <c r="D3" s="0">
        <f>IF(AND(UPPER(TRIM('7806'!A7))="CHOICE",LEN(TRIM('7806'!E7&amp;'7806'!F7))&gt;0),1,0)</f>
        <v/>
      </c>
      <c r="E3" s="0">
        <f>IF(D3=1,MAX(E$1:E2)+1,"")</f>
        <v/>
      </c>
      <c r="F3" s="0">
        <f>IF(D3=1,IFERROR(CHOOSE(MATCH("X",'7806'!G7:L7,0),"①","②","③","④","⑤","⑥"),""),"")</f>
        <v/>
      </c>
      <c r="G3" s="0">
        <f>IF(D3=1,IF('7806'!B7="","",'7806'!B7),"")</f>
        <v/>
      </c>
      <c r="H3" s="0">
        <f>IF(D3=1,'7806'!N7&amp;"","")</f>
        <v/>
      </c>
      <c r="I3" s="0">
        <f>IF(D3=1,'7806'!C7&amp;"","")</f>
        <v/>
      </c>
      <c r="J3" s="0">
        <f>IF(D3=1,'7806'!E7&amp;"","")</f>
        <v/>
      </c>
      <c r="K3" s="0">
        <f>IF(D3=1,'7806'!D7&amp;"","")</f>
        <v/>
      </c>
      <c r="L3" s="0">
        <f>IF(D3=1,IF('7806'!F7="","",'7806'!F7),"")</f>
        <v/>
      </c>
    </row>
    <row r="4">
      <c r="A4" s="0" t="inlineStr">
        <is>
          <t>7806 – School &amp; Community Relations</t>
        </is>
      </c>
      <c r="B4" s="0" t="inlineStr">
        <is>
          <t>7806</t>
        </is>
      </c>
      <c r="C4" s="0" t="n">
        <v>8</v>
      </c>
      <c r="D4" s="0">
        <f>IF(AND(UPPER(TRIM('7806'!A8))="CHOICE",LEN(TRIM('7806'!E8&amp;'7806'!F8))&gt;0),1,0)</f>
        <v/>
      </c>
      <c r="E4" s="0">
        <f>IF(D4=1,MAX(E$1:E3)+1,"")</f>
        <v/>
      </c>
      <c r="F4" s="0">
        <f>IF(D4=1,IFERROR(CHOOSE(MATCH("X",'7806'!G8:L8,0),"①","②","③","④","⑤","⑥"),""),"")</f>
        <v/>
      </c>
      <c r="G4" s="0">
        <f>IF(D4=1,IF('7806'!B8="","",'7806'!B8),"")</f>
        <v/>
      </c>
      <c r="H4" s="0">
        <f>IF(D4=1,'7806'!N8&amp;"","")</f>
        <v/>
      </c>
      <c r="I4" s="0">
        <f>IF(D4=1,'7806'!C8&amp;"","")</f>
        <v/>
      </c>
      <c r="J4" s="0">
        <f>IF(D4=1,'7806'!E8&amp;"","")</f>
        <v/>
      </c>
      <c r="K4" s="0">
        <f>IF(D4=1,'7806'!D8&amp;"","")</f>
        <v/>
      </c>
      <c r="L4" s="0">
        <f>IF(D4=1,IF('7806'!F8="","",'7806'!F8),"")</f>
        <v/>
      </c>
    </row>
    <row r="5">
      <c r="A5" s="0" t="inlineStr">
        <is>
          <t>7806 – School &amp; Community Relations</t>
        </is>
      </c>
      <c r="B5" s="0" t="inlineStr">
        <is>
          <t>7806</t>
        </is>
      </c>
      <c r="C5" s="0" t="n">
        <v>9</v>
      </c>
      <c r="D5" s="0">
        <f>IF(AND(UPPER(TRIM('7806'!A9))="CHOICE",LEN(TRIM('7806'!E9&amp;'7806'!F9))&gt;0),1,0)</f>
        <v/>
      </c>
      <c r="E5" s="0">
        <f>IF(D5=1,MAX(E$1:E4)+1,"")</f>
        <v/>
      </c>
      <c r="F5" s="0">
        <f>IF(D5=1,IFERROR(CHOOSE(MATCH("X",'7806'!G9:L9,0),"①","②","③","④","⑤","⑥"),""),"")</f>
        <v/>
      </c>
      <c r="G5" s="0">
        <f>IF(D5=1,IF('7806'!B9="","",'7806'!B9),"")</f>
        <v/>
      </c>
      <c r="H5" s="0">
        <f>IF(D5=1,'7806'!N9&amp;"","")</f>
        <v/>
      </c>
      <c r="I5" s="0">
        <f>IF(D5=1,'7806'!C9&amp;"","")</f>
        <v/>
      </c>
      <c r="J5" s="0">
        <f>IF(D5=1,'7806'!E9&amp;"","")</f>
        <v/>
      </c>
      <c r="K5" s="0">
        <f>IF(D5=1,'7806'!D9&amp;"","")</f>
        <v/>
      </c>
      <c r="L5" s="0">
        <f>IF(D5=1,IF('7806'!F9="","",'7806'!F9),"")</f>
        <v/>
      </c>
    </row>
    <row r="6">
      <c r="A6" s="0" t="inlineStr">
        <is>
          <t>7806 – School &amp; Community Relations</t>
        </is>
      </c>
      <c r="B6" s="0" t="inlineStr">
        <is>
          <t>7806</t>
        </is>
      </c>
      <c r="C6" s="0" t="n">
        <v>10</v>
      </c>
      <c r="D6" s="0">
        <f>IF(AND(UPPER(TRIM('7806'!A10))="CHOICE",LEN(TRIM('7806'!E10&amp;'7806'!F10))&gt;0),1,0)</f>
        <v/>
      </c>
      <c r="E6" s="0">
        <f>IF(D6=1,MAX(E$1:E5)+1,"")</f>
        <v/>
      </c>
      <c r="F6" s="0">
        <f>IF(D6=1,IFERROR(CHOOSE(MATCH("X",'7806'!G10:L10,0),"①","②","③","④","⑤","⑥"),""),"")</f>
        <v/>
      </c>
      <c r="G6" s="0">
        <f>IF(D6=1,IF('7806'!B10="","",'7806'!B10),"")</f>
        <v/>
      </c>
      <c r="H6" s="0">
        <f>IF(D6=1,'7806'!N10&amp;"","")</f>
        <v/>
      </c>
      <c r="I6" s="0">
        <f>IF(D6=1,'7806'!C10&amp;"","")</f>
        <v/>
      </c>
      <c r="J6" s="0">
        <f>IF(D6=1,'7806'!E10&amp;"","")</f>
        <v/>
      </c>
      <c r="K6" s="0">
        <f>IF(D6=1,'7806'!D10&amp;"","")</f>
        <v/>
      </c>
      <c r="L6" s="0">
        <f>IF(D6=1,IF('7806'!F10="","",'7806'!F10),"")</f>
        <v/>
      </c>
    </row>
    <row r="7">
      <c r="A7" s="0" t="inlineStr">
        <is>
          <t>7806 – School &amp; Community Relations</t>
        </is>
      </c>
      <c r="B7" s="0" t="inlineStr">
        <is>
          <t>7806</t>
        </is>
      </c>
      <c r="C7" s="0" t="n">
        <v>11</v>
      </c>
      <c r="D7" s="0">
        <f>IF(AND(UPPER(TRIM('7806'!A11))="CHOICE",LEN(TRIM('7806'!E11&amp;'7806'!F11))&gt;0),1,0)</f>
        <v/>
      </c>
      <c r="E7" s="0">
        <f>IF(D7=1,MAX(E$1:E6)+1,"")</f>
        <v/>
      </c>
      <c r="F7" s="0">
        <f>IF(D7=1,IFERROR(CHOOSE(MATCH("X",'7806'!G11:L11,0),"①","②","③","④","⑤","⑥"),""),"")</f>
        <v/>
      </c>
      <c r="G7" s="0">
        <f>IF(D7=1,IF('7806'!B11="","",'7806'!B11),"")</f>
        <v/>
      </c>
      <c r="H7" s="0">
        <f>IF(D7=1,'7806'!N11&amp;"","")</f>
        <v/>
      </c>
      <c r="I7" s="0">
        <f>IF(D7=1,'7806'!C11&amp;"","")</f>
        <v/>
      </c>
      <c r="J7" s="0">
        <f>IF(D7=1,'7806'!E11&amp;"","")</f>
        <v/>
      </c>
      <c r="K7" s="0">
        <f>IF(D7=1,'7806'!D11&amp;"","")</f>
        <v/>
      </c>
      <c r="L7" s="0">
        <f>IF(D7=1,IF('7806'!F11="","",'7806'!F11),"")</f>
        <v/>
      </c>
    </row>
    <row r="8">
      <c r="A8" s="0" t="inlineStr">
        <is>
          <t>7806 – School &amp; Community Relations</t>
        </is>
      </c>
      <c r="B8" s="0" t="inlineStr">
        <is>
          <t>7806</t>
        </is>
      </c>
      <c r="C8" s="0" t="n">
        <v>12</v>
      </c>
      <c r="D8" s="0">
        <f>IF(AND(UPPER(TRIM('7806'!A12))="CHOICE",LEN(TRIM('7806'!E12&amp;'7806'!F12))&gt;0),1,0)</f>
        <v/>
      </c>
      <c r="E8" s="0">
        <f>IF(D8=1,MAX(E$1:E7)+1,"")</f>
        <v/>
      </c>
      <c r="F8" s="0">
        <f>IF(D8=1,IFERROR(CHOOSE(MATCH("X",'7806'!G12:L12,0),"①","②","③","④","⑤","⑥"),""),"")</f>
        <v/>
      </c>
      <c r="G8" s="0">
        <f>IF(D8=1,IF('7806'!B12="","",'7806'!B12),"")</f>
        <v/>
      </c>
      <c r="H8" s="0">
        <f>IF(D8=1,'7806'!N12&amp;"","")</f>
        <v/>
      </c>
      <c r="I8" s="0">
        <f>IF(D8=1,'7806'!C12&amp;"","")</f>
        <v/>
      </c>
      <c r="J8" s="0">
        <f>IF(D8=1,'7806'!E12&amp;"","")</f>
        <v/>
      </c>
      <c r="K8" s="0">
        <f>IF(D8=1,'7806'!D12&amp;"","")</f>
        <v/>
      </c>
      <c r="L8" s="0">
        <f>IF(D8=1,IF('7806'!F12="","",'7806'!F12),"")</f>
        <v/>
      </c>
    </row>
    <row r="9">
      <c r="A9" s="0" t="inlineStr">
        <is>
          <t>7806 – School &amp; Community Relations</t>
        </is>
      </c>
      <c r="B9" s="0" t="inlineStr">
        <is>
          <t>7806</t>
        </is>
      </c>
      <c r="C9" s="0" t="n">
        <v>13</v>
      </c>
      <c r="D9" s="0">
        <f>IF(AND(UPPER(TRIM('7806'!A13))="CHOICE",LEN(TRIM('7806'!E13&amp;'7806'!F13))&gt;0),1,0)</f>
        <v/>
      </c>
      <c r="E9" s="0">
        <f>IF(D9=1,MAX(E$1:E8)+1,"")</f>
        <v/>
      </c>
      <c r="F9" s="0">
        <f>IF(D9=1,IFERROR(CHOOSE(MATCH("X",'7806'!G13:L13,0),"①","②","③","④","⑤","⑥"),""),"")</f>
        <v/>
      </c>
      <c r="G9" s="0">
        <f>IF(D9=1,IF('7806'!B13="","",'7806'!B13),"")</f>
        <v/>
      </c>
      <c r="H9" s="0">
        <f>IF(D9=1,'7806'!N13&amp;"","")</f>
        <v/>
      </c>
      <c r="I9" s="0">
        <f>IF(D9=1,'7806'!C13&amp;"","")</f>
        <v/>
      </c>
      <c r="J9" s="0">
        <f>IF(D9=1,'7806'!E13&amp;"","")</f>
        <v/>
      </c>
      <c r="K9" s="0">
        <f>IF(D9=1,'7806'!D13&amp;"","")</f>
        <v/>
      </c>
      <c r="L9" s="0">
        <f>IF(D9=1,IF('7806'!F13="","",'7806'!F13),"")</f>
        <v/>
      </c>
    </row>
    <row r="10">
      <c r="A10" s="0" t="inlineStr">
        <is>
          <t>7806 – School &amp; Community Relations</t>
        </is>
      </c>
      <c r="B10" s="0" t="inlineStr">
        <is>
          <t>7806</t>
        </is>
      </c>
      <c r="C10" s="0" t="n">
        <v>14</v>
      </c>
      <c r="D10" s="0">
        <f>IF(AND(UPPER(TRIM('7806'!A14))="CHOICE",LEN(TRIM('7806'!E14&amp;'7806'!F14))&gt;0),1,0)</f>
        <v/>
      </c>
      <c r="E10" s="0">
        <f>IF(D10=1,MAX(E$1:E9)+1,"")</f>
        <v/>
      </c>
      <c r="F10" s="0">
        <f>IF(D10=1,IFERROR(CHOOSE(MATCH("X",'7806'!G14:L14,0),"①","②","③","④","⑤","⑥"),""),"")</f>
        <v/>
      </c>
      <c r="G10" s="0">
        <f>IF(D10=1,IF('7806'!B14="","",'7806'!B14),"")</f>
        <v/>
      </c>
      <c r="H10" s="0">
        <f>IF(D10=1,'7806'!N14&amp;"","")</f>
        <v/>
      </c>
      <c r="I10" s="0">
        <f>IF(D10=1,'7806'!C14&amp;"","")</f>
        <v/>
      </c>
      <c r="J10" s="0">
        <f>IF(D10=1,'7806'!E14&amp;"","")</f>
        <v/>
      </c>
      <c r="K10" s="0">
        <f>IF(D10=1,'7806'!D14&amp;"","")</f>
        <v/>
      </c>
      <c r="L10" s="0">
        <f>IF(D10=1,IF('7806'!F14="","",'7806'!F14),"")</f>
        <v/>
      </c>
    </row>
    <row r="11">
      <c r="A11" s="0" t="inlineStr">
        <is>
          <t>7806 – School &amp; Community Relations</t>
        </is>
      </c>
      <c r="B11" s="0" t="inlineStr">
        <is>
          <t>7806</t>
        </is>
      </c>
      <c r="C11" s="0" t="n">
        <v>15</v>
      </c>
      <c r="D11" s="0">
        <f>IF(AND(UPPER(TRIM('7806'!A15))="CHOICE",LEN(TRIM('7806'!E15&amp;'7806'!F15))&gt;0),1,0)</f>
        <v/>
      </c>
      <c r="E11" s="0">
        <f>IF(D11=1,MAX(E$1:E10)+1,"")</f>
        <v/>
      </c>
      <c r="F11" s="0">
        <f>IF(D11=1,IFERROR(CHOOSE(MATCH("X",'7806'!G15:L15,0),"①","②","③","④","⑤","⑥"),""),"")</f>
        <v/>
      </c>
      <c r="G11" s="0">
        <f>IF(D11=1,IF('7806'!B15="","",'7806'!B15),"")</f>
        <v/>
      </c>
      <c r="H11" s="0">
        <f>IF(D11=1,'7806'!N15&amp;"","")</f>
        <v/>
      </c>
      <c r="I11" s="0">
        <f>IF(D11=1,'7806'!C15&amp;"","")</f>
        <v/>
      </c>
      <c r="J11" s="0">
        <f>IF(D11=1,'7806'!E15&amp;"","")</f>
        <v/>
      </c>
      <c r="K11" s="0">
        <f>IF(D11=1,'7806'!D15&amp;"","")</f>
        <v/>
      </c>
      <c r="L11" s="0">
        <f>IF(D11=1,IF('7806'!F15="","",'7806'!F15),"")</f>
        <v/>
      </c>
    </row>
    <row r="12">
      <c r="A12" s="0" t="inlineStr">
        <is>
          <t>7806 – School &amp; Community Relations</t>
        </is>
      </c>
      <c r="B12" s="0" t="inlineStr">
        <is>
          <t>7806</t>
        </is>
      </c>
      <c r="C12" s="0" t="n">
        <v>16</v>
      </c>
      <c r="D12" s="0">
        <f>IF(AND(UPPER(TRIM('7806'!A16))="CHOICE",LEN(TRIM('7806'!E16&amp;'7806'!F16))&gt;0),1,0)</f>
        <v/>
      </c>
      <c r="E12" s="0">
        <f>IF(D12=1,MAX(E$1:E11)+1,"")</f>
        <v/>
      </c>
      <c r="F12" s="0">
        <f>IF(D12=1,IFERROR(CHOOSE(MATCH("X",'7806'!G16:L16,0),"①","②","③","④","⑤","⑥"),""),"")</f>
        <v/>
      </c>
      <c r="G12" s="0">
        <f>IF(D12=1,IF('7806'!B16="","",'7806'!B16),"")</f>
        <v/>
      </c>
      <c r="H12" s="0">
        <f>IF(D12=1,'7806'!N16&amp;"","")</f>
        <v/>
      </c>
      <c r="I12" s="0">
        <f>IF(D12=1,'7806'!C16&amp;"","")</f>
        <v/>
      </c>
      <c r="J12" s="0">
        <f>IF(D12=1,'7806'!E16&amp;"","")</f>
        <v/>
      </c>
      <c r="K12" s="0">
        <f>IF(D12=1,'7806'!D16&amp;"","")</f>
        <v/>
      </c>
      <c r="L12" s="0">
        <f>IF(D12=1,IF('7806'!F16="","",'7806'!F16),"")</f>
        <v/>
      </c>
    </row>
    <row r="13">
      <c r="A13" s="0" t="inlineStr">
        <is>
          <t>7806 – School &amp; Community Relations</t>
        </is>
      </c>
      <c r="B13" s="0" t="inlineStr">
        <is>
          <t>7806</t>
        </is>
      </c>
      <c r="C13" s="0" t="n">
        <v>17</v>
      </c>
      <c r="D13" s="0">
        <f>IF(AND(UPPER(TRIM('7806'!A17))="CHOICE",LEN(TRIM('7806'!E17&amp;'7806'!F17))&gt;0),1,0)</f>
        <v/>
      </c>
      <c r="E13" s="0">
        <f>IF(D13=1,MAX(E$1:E12)+1,"")</f>
        <v/>
      </c>
      <c r="F13" s="0">
        <f>IF(D13=1,IFERROR(CHOOSE(MATCH("X",'7806'!G17:L17,0),"①","②","③","④","⑤","⑥"),""),"")</f>
        <v/>
      </c>
      <c r="G13" s="0">
        <f>IF(D13=1,IF('7806'!B17="","",'7806'!B17),"")</f>
        <v/>
      </c>
      <c r="H13" s="0">
        <f>IF(D13=1,'7806'!N17&amp;"","")</f>
        <v/>
      </c>
      <c r="I13" s="0">
        <f>IF(D13=1,'7806'!C17&amp;"","")</f>
        <v/>
      </c>
      <c r="J13" s="0">
        <f>IF(D13=1,'7806'!E17&amp;"","")</f>
        <v/>
      </c>
      <c r="K13" s="0">
        <f>IF(D13=1,'7806'!D17&amp;"","")</f>
        <v/>
      </c>
      <c r="L13" s="0">
        <f>IF(D13=1,IF('7806'!F17="","",'7806'!F17),"")</f>
        <v/>
      </c>
    </row>
    <row r="14">
      <c r="A14" s="0" t="inlineStr">
        <is>
          <t>7806 – School &amp; Community Relations</t>
        </is>
      </c>
      <c r="B14" s="0" t="inlineStr">
        <is>
          <t>7806</t>
        </is>
      </c>
      <c r="C14" s="0" t="n">
        <v>18</v>
      </c>
      <c r="D14" s="0">
        <f>IF(AND(UPPER(TRIM('7806'!A18))="CHOICE",LEN(TRIM('7806'!E18&amp;'7806'!F18))&gt;0),1,0)</f>
        <v/>
      </c>
      <c r="E14" s="0">
        <f>IF(D14=1,MAX(E$1:E13)+1,"")</f>
        <v/>
      </c>
      <c r="F14" s="0">
        <f>IF(D14=1,IFERROR(CHOOSE(MATCH("X",'7806'!G18:L18,0),"①","②","③","④","⑤","⑥"),""),"")</f>
        <v/>
      </c>
      <c r="G14" s="0">
        <f>IF(D14=1,IF('7806'!B18="","",'7806'!B18),"")</f>
        <v/>
      </c>
      <c r="H14" s="0">
        <f>IF(D14=1,'7806'!N18&amp;"","")</f>
        <v/>
      </c>
      <c r="I14" s="0">
        <f>IF(D14=1,'7806'!C18&amp;"","")</f>
        <v/>
      </c>
      <c r="J14" s="0">
        <f>IF(D14=1,'7806'!E18&amp;"","")</f>
        <v/>
      </c>
      <c r="K14" s="0">
        <f>IF(D14=1,'7806'!D18&amp;"","")</f>
        <v/>
      </c>
      <c r="L14" s="0">
        <f>IF(D14=1,IF('7806'!F18="","",'7806'!F18),"")</f>
        <v/>
      </c>
    </row>
    <row r="15">
      <c r="A15" s="0" t="inlineStr">
        <is>
          <t>7806 – School &amp; Community Relations</t>
        </is>
      </c>
      <c r="B15" s="0" t="inlineStr">
        <is>
          <t>7806</t>
        </is>
      </c>
      <c r="C15" s="0" t="n">
        <v>19</v>
      </c>
      <c r="D15" s="0">
        <f>IF(AND(UPPER(TRIM('7806'!A19))="CHOICE",LEN(TRIM('7806'!E19&amp;'7806'!F19))&gt;0),1,0)</f>
        <v/>
      </c>
      <c r="E15" s="0">
        <f>IF(D15=1,MAX(E$1:E14)+1,"")</f>
        <v/>
      </c>
      <c r="F15" s="0">
        <f>IF(D15=1,IFERROR(CHOOSE(MATCH("X",'7806'!G19:L19,0),"①","②","③","④","⑤","⑥"),""),"")</f>
        <v/>
      </c>
      <c r="G15" s="0">
        <f>IF(D15=1,IF('7806'!B19="","",'7806'!B19),"")</f>
        <v/>
      </c>
      <c r="H15" s="0">
        <f>IF(D15=1,'7806'!N19&amp;"","")</f>
        <v/>
      </c>
      <c r="I15" s="0">
        <f>IF(D15=1,'7806'!C19&amp;"","")</f>
        <v/>
      </c>
      <c r="J15" s="0">
        <f>IF(D15=1,'7806'!E19&amp;"","")</f>
        <v/>
      </c>
      <c r="K15" s="0">
        <f>IF(D15=1,'7806'!D19&amp;"","")</f>
        <v/>
      </c>
      <c r="L15" s="0">
        <f>IF(D15=1,IF('7806'!F19="","",'7806'!F19),"")</f>
        <v/>
      </c>
    </row>
    <row r="16">
      <c r="A16" s="0" t="inlineStr">
        <is>
          <t>7806 – School &amp; Community Relations</t>
        </is>
      </c>
      <c r="B16" s="0" t="inlineStr">
        <is>
          <t>7806</t>
        </is>
      </c>
      <c r="C16" s="0" t="n">
        <v>20</v>
      </c>
      <c r="D16" s="0">
        <f>IF(AND(UPPER(TRIM('7806'!A20))="CHOICE",LEN(TRIM('7806'!E20&amp;'7806'!F20))&gt;0),1,0)</f>
        <v/>
      </c>
      <c r="E16" s="0">
        <f>IF(D16=1,MAX(E$1:E15)+1,"")</f>
        <v/>
      </c>
      <c r="F16" s="0">
        <f>IF(D16=1,IFERROR(CHOOSE(MATCH("X",'7806'!G20:L20,0),"①","②","③","④","⑤","⑥"),""),"")</f>
        <v/>
      </c>
      <c r="G16" s="0">
        <f>IF(D16=1,IF('7806'!B20="","",'7806'!B20),"")</f>
        <v/>
      </c>
      <c r="H16" s="0">
        <f>IF(D16=1,'7806'!N20&amp;"","")</f>
        <v/>
      </c>
      <c r="I16" s="0">
        <f>IF(D16=1,'7806'!C20&amp;"","")</f>
        <v/>
      </c>
      <c r="J16" s="0">
        <f>IF(D16=1,'7806'!E20&amp;"","")</f>
        <v/>
      </c>
      <c r="K16" s="0">
        <f>IF(D16=1,'7806'!D20&amp;"","")</f>
        <v/>
      </c>
      <c r="L16" s="0">
        <f>IF(D16=1,IF('7806'!F20="","",'7806'!F20),"")</f>
        <v/>
      </c>
    </row>
    <row r="17">
      <c r="A17" s="0" t="inlineStr">
        <is>
          <t>7806 – School &amp; Community Relations</t>
        </is>
      </c>
      <c r="B17" s="0" t="inlineStr">
        <is>
          <t>7806</t>
        </is>
      </c>
      <c r="C17" s="0" t="n">
        <v>21</v>
      </c>
      <c r="D17" s="0">
        <f>IF(AND(UPPER(TRIM('7806'!A21))="CHOICE",LEN(TRIM('7806'!E21&amp;'7806'!F21))&gt;0),1,0)</f>
        <v/>
      </c>
      <c r="E17" s="0">
        <f>IF(D17=1,MAX(E$1:E16)+1,"")</f>
        <v/>
      </c>
      <c r="F17" s="0">
        <f>IF(D17=1,IFERROR(CHOOSE(MATCH("X",'7806'!G21:L21,0),"①","②","③","④","⑤","⑥"),""),"")</f>
        <v/>
      </c>
      <c r="G17" s="0">
        <f>IF(D17=1,IF('7806'!B21="","",'7806'!B21),"")</f>
        <v/>
      </c>
      <c r="H17" s="0">
        <f>IF(D17=1,'7806'!N21&amp;"","")</f>
        <v/>
      </c>
      <c r="I17" s="0">
        <f>IF(D17=1,'7806'!C21&amp;"","")</f>
        <v/>
      </c>
      <c r="J17" s="0">
        <f>IF(D17=1,'7806'!E21&amp;"","")</f>
        <v/>
      </c>
      <c r="K17" s="0">
        <f>IF(D17=1,'7806'!D21&amp;"","")</f>
        <v/>
      </c>
      <c r="L17" s="0">
        <f>IF(D17=1,IF('7806'!F21="","",'7806'!F21),"")</f>
        <v/>
      </c>
    </row>
    <row r="18">
      <c r="A18" s="0" t="inlineStr">
        <is>
          <t>7806 – School &amp; Community Relations</t>
        </is>
      </c>
      <c r="B18" s="0" t="inlineStr">
        <is>
          <t>7806</t>
        </is>
      </c>
      <c r="C18" s="0" t="n">
        <v>22</v>
      </c>
      <c r="D18" s="0">
        <f>IF(AND(UPPER(TRIM('7806'!A22))="CHOICE",LEN(TRIM('7806'!E22&amp;'7806'!F22))&gt;0),1,0)</f>
        <v/>
      </c>
      <c r="E18" s="0">
        <f>IF(D18=1,MAX(E$1:E17)+1,"")</f>
        <v/>
      </c>
      <c r="F18" s="0">
        <f>IF(D18=1,IFERROR(CHOOSE(MATCH("X",'7806'!G22:L22,0),"①","②","③","④","⑤","⑥"),""),"")</f>
        <v/>
      </c>
      <c r="G18" s="0">
        <f>IF(D18=1,IF('7806'!B22="","",'7806'!B22),"")</f>
        <v/>
      </c>
      <c r="H18" s="0">
        <f>IF(D18=1,'7806'!N22&amp;"","")</f>
        <v/>
      </c>
      <c r="I18" s="0">
        <f>IF(D18=1,'7806'!C22&amp;"","")</f>
        <v/>
      </c>
      <c r="J18" s="0">
        <f>IF(D18=1,'7806'!E22&amp;"","")</f>
        <v/>
      </c>
      <c r="K18" s="0">
        <f>IF(D18=1,'7806'!D22&amp;"","")</f>
        <v/>
      </c>
      <c r="L18" s="0">
        <f>IF(D18=1,IF('7806'!F22="","",'7806'!F22),"")</f>
        <v/>
      </c>
    </row>
    <row r="19">
      <c r="A19" s="0" t="inlineStr">
        <is>
          <t>7806 – School &amp; Community Relations</t>
        </is>
      </c>
      <c r="B19" s="0" t="inlineStr">
        <is>
          <t>7806</t>
        </is>
      </c>
      <c r="C19" s="0" t="n">
        <v>23</v>
      </c>
      <c r="D19" s="0">
        <f>IF(AND(UPPER(TRIM('7806'!A23))="CHOICE",LEN(TRIM('7806'!E23&amp;'7806'!F23))&gt;0),1,0)</f>
        <v/>
      </c>
      <c r="E19" s="0">
        <f>IF(D19=1,MAX(E$1:E18)+1,"")</f>
        <v/>
      </c>
      <c r="F19" s="0">
        <f>IF(D19=1,IFERROR(CHOOSE(MATCH("X",'7806'!G23:L23,0),"①","②","③","④","⑤","⑥"),""),"")</f>
        <v/>
      </c>
      <c r="G19" s="0">
        <f>IF(D19=1,IF('7806'!B23="","",'7806'!B23),"")</f>
        <v/>
      </c>
      <c r="H19" s="0">
        <f>IF(D19=1,'7806'!N23&amp;"","")</f>
        <v/>
      </c>
      <c r="I19" s="0">
        <f>IF(D19=1,'7806'!C23&amp;"","")</f>
        <v/>
      </c>
      <c r="J19" s="0">
        <f>IF(D19=1,'7806'!E23&amp;"","")</f>
        <v/>
      </c>
      <c r="K19" s="0">
        <f>IF(D19=1,'7806'!D23&amp;"","")</f>
        <v/>
      </c>
      <c r="L19" s="0">
        <f>IF(D19=1,IF('7806'!F23="","",'7806'!F23),"")</f>
        <v/>
      </c>
    </row>
    <row r="20">
      <c r="A20" s="0" t="inlineStr">
        <is>
          <t>7806 – School &amp; Community Relations</t>
        </is>
      </c>
      <c r="B20" s="0" t="inlineStr">
        <is>
          <t>7806</t>
        </is>
      </c>
      <c r="C20" s="0" t="n">
        <v>24</v>
      </c>
      <c r="D20" s="0">
        <f>IF(AND(UPPER(TRIM('7806'!A24))="CHOICE",LEN(TRIM('7806'!E24&amp;'7806'!F24))&gt;0),1,0)</f>
        <v/>
      </c>
      <c r="E20" s="0">
        <f>IF(D20=1,MAX(E$1:E19)+1,"")</f>
        <v/>
      </c>
      <c r="F20" s="0">
        <f>IF(D20=1,IFERROR(CHOOSE(MATCH("X",'7806'!G24:L24,0),"①","②","③","④","⑤","⑥"),""),"")</f>
        <v/>
      </c>
      <c r="G20" s="0">
        <f>IF(D20=1,IF('7806'!B24="","",'7806'!B24),"")</f>
        <v/>
      </c>
      <c r="H20" s="0">
        <f>IF(D20=1,'7806'!N24&amp;"","")</f>
        <v/>
      </c>
      <c r="I20" s="0">
        <f>IF(D20=1,'7806'!C24&amp;"","")</f>
        <v/>
      </c>
      <c r="J20" s="0">
        <f>IF(D20=1,'7806'!E24&amp;"","")</f>
        <v/>
      </c>
      <c r="K20" s="0">
        <f>IF(D20=1,'7806'!D24&amp;"","")</f>
        <v/>
      </c>
      <c r="L20" s="0">
        <f>IF(D20=1,IF('7806'!F24="","",'7806'!F24),"")</f>
        <v/>
      </c>
    </row>
    <row r="21">
      <c r="A21" s="0" t="inlineStr">
        <is>
          <t>7806 – School &amp; Community Relations</t>
        </is>
      </c>
      <c r="B21" s="0" t="inlineStr">
        <is>
          <t>7806</t>
        </is>
      </c>
      <c r="C21" s="0" t="n">
        <v>25</v>
      </c>
      <c r="D21" s="0">
        <f>IF(AND(UPPER(TRIM('7806'!A25))="CHOICE",LEN(TRIM('7806'!E25&amp;'7806'!F25))&gt;0),1,0)</f>
        <v/>
      </c>
      <c r="E21" s="0">
        <f>IF(D21=1,MAX(E$1:E20)+1,"")</f>
        <v/>
      </c>
      <c r="F21" s="0">
        <f>IF(D21=1,IFERROR(CHOOSE(MATCH("X",'7806'!G25:L25,0),"①","②","③","④","⑤","⑥"),""),"")</f>
        <v/>
      </c>
      <c r="G21" s="0">
        <f>IF(D21=1,IF('7806'!B25="","",'7806'!B25),"")</f>
        <v/>
      </c>
      <c r="H21" s="0">
        <f>IF(D21=1,'7806'!N25&amp;"","")</f>
        <v/>
      </c>
      <c r="I21" s="0">
        <f>IF(D21=1,'7806'!C25&amp;"","")</f>
        <v/>
      </c>
      <c r="J21" s="0">
        <f>IF(D21=1,'7806'!E25&amp;"","")</f>
        <v/>
      </c>
      <c r="K21" s="0">
        <f>IF(D21=1,'7806'!D25&amp;"","")</f>
        <v/>
      </c>
      <c r="L21" s="0">
        <f>IF(D21=1,IF('7806'!F25="","",'7806'!F25),"")</f>
        <v/>
      </c>
    </row>
    <row r="22">
      <c r="A22" s="0" t="inlineStr">
        <is>
          <t>7806 – School &amp; Community Relations</t>
        </is>
      </c>
      <c r="B22" s="0" t="inlineStr">
        <is>
          <t>7806</t>
        </is>
      </c>
      <c r="C22" s="0" t="n">
        <v>26</v>
      </c>
      <c r="D22" s="0">
        <f>IF(AND(UPPER(TRIM('7806'!A26))="CHOICE",LEN(TRIM('7806'!E26&amp;'7806'!F26))&gt;0),1,0)</f>
        <v/>
      </c>
      <c r="E22" s="0">
        <f>IF(D22=1,MAX(E$1:E21)+1,"")</f>
        <v/>
      </c>
      <c r="F22" s="0">
        <f>IF(D22=1,IFERROR(CHOOSE(MATCH("X",'7806'!G26:L26,0),"①","②","③","④","⑤","⑥"),""),"")</f>
        <v/>
      </c>
      <c r="G22" s="0">
        <f>IF(D22=1,IF('7806'!B26="","",'7806'!B26),"")</f>
        <v/>
      </c>
      <c r="H22" s="0">
        <f>IF(D22=1,'7806'!N26&amp;"","")</f>
        <v/>
      </c>
      <c r="I22" s="0">
        <f>IF(D22=1,'7806'!C26&amp;"","")</f>
        <v/>
      </c>
      <c r="J22" s="0">
        <f>IF(D22=1,'7806'!E26&amp;"","")</f>
        <v/>
      </c>
      <c r="K22" s="0">
        <f>IF(D22=1,'7806'!D26&amp;"","")</f>
        <v/>
      </c>
      <c r="L22" s="0">
        <f>IF(D22=1,IF('7806'!F26="","",'7806'!F26),"")</f>
        <v/>
      </c>
    </row>
    <row r="23">
      <c r="A23" s="0" t="inlineStr">
        <is>
          <t>7806 – School &amp; Community Relations</t>
        </is>
      </c>
      <c r="B23" s="0" t="inlineStr">
        <is>
          <t>7806</t>
        </is>
      </c>
      <c r="C23" s="0" t="n">
        <v>27</v>
      </c>
      <c r="D23" s="0">
        <f>IF(AND(UPPER(TRIM('7806'!A27))="CHOICE",LEN(TRIM('7806'!E27&amp;'7806'!F27))&gt;0),1,0)</f>
        <v/>
      </c>
      <c r="E23" s="0">
        <f>IF(D23=1,MAX(E$1:E22)+1,"")</f>
        <v/>
      </c>
      <c r="F23" s="0">
        <f>IF(D23=1,IFERROR(CHOOSE(MATCH("X",'7806'!G27:L27,0),"①","②","③","④","⑤","⑥"),""),"")</f>
        <v/>
      </c>
      <c r="G23" s="0">
        <f>IF(D23=1,IF('7806'!B27="","",'7806'!B27),"")</f>
        <v/>
      </c>
      <c r="H23" s="0">
        <f>IF(D23=1,'7806'!N27&amp;"","")</f>
        <v/>
      </c>
      <c r="I23" s="0">
        <f>IF(D23=1,'7806'!C27&amp;"","")</f>
        <v/>
      </c>
      <c r="J23" s="0">
        <f>IF(D23=1,'7806'!E27&amp;"","")</f>
        <v/>
      </c>
      <c r="K23" s="0">
        <f>IF(D23=1,'7806'!D27&amp;"","")</f>
        <v/>
      </c>
      <c r="L23" s="0">
        <f>IF(D23=1,IF('7806'!F27="","",'7806'!F27),"")</f>
        <v/>
      </c>
    </row>
    <row r="24">
      <c r="A24" s="0" t="inlineStr">
        <is>
          <t>7806 – School &amp; Community Relations</t>
        </is>
      </c>
      <c r="B24" s="0" t="inlineStr">
        <is>
          <t>7806</t>
        </is>
      </c>
      <c r="C24" s="0" t="n">
        <v>28</v>
      </c>
      <c r="D24" s="0">
        <f>IF(AND(UPPER(TRIM('7806'!A28))="CHOICE",LEN(TRIM('7806'!E28&amp;'7806'!F28))&gt;0),1,0)</f>
        <v/>
      </c>
      <c r="E24" s="0">
        <f>IF(D24=1,MAX(E$1:E23)+1,"")</f>
        <v/>
      </c>
      <c r="F24" s="0">
        <f>IF(D24=1,IFERROR(CHOOSE(MATCH("X",'7806'!G28:L28,0),"①","②","③","④","⑤","⑥"),""),"")</f>
        <v/>
      </c>
      <c r="G24" s="0">
        <f>IF(D24=1,IF('7806'!B28="","",'7806'!B28),"")</f>
        <v/>
      </c>
      <c r="H24" s="0">
        <f>IF(D24=1,'7806'!N28&amp;"","")</f>
        <v/>
      </c>
      <c r="I24" s="0">
        <f>IF(D24=1,'7806'!C28&amp;"","")</f>
        <v/>
      </c>
      <c r="J24" s="0">
        <f>IF(D24=1,'7806'!E28&amp;"","")</f>
        <v/>
      </c>
      <c r="K24" s="0">
        <f>IF(D24=1,'7806'!D28&amp;"","")</f>
        <v/>
      </c>
      <c r="L24" s="0">
        <f>IF(D24=1,IF('7806'!F28="","",'7806'!F28),"")</f>
        <v/>
      </c>
    </row>
    <row r="25">
      <c r="A25" s="0" t="inlineStr">
        <is>
          <t>7806 – School &amp; Community Relations</t>
        </is>
      </c>
      <c r="B25" s="0" t="inlineStr">
        <is>
          <t>7806</t>
        </is>
      </c>
      <c r="C25" s="0" t="n">
        <v>29</v>
      </c>
      <c r="D25" s="0">
        <f>IF(AND(UPPER(TRIM('7806'!A29))="CHOICE",LEN(TRIM('7806'!E29&amp;'7806'!F29))&gt;0),1,0)</f>
        <v/>
      </c>
      <c r="E25" s="0">
        <f>IF(D25=1,MAX(E$1:E24)+1,"")</f>
        <v/>
      </c>
      <c r="F25" s="0">
        <f>IF(D25=1,IFERROR(CHOOSE(MATCH("X",'7806'!G29:L29,0),"①","②","③","④","⑤","⑥"),""),"")</f>
        <v/>
      </c>
      <c r="G25" s="0">
        <f>IF(D25=1,IF('7806'!B29="","",'7806'!B29),"")</f>
        <v/>
      </c>
      <c r="H25" s="0">
        <f>IF(D25=1,'7806'!N29&amp;"","")</f>
        <v/>
      </c>
      <c r="I25" s="0">
        <f>IF(D25=1,'7806'!C29&amp;"","")</f>
        <v/>
      </c>
      <c r="J25" s="0">
        <f>IF(D25=1,'7806'!E29&amp;"","")</f>
        <v/>
      </c>
      <c r="K25" s="0">
        <f>IF(D25=1,'7806'!D29&amp;"","")</f>
        <v/>
      </c>
      <c r="L25" s="0">
        <f>IF(D25=1,IF('7806'!F29="","",'7806'!F29),"")</f>
        <v/>
      </c>
    </row>
    <row r="26">
      <c r="A26" s="0" t="inlineStr">
        <is>
          <t>7806 – School &amp; Community Relations</t>
        </is>
      </c>
      <c r="B26" s="0" t="inlineStr">
        <is>
          <t>7806</t>
        </is>
      </c>
      <c r="C26" s="0" t="n">
        <v>30</v>
      </c>
      <c r="D26" s="0">
        <f>IF(AND(UPPER(TRIM('7806'!A30))="CHOICE",LEN(TRIM('7806'!E30&amp;'7806'!F30))&gt;0),1,0)</f>
        <v/>
      </c>
      <c r="E26" s="0">
        <f>IF(D26=1,MAX(E$1:E25)+1,"")</f>
        <v/>
      </c>
      <c r="F26" s="0">
        <f>IF(D26=1,IFERROR(CHOOSE(MATCH("X",'7806'!G30:L30,0),"①","②","③","④","⑤","⑥"),""),"")</f>
        <v/>
      </c>
      <c r="G26" s="0">
        <f>IF(D26=1,IF('7806'!B30="","",'7806'!B30),"")</f>
        <v/>
      </c>
      <c r="H26" s="0">
        <f>IF(D26=1,'7806'!N30&amp;"","")</f>
        <v/>
      </c>
      <c r="I26" s="0">
        <f>IF(D26=1,'7806'!C30&amp;"","")</f>
        <v/>
      </c>
      <c r="J26" s="0">
        <f>IF(D26=1,'7806'!E30&amp;"","")</f>
        <v/>
      </c>
      <c r="K26" s="0">
        <f>IF(D26=1,'7806'!D30&amp;"","")</f>
        <v/>
      </c>
      <c r="L26" s="0">
        <f>IF(D26=1,IF('7806'!F30="","",'7806'!F30),"")</f>
        <v/>
      </c>
    </row>
    <row r="27">
      <c r="A27" s="0" t="inlineStr">
        <is>
          <t>7806 – School &amp; Community Relations</t>
        </is>
      </c>
      <c r="B27" s="0" t="inlineStr">
        <is>
          <t>7806</t>
        </is>
      </c>
      <c r="C27" s="0" t="n">
        <v>31</v>
      </c>
      <c r="D27" s="0">
        <f>IF(AND(UPPER(TRIM('7806'!A31))="CHOICE",LEN(TRIM('7806'!E31&amp;'7806'!F31))&gt;0),1,0)</f>
        <v/>
      </c>
      <c r="E27" s="0">
        <f>IF(D27=1,MAX(E$1:E26)+1,"")</f>
        <v/>
      </c>
      <c r="F27" s="0">
        <f>IF(D27=1,IFERROR(CHOOSE(MATCH("X",'7806'!G31:L31,0),"①","②","③","④","⑤","⑥"),""),"")</f>
        <v/>
      </c>
      <c r="G27" s="0">
        <f>IF(D27=1,IF('7806'!B31="","",'7806'!B31),"")</f>
        <v/>
      </c>
      <c r="H27" s="0">
        <f>IF(D27=1,'7806'!N31&amp;"","")</f>
        <v/>
      </c>
      <c r="I27" s="0">
        <f>IF(D27=1,'7806'!C31&amp;"","")</f>
        <v/>
      </c>
      <c r="J27" s="0">
        <f>IF(D27=1,'7806'!E31&amp;"","")</f>
        <v/>
      </c>
      <c r="K27" s="0">
        <f>IF(D27=1,'7806'!D31&amp;"","")</f>
        <v/>
      </c>
      <c r="L27" s="0">
        <f>IF(D27=1,IF('7806'!F31="","",'7806'!F31),"")</f>
        <v/>
      </c>
    </row>
    <row r="28">
      <c r="A28" s="0" t="inlineStr">
        <is>
          <t>7806 – School &amp; Community Relations</t>
        </is>
      </c>
      <c r="B28" s="0" t="inlineStr">
        <is>
          <t>7806</t>
        </is>
      </c>
      <c r="C28" s="0" t="n">
        <v>32</v>
      </c>
      <c r="D28" s="0">
        <f>IF(AND(UPPER(TRIM('7806'!A32))="CHOICE",LEN(TRIM('7806'!E32&amp;'7806'!F32))&gt;0),1,0)</f>
        <v/>
      </c>
      <c r="E28" s="0">
        <f>IF(D28=1,MAX(E$1:E27)+1,"")</f>
        <v/>
      </c>
      <c r="F28" s="0">
        <f>IF(D28=1,IFERROR(CHOOSE(MATCH("X",'7806'!G32:L32,0),"①","②","③","④","⑤","⑥"),""),"")</f>
        <v/>
      </c>
      <c r="G28" s="0">
        <f>IF(D28=1,IF('7806'!B32="","",'7806'!B32),"")</f>
        <v/>
      </c>
      <c r="H28" s="0">
        <f>IF(D28=1,'7806'!N32&amp;"","")</f>
        <v/>
      </c>
      <c r="I28" s="0">
        <f>IF(D28=1,'7806'!C32&amp;"","")</f>
        <v/>
      </c>
      <c r="J28" s="0">
        <f>IF(D28=1,'7806'!E32&amp;"","")</f>
        <v/>
      </c>
      <c r="K28" s="0">
        <f>IF(D28=1,'7806'!D32&amp;"","")</f>
        <v/>
      </c>
      <c r="L28" s="0">
        <f>IF(D28=1,IF('7806'!F32="","",'7806'!F32),"")</f>
        <v/>
      </c>
    </row>
    <row r="29">
      <c r="A29" s="0" t="inlineStr">
        <is>
          <t>7806 – School &amp; Community Relations</t>
        </is>
      </c>
      <c r="B29" s="0" t="inlineStr">
        <is>
          <t>7806</t>
        </is>
      </c>
      <c r="C29" s="0" t="n">
        <v>33</v>
      </c>
      <c r="D29" s="0">
        <f>IF(AND(UPPER(TRIM('7806'!A33))="CHOICE",LEN(TRIM('7806'!E33&amp;'7806'!F33))&gt;0),1,0)</f>
        <v/>
      </c>
      <c r="E29" s="0">
        <f>IF(D29=1,MAX(E$1:E28)+1,"")</f>
        <v/>
      </c>
      <c r="F29" s="0">
        <f>IF(D29=1,IFERROR(CHOOSE(MATCH("X",'7806'!G33:L33,0),"①","②","③","④","⑤","⑥"),""),"")</f>
        <v/>
      </c>
      <c r="G29" s="0">
        <f>IF(D29=1,IF('7806'!B33="","",'7806'!B33),"")</f>
        <v/>
      </c>
      <c r="H29" s="0">
        <f>IF(D29=1,'7806'!N33&amp;"","")</f>
        <v/>
      </c>
      <c r="I29" s="0">
        <f>IF(D29=1,'7806'!C33&amp;"","")</f>
        <v/>
      </c>
      <c r="J29" s="0">
        <f>IF(D29=1,'7806'!E33&amp;"","")</f>
        <v/>
      </c>
      <c r="K29" s="0">
        <f>IF(D29=1,'7806'!D33&amp;"","")</f>
        <v/>
      </c>
      <c r="L29" s="0">
        <f>IF(D29=1,IF('7806'!F33="","",'7806'!F33),"")</f>
        <v/>
      </c>
    </row>
    <row r="30">
      <c r="A30" s="0" t="inlineStr">
        <is>
          <t>7806 – School &amp; Community Relations</t>
        </is>
      </c>
      <c r="B30" s="0" t="inlineStr">
        <is>
          <t>7806</t>
        </is>
      </c>
      <c r="C30" s="0" t="n">
        <v>34</v>
      </c>
      <c r="D30" s="0">
        <f>IF(AND(UPPER(TRIM('7806'!A34))="CHOICE",LEN(TRIM('7806'!E34&amp;'7806'!F34))&gt;0),1,0)</f>
        <v/>
      </c>
      <c r="E30" s="0">
        <f>IF(D30=1,MAX(E$1:E29)+1,"")</f>
        <v/>
      </c>
      <c r="F30" s="0">
        <f>IF(D30=1,IFERROR(CHOOSE(MATCH("X",'7806'!G34:L34,0),"①","②","③","④","⑤","⑥"),""),"")</f>
        <v/>
      </c>
      <c r="G30" s="0">
        <f>IF(D30=1,IF('7806'!B34="","",'7806'!B34),"")</f>
        <v/>
      </c>
      <c r="H30" s="0">
        <f>IF(D30=1,'7806'!N34&amp;"","")</f>
        <v/>
      </c>
      <c r="I30" s="0">
        <f>IF(D30=1,'7806'!C34&amp;"","")</f>
        <v/>
      </c>
      <c r="J30" s="0">
        <f>IF(D30=1,'7806'!E34&amp;"","")</f>
        <v/>
      </c>
      <c r="K30" s="0">
        <f>IF(D30=1,'7806'!D34&amp;"","")</f>
        <v/>
      </c>
      <c r="L30" s="0">
        <f>IF(D30=1,IF('7806'!F34="","",'7806'!F34),"")</f>
        <v/>
      </c>
    </row>
    <row r="31">
      <c r="A31" s="0" t="inlineStr">
        <is>
          <t>7806 – School &amp; Community Relations</t>
        </is>
      </c>
      <c r="B31" s="0" t="inlineStr">
        <is>
          <t>7806</t>
        </is>
      </c>
      <c r="C31" s="0" t="n">
        <v>35</v>
      </c>
      <c r="D31" s="0">
        <f>IF(AND(UPPER(TRIM('7806'!A35))="CHOICE",LEN(TRIM('7806'!E35&amp;'7806'!F35))&gt;0),1,0)</f>
        <v/>
      </c>
      <c r="E31" s="0">
        <f>IF(D31=1,MAX(E$1:E30)+1,"")</f>
        <v/>
      </c>
      <c r="F31" s="0">
        <f>IF(D31=1,IFERROR(CHOOSE(MATCH("X",'7806'!G35:L35,0),"①","②","③","④","⑤","⑥"),""),"")</f>
        <v/>
      </c>
      <c r="G31" s="0">
        <f>IF(D31=1,IF('7806'!B35="","",'7806'!B35),"")</f>
        <v/>
      </c>
      <c r="H31" s="0">
        <f>IF(D31=1,'7806'!N35&amp;"","")</f>
        <v/>
      </c>
      <c r="I31" s="0">
        <f>IF(D31=1,'7806'!C35&amp;"","")</f>
        <v/>
      </c>
      <c r="J31" s="0">
        <f>IF(D31=1,'7806'!E35&amp;"","")</f>
        <v/>
      </c>
      <c r="K31" s="0">
        <f>IF(D31=1,'7806'!D35&amp;"","")</f>
        <v/>
      </c>
      <c r="L31" s="0">
        <f>IF(D31=1,IF('7806'!F35="","",'7806'!F35),"")</f>
        <v/>
      </c>
    </row>
    <row r="32">
      <c r="A32" s="0" t="inlineStr">
        <is>
          <t>7806 – School &amp; Community Relations</t>
        </is>
      </c>
      <c r="B32" s="0" t="inlineStr">
        <is>
          <t>7806</t>
        </is>
      </c>
      <c r="C32" s="0" t="n">
        <v>36</v>
      </c>
      <c r="D32" s="0">
        <f>IF(AND(UPPER(TRIM('7806'!A36))="CHOICE",LEN(TRIM('7806'!E36&amp;'7806'!F36))&gt;0),1,0)</f>
        <v/>
      </c>
      <c r="E32" s="0">
        <f>IF(D32=1,MAX(E$1:E31)+1,"")</f>
        <v/>
      </c>
      <c r="F32" s="0">
        <f>IF(D32=1,IFERROR(CHOOSE(MATCH("X",'7806'!G36:L36,0),"①","②","③","④","⑤","⑥"),""),"")</f>
        <v/>
      </c>
      <c r="G32" s="0">
        <f>IF(D32=1,IF('7806'!B36="","",'7806'!B36),"")</f>
        <v/>
      </c>
      <c r="H32" s="0">
        <f>IF(D32=1,'7806'!N36&amp;"","")</f>
        <v/>
      </c>
      <c r="I32" s="0">
        <f>IF(D32=1,'7806'!C36&amp;"","")</f>
        <v/>
      </c>
      <c r="J32" s="0">
        <f>IF(D32=1,'7806'!E36&amp;"","")</f>
        <v/>
      </c>
      <c r="K32" s="0">
        <f>IF(D32=1,'7806'!D36&amp;"","")</f>
        <v/>
      </c>
      <c r="L32" s="0">
        <f>IF(D32=1,IF('7806'!F36="","",'7806'!F36),"")</f>
        <v/>
      </c>
    </row>
    <row r="33">
      <c r="A33" s="0" t="inlineStr">
        <is>
          <t>7806 – School &amp; Community Relations</t>
        </is>
      </c>
      <c r="B33" s="0" t="inlineStr">
        <is>
          <t>7806</t>
        </is>
      </c>
      <c r="C33" s="0" t="n">
        <v>37</v>
      </c>
      <c r="D33" s="0">
        <f>IF(AND(UPPER(TRIM('7806'!A37))="CHOICE",LEN(TRIM('7806'!E37&amp;'7806'!F37))&gt;0),1,0)</f>
        <v/>
      </c>
      <c r="E33" s="0">
        <f>IF(D33=1,MAX(E$1:E32)+1,"")</f>
        <v/>
      </c>
      <c r="F33" s="0">
        <f>IF(D33=1,IFERROR(CHOOSE(MATCH("X",'7806'!G37:L37,0),"①","②","③","④","⑤","⑥"),""),"")</f>
        <v/>
      </c>
      <c r="G33" s="0">
        <f>IF(D33=1,IF('7806'!B37="","",'7806'!B37),"")</f>
        <v/>
      </c>
      <c r="H33" s="0">
        <f>IF(D33=1,'7806'!N37&amp;"","")</f>
        <v/>
      </c>
      <c r="I33" s="0">
        <f>IF(D33=1,'7806'!C37&amp;"","")</f>
        <v/>
      </c>
      <c r="J33" s="0">
        <f>IF(D33=1,'7806'!E37&amp;"","")</f>
        <v/>
      </c>
      <c r="K33" s="0">
        <f>IF(D33=1,'7806'!D37&amp;"","")</f>
        <v/>
      </c>
      <c r="L33" s="0">
        <f>IF(D33=1,IF('7806'!F37="","",'7806'!F37),"")</f>
        <v/>
      </c>
    </row>
    <row r="34">
      <c r="A34" s="0" t="inlineStr">
        <is>
          <t>7806 – School &amp; Community Relations</t>
        </is>
      </c>
      <c r="B34" s="0" t="inlineStr">
        <is>
          <t>7806</t>
        </is>
      </c>
      <c r="C34" s="0" t="n">
        <v>38</v>
      </c>
      <c r="D34" s="0">
        <f>IF(AND(UPPER(TRIM('7806'!A38))="CHOICE",LEN(TRIM('7806'!E38&amp;'7806'!F38))&gt;0),1,0)</f>
        <v/>
      </c>
      <c r="E34" s="0">
        <f>IF(D34=1,MAX(E$1:E33)+1,"")</f>
        <v/>
      </c>
      <c r="F34" s="0">
        <f>IF(D34=1,IFERROR(CHOOSE(MATCH("X",'7806'!G38:L38,0),"①","②","③","④","⑤","⑥"),""),"")</f>
        <v/>
      </c>
      <c r="G34" s="0">
        <f>IF(D34=1,IF('7806'!B38="","",'7806'!B38),"")</f>
        <v/>
      </c>
      <c r="H34" s="0">
        <f>IF(D34=1,'7806'!N38&amp;"","")</f>
        <v/>
      </c>
      <c r="I34" s="0">
        <f>IF(D34=1,'7806'!C38&amp;"","")</f>
        <v/>
      </c>
      <c r="J34" s="0">
        <f>IF(D34=1,'7806'!E38&amp;"","")</f>
        <v/>
      </c>
      <c r="K34" s="0">
        <f>IF(D34=1,'7806'!D38&amp;"","")</f>
        <v/>
      </c>
      <c r="L34" s="0">
        <f>IF(D34=1,IF('7806'!F38="","",'7806'!F38),"")</f>
        <v/>
      </c>
    </row>
    <row r="35">
      <c r="A35" s="0" t="inlineStr">
        <is>
          <t>7806 – School &amp; Community Relations</t>
        </is>
      </c>
      <c r="B35" s="0" t="inlineStr">
        <is>
          <t>7806</t>
        </is>
      </c>
      <c r="C35" s="0" t="n">
        <v>39</v>
      </c>
      <c r="D35" s="0">
        <f>IF(AND(UPPER(TRIM('7806'!A39))="CHOICE",LEN(TRIM('7806'!E39&amp;'7806'!F39))&gt;0),1,0)</f>
        <v/>
      </c>
      <c r="E35" s="0">
        <f>IF(D35=1,MAX(E$1:E34)+1,"")</f>
        <v/>
      </c>
      <c r="F35" s="0">
        <f>IF(D35=1,IFERROR(CHOOSE(MATCH("X",'7806'!G39:L39,0),"①","②","③","④","⑤","⑥"),""),"")</f>
        <v/>
      </c>
      <c r="G35" s="0">
        <f>IF(D35=1,IF('7806'!B39="","",'7806'!B39),"")</f>
        <v/>
      </c>
      <c r="H35" s="0">
        <f>IF(D35=1,'7806'!N39&amp;"","")</f>
        <v/>
      </c>
      <c r="I35" s="0">
        <f>IF(D35=1,'7806'!C39&amp;"","")</f>
        <v/>
      </c>
      <c r="J35" s="0">
        <f>IF(D35=1,'7806'!E39&amp;"","")</f>
        <v/>
      </c>
      <c r="K35" s="0">
        <f>IF(D35=1,'7806'!D39&amp;"","")</f>
        <v/>
      </c>
      <c r="L35" s="0">
        <f>IF(D35=1,IF('7806'!F39="","",'7806'!F39),"")</f>
        <v/>
      </c>
    </row>
    <row r="36">
      <c r="A36" s="0" t="inlineStr">
        <is>
          <t>7806 – School &amp; Community Relations</t>
        </is>
      </c>
      <c r="B36" s="0" t="inlineStr">
        <is>
          <t>7806</t>
        </is>
      </c>
      <c r="C36" s="0" t="n">
        <v>40</v>
      </c>
      <c r="D36" s="0">
        <f>IF(AND(UPPER(TRIM('7806'!A40))="CHOICE",LEN(TRIM('7806'!E40&amp;'7806'!F40))&gt;0),1,0)</f>
        <v/>
      </c>
      <c r="E36" s="0">
        <f>IF(D36=1,MAX(E$1:E35)+1,"")</f>
        <v/>
      </c>
      <c r="F36" s="0">
        <f>IF(D36=1,IFERROR(CHOOSE(MATCH("X",'7806'!G40:L40,0),"①","②","③","④","⑤","⑥"),""),"")</f>
        <v/>
      </c>
      <c r="G36" s="0">
        <f>IF(D36=1,IF('7806'!B40="","",'7806'!B40),"")</f>
        <v/>
      </c>
      <c r="H36" s="0">
        <f>IF(D36=1,'7806'!N40&amp;"","")</f>
        <v/>
      </c>
      <c r="I36" s="0">
        <f>IF(D36=1,'7806'!C40&amp;"","")</f>
        <v/>
      </c>
      <c r="J36" s="0">
        <f>IF(D36=1,'7806'!E40&amp;"","")</f>
        <v/>
      </c>
      <c r="K36" s="0">
        <f>IF(D36=1,'7806'!D40&amp;"","")</f>
        <v/>
      </c>
      <c r="L36" s="0">
        <f>IF(D36=1,IF('7806'!F40="","",'7806'!F40),"")</f>
        <v/>
      </c>
    </row>
    <row r="37">
      <c r="A37" s="0" t="inlineStr">
        <is>
          <t>7806 – School &amp; Community Relations</t>
        </is>
      </c>
      <c r="B37" s="0" t="inlineStr">
        <is>
          <t>7806</t>
        </is>
      </c>
      <c r="C37" s="0" t="n">
        <v>41</v>
      </c>
      <c r="D37" s="0">
        <f>IF(AND(UPPER(TRIM('7806'!A41))="CHOICE",LEN(TRIM('7806'!E41&amp;'7806'!F41))&gt;0),1,0)</f>
        <v/>
      </c>
      <c r="E37" s="0">
        <f>IF(D37=1,MAX(E$1:E36)+1,"")</f>
        <v/>
      </c>
      <c r="F37" s="0">
        <f>IF(D37=1,IFERROR(CHOOSE(MATCH("X",'7806'!G41:L41,0),"①","②","③","④","⑤","⑥"),""),"")</f>
        <v/>
      </c>
      <c r="G37" s="0">
        <f>IF(D37=1,IF('7806'!B41="","",'7806'!B41),"")</f>
        <v/>
      </c>
      <c r="H37" s="0">
        <f>IF(D37=1,'7806'!N41&amp;"","")</f>
        <v/>
      </c>
      <c r="I37" s="0">
        <f>IF(D37=1,'7806'!C41&amp;"","")</f>
        <v/>
      </c>
      <c r="J37" s="0">
        <f>IF(D37=1,'7806'!E41&amp;"","")</f>
        <v/>
      </c>
      <c r="K37" s="0">
        <f>IF(D37=1,'7806'!D41&amp;"","")</f>
        <v/>
      </c>
      <c r="L37" s="0">
        <f>IF(D37=1,IF('7806'!F41="","",'7806'!F41),"")</f>
        <v/>
      </c>
    </row>
    <row r="38">
      <c r="A38" s="0" t="inlineStr">
        <is>
          <t>7806 – School &amp; Community Relations</t>
        </is>
      </c>
      <c r="B38" s="0" t="inlineStr">
        <is>
          <t>7806</t>
        </is>
      </c>
      <c r="C38" s="0" t="n">
        <v>42</v>
      </c>
      <c r="D38" s="0">
        <f>IF(AND(UPPER(TRIM('7806'!A42))="CHOICE",LEN(TRIM('7806'!E42&amp;'7806'!F42))&gt;0),1,0)</f>
        <v/>
      </c>
      <c r="E38" s="0">
        <f>IF(D38=1,MAX(E$1:E37)+1,"")</f>
        <v/>
      </c>
      <c r="F38" s="0">
        <f>IF(D38=1,IFERROR(CHOOSE(MATCH("X",'7806'!G42:L42,0),"①","②","③","④","⑤","⑥"),""),"")</f>
        <v/>
      </c>
      <c r="G38" s="0">
        <f>IF(D38=1,IF('7806'!B42="","",'7806'!B42),"")</f>
        <v/>
      </c>
      <c r="H38" s="0">
        <f>IF(D38=1,'7806'!N42&amp;"","")</f>
        <v/>
      </c>
      <c r="I38" s="0">
        <f>IF(D38=1,'7806'!C42&amp;"","")</f>
        <v/>
      </c>
      <c r="J38" s="0">
        <f>IF(D38=1,'7806'!E42&amp;"","")</f>
        <v/>
      </c>
      <c r="K38" s="0">
        <f>IF(D38=1,'7806'!D42&amp;"","")</f>
        <v/>
      </c>
      <c r="L38" s="0">
        <f>IF(D38=1,IF('7806'!F42="","",'7806'!F42),"")</f>
        <v/>
      </c>
    </row>
    <row r="39">
      <c r="A39" s="0" t="inlineStr">
        <is>
          <t>7806 – School &amp; Community Relations</t>
        </is>
      </c>
      <c r="B39" s="0" t="inlineStr">
        <is>
          <t>7806</t>
        </is>
      </c>
      <c r="C39" s="0" t="n">
        <v>43</v>
      </c>
      <c r="D39" s="0">
        <f>IF(AND(UPPER(TRIM('7806'!A43))="CHOICE",LEN(TRIM('7806'!E43&amp;'7806'!F43))&gt;0),1,0)</f>
        <v/>
      </c>
      <c r="E39" s="0">
        <f>IF(D39=1,MAX(E$1:E38)+1,"")</f>
        <v/>
      </c>
      <c r="F39" s="0">
        <f>IF(D39=1,IFERROR(CHOOSE(MATCH("X",'7806'!G43:L43,0),"①","②","③","④","⑤","⑥"),""),"")</f>
        <v/>
      </c>
      <c r="G39" s="0">
        <f>IF(D39=1,IF('7806'!B43="","",'7806'!B43),"")</f>
        <v/>
      </c>
      <c r="H39" s="0">
        <f>IF(D39=1,'7806'!N43&amp;"","")</f>
        <v/>
      </c>
      <c r="I39" s="0">
        <f>IF(D39=1,'7806'!C43&amp;"","")</f>
        <v/>
      </c>
      <c r="J39" s="0">
        <f>IF(D39=1,'7806'!E43&amp;"","")</f>
        <v/>
      </c>
      <c r="K39" s="0">
        <f>IF(D39=1,'7806'!D43&amp;"","")</f>
        <v/>
      </c>
      <c r="L39" s="0">
        <f>IF(D39=1,IF('7806'!F43="","",'7806'!F43),"")</f>
        <v/>
      </c>
    </row>
    <row r="40">
      <c r="A40" s="0" t="inlineStr">
        <is>
          <t>7806 – School &amp; Community Relations</t>
        </is>
      </c>
      <c r="B40" s="0" t="inlineStr">
        <is>
          <t>7806</t>
        </is>
      </c>
      <c r="C40" s="0" t="n">
        <v>44</v>
      </c>
      <c r="D40" s="0">
        <f>IF(AND(UPPER(TRIM('7806'!A44))="CHOICE",LEN(TRIM('7806'!E44&amp;'7806'!F44))&gt;0),1,0)</f>
        <v/>
      </c>
      <c r="E40" s="0">
        <f>IF(D40=1,MAX(E$1:E39)+1,"")</f>
        <v/>
      </c>
      <c r="F40" s="0">
        <f>IF(D40=1,IFERROR(CHOOSE(MATCH("X",'7806'!G44:L44,0),"①","②","③","④","⑤","⑥"),""),"")</f>
        <v/>
      </c>
      <c r="G40" s="0">
        <f>IF(D40=1,IF('7806'!B44="","",'7806'!B44),"")</f>
        <v/>
      </c>
      <c r="H40" s="0">
        <f>IF(D40=1,'7806'!N44&amp;"","")</f>
        <v/>
      </c>
      <c r="I40" s="0">
        <f>IF(D40=1,'7806'!C44&amp;"","")</f>
        <v/>
      </c>
      <c r="J40" s="0">
        <f>IF(D40=1,'7806'!E44&amp;"","")</f>
        <v/>
      </c>
      <c r="K40" s="0">
        <f>IF(D40=1,'7806'!D44&amp;"","")</f>
        <v/>
      </c>
      <c r="L40" s="0">
        <f>IF(D40=1,IF('7806'!F44="","",'7806'!F44),"")</f>
        <v/>
      </c>
    </row>
    <row r="41">
      <c r="A41" s="0" t="inlineStr">
        <is>
          <t>7806 – School &amp; Community Relations</t>
        </is>
      </c>
      <c r="B41" s="0" t="inlineStr">
        <is>
          <t>7806</t>
        </is>
      </c>
      <c r="C41" s="0" t="n">
        <v>45</v>
      </c>
      <c r="D41" s="0">
        <f>IF(AND(UPPER(TRIM('7806'!A45))="CHOICE",LEN(TRIM('7806'!E45&amp;'7806'!F45))&gt;0),1,0)</f>
        <v/>
      </c>
      <c r="E41" s="0">
        <f>IF(D41=1,MAX(E$1:E40)+1,"")</f>
        <v/>
      </c>
      <c r="F41" s="0">
        <f>IF(D41=1,IFERROR(CHOOSE(MATCH("X",'7806'!G45:L45,0),"①","②","③","④","⑤","⑥"),""),"")</f>
        <v/>
      </c>
      <c r="G41" s="0">
        <f>IF(D41=1,IF('7806'!B45="","",'7806'!B45),"")</f>
        <v/>
      </c>
      <c r="H41" s="0">
        <f>IF(D41=1,'7806'!N45&amp;"","")</f>
        <v/>
      </c>
      <c r="I41" s="0">
        <f>IF(D41=1,'7806'!C45&amp;"","")</f>
        <v/>
      </c>
      <c r="J41" s="0">
        <f>IF(D41=1,'7806'!E45&amp;"","")</f>
        <v/>
      </c>
      <c r="K41" s="0">
        <f>IF(D41=1,'7806'!D45&amp;"","")</f>
        <v/>
      </c>
      <c r="L41" s="0">
        <f>IF(D41=1,IF('7806'!F45="","",'7806'!F45),"")</f>
        <v/>
      </c>
    </row>
    <row r="42">
      <c r="A42" s="0" t="inlineStr">
        <is>
          <t>7806 – School &amp; Community Relations</t>
        </is>
      </c>
      <c r="B42" s="0" t="inlineStr">
        <is>
          <t>7806</t>
        </is>
      </c>
      <c r="C42" s="0" t="n">
        <v>46</v>
      </c>
      <c r="D42" s="0">
        <f>IF(AND(UPPER(TRIM('7806'!A46))="CHOICE",LEN(TRIM('7806'!E46&amp;'7806'!F46))&gt;0),1,0)</f>
        <v/>
      </c>
      <c r="E42" s="0">
        <f>IF(D42=1,MAX(E$1:E41)+1,"")</f>
        <v/>
      </c>
      <c r="F42" s="0">
        <f>IF(D42=1,IFERROR(CHOOSE(MATCH("X",'7806'!G46:L46,0),"①","②","③","④","⑤","⑥"),""),"")</f>
        <v/>
      </c>
      <c r="G42" s="0">
        <f>IF(D42=1,IF('7806'!B46="","",'7806'!B46),"")</f>
        <v/>
      </c>
      <c r="H42" s="0">
        <f>IF(D42=1,'7806'!N46&amp;"","")</f>
        <v/>
      </c>
      <c r="I42" s="0">
        <f>IF(D42=1,'7806'!C46&amp;"","")</f>
        <v/>
      </c>
      <c r="J42" s="0">
        <f>IF(D42=1,'7806'!E46&amp;"","")</f>
        <v/>
      </c>
      <c r="K42" s="0">
        <f>IF(D42=1,'7806'!D46&amp;"","")</f>
        <v/>
      </c>
      <c r="L42" s="0">
        <f>IF(D42=1,IF('7806'!F46="","",'7806'!F46),"")</f>
        <v/>
      </c>
    </row>
    <row r="43">
      <c r="A43" s="0" t="inlineStr">
        <is>
          <t>7806 – School &amp; Community Relations</t>
        </is>
      </c>
      <c r="B43" s="0" t="inlineStr">
        <is>
          <t>7806</t>
        </is>
      </c>
      <c r="C43" s="0" t="n">
        <v>47</v>
      </c>
      <c r="D43" s="0">
        <f>IF(AND(UPPER(TRIM('7806'!A47))="CHOICE",LEN(TRIM('7806'!E47&amp;'7806'!F47))&gt;0),1,0)</f>
        <v/>
      </c>
      <c r="E43" s="0">
        <f>IF(D43=1,MAX(E$1:E42)+1,"")</f>
        <v/>
      </c>
      <c r="F43" s="0">
        <f>IF(D43=1,IFERROR(CHOOSE(MATCH("X",'7806'!G47:L47,0),"①","②","③","④","⑤","⑥"),""),"")</f>
        <v/>
      </c>
      <c r="G43" s="0">
        <f>IF(D43=1,IF('7806'!B47="","",'7806'!B47),"")</f>
        <v/>
      </c>
      <c r="H43" s="0">
        <f>IF(D43=1,'7806'!N47&amp;"","")</f>
        <v/>
      </c>
      <c r="I43" s="0">
        <f>IF(D43=1,'7806'!C47&amp;"","")</f>
        <v/>
      </c>
      <c r="J43" s="0">
        <f>IF(D43=1,'7806'!E47&amp;"","")</f>
        <v/>
      </c>
      <c r="K43" s="0">
        <f>IF(D43=1,'7806'!D47&amp;"","")</f>
        <v/>
      </c>
      <c r="L43" s="0">
        <f>IF(D43=1,IF('7806'!F47="","",'7806'!F47),"")</f>
        <v/>
      </c>
    </row>
    <row r="44">
      <c r="A44" s="0" t="inlineStr">
        <is>
          <t>7806 – School &amp; Community Relations</t>
        </is>
      </c>
      <c r="B44" s="0" t="inlineStr">
        <is>
          <t>7806</t>
        </is>
      </c>
      <c r="C44" s="0" t="n">
        <v>48</v>
      </c>
      <c r="D44" s="0">
        <f>IF(AND(UPPER(TRIM('7806'!A48))="CHOICE",LEN(TRIM('7806'!E48&amp;'7806'!F48))&gt;0),1,0)</f>
        <v/>
      </c>
      <c r="E44" s="0">
        <f>IF(D44=1,MAX(E$1:E43)+1,"")</f>
        <v/>
      </c>
      <c r="F44" s="0">
        <f>IF(D44=1,IFERROR(CHOOSE(MATCH("X",'7806'!G48:L48,0),"①","②","③","④","⑤","⑥"),""),"")</f>
        <v/>
      </c>
      <c r="G44" s="0">
        <f>IF(D44=1,IF('7806'!B48="","",'7806'!B48),"")</f>
        <v/>
      </c>
      <c r="H44" s="0">
        <f>IF(D44=1,'7806'!N48&amp;"","")</f>
        <v/>
      </c>
      <c r="I44" s="0">
        <f>IF(D44=1,'7806'!C48&amp;"","")</f>
        <v/>
      </c>
      <c r="J44" s="0">
        <f>IF(D44=1,'7806'!E48&amp;"","")</f>
        <v/>
      </c>
      <c r="K44" s="0">
        <f>IF(D44=1,'7806'!D48&amp;"","")</f>
        <v/>
      </c>
      <c r="L44" s="0">
        <f>IF(D44=1,IF('7806'!F48="","",'7806'!F48),"")</f>
        <v/>
      </c>
    </row>
    <row r="45">
      <c r="A45" s="0" t="inlineStr">
        <is>
          <t>7806 – School &amp; Community Relations</t>
        </is>
      </c>
      <c r="B45" s="0" t="inlineStr">
        <is>
          <t>7806</t>
        </is>
      </c>
      <c r="C45" s="0" t="n">
        <v>49</v>
      </c>
      <c r="D45" s="0">
        <f>IF(AND(UPPER(TRIM('7806'!A49))="CHOICE",LEN(TRIM('7806'!E49&amp;'7806'!F49))&gt;0),1,0)</f>
        <v/>
      </c>
      <c r="E45" s="0">
        <f>IF(D45=1,MAX(E$1:E44)+1,"")</f>
        <v/>
      </c>
      <c r="F45" s="0">
        <f>IF(D45=1,IFERROR(CHOOSE(MATCH("X",'7806'!G49:L49,0),"①","②","③","④","⑤","⑥"),""),"")</f>
        <v/>
      </c>
      <c r="G45" s="0">
        <f>IF(D45=1,IF('7806'!B49="","",'7806'!B49),"")</f>
        <v/>
      </c>
      <c r="H45" s="0">
        <f>IF(D45=1,'7806'!N49&amp;"","")</f>
        <v/>
      </c>
      <c r="I45" s="0">
        <f>IF(D45=1,'7806'!C49&amp;"","")</f>
        <v/>
      </c>
      <c r="J45" s="0">
        <f>IF(D45=1,'7806'!E49&amp;"","")</f>
        <v/>
      </c>
      <c r="K45" s="0">
        <f>IF(D45=1,'7806'!D49&amp;"","")</f>
        <v/>
      </c>
      <c r="L45" s="0">
        <f>IF(D45=1,IF('7806'!F49="","",'7806'!F49),"")</f>
        <v/>
      </c>
    </row>
    <row r="46">
      <c r="A46" s="0" t="inlineStr">
        <is>
          <t>7806 – School &amp; Community Relations</t>
        </is>
      </c>
      <c r="B46" s="0" t="inlineStr">
        <is>
          <t>7806</t>
        </is>
      </c>
      <c r="C46" s="0" t="n">
        <v>50</v>
      </c>
      <c r="D46" s="0">
        <f>IF(AND(UPPER(TRIM('7806'!A50))="CHOICE",LEN(TRIM('7806'!E50&amp;'7806'!F50))&gt;0),1,0)</f>
        <v/>
      </c>
      <c r="E46" s="0">
        <f>IF(D46=1,MAX(E$1:E45)+1,"")</f>
        <v/>
      </c>
      <c r="F46" s="0">
        <f>IF(D46=1,IFERROR(CHOOSE(MATCH("X",'7806'!G50:L50,0),"①","②","③","④","⑤","⑥"),""),"")</f>
        <v/>
      </c>
      <c r="G46" s="0">
        <f>IF(D46=1,IF('7806'!B50="","",'7806'!B50),"")</f>
        <v/>
      </c>
      <c r="H46" s="0">
        <f>IF(D46=1,'7806'!N50&amp;"","")</f>
        <v/>
      </c>
      <c r="I46" s="0">
        <f>IF(D46=1,'7806'!C50&amp;"","")</f>
        <v/>
      </c>
      <c r="J46" s="0">
        <f>IF(D46=1,'7806'!E50&amp;"","")</f>
        <v/>
      </c>
      <c r="K46" s="0">
        <f>IF(D46=1,'7806'!D50&amp;"","")</f>
        <v/>
      </c>
      <c r="L46" s="0">
        <f>IF(D46=1,IF('7806'!F50="","",'7806'!F50),"")</f>
        <v/>
      </c>
    </row>
    <row r="47">
      <c r="A47" s="0" t="inlineStr">
        <is>
          <t>7806 – School &amp; Community Relations</t>
        </is>
      </c>
      <c r="B47" s="0" t="inlineStr">
        <is>
          <t>7806</t>
        </is>
      </c>
      <c r="C47" s="0" t="n">
        <v>51</v>
      </c>
      <c r="D47" s="0">
        <f>IF(AND(UPPER(TRIM('7806'!A51))="CHOICE",LEN(TRIM('7806'!E51&amp;'7806'!F51))&gt;0),1,0)</f>
        <v/>
      </c>
      <c r="E47" s="0">
        <f>IF(D47=1,MAX(E$1:E46)+1,"")</f>
        <v/>
      </c>
      <c r="F47" s="0">
        <f>IF(D47=1,IFERROR(CHOOSE(MATCH("X",'7806'!G51:L51,0),"①","②","③","④","⑤","⑥"),""),"")</f>
        <v/>
      </c>
      <c r="G47" s="0">
        <f>IF(D47=1,IF('7806'!B51="","",'7806'!B51),"")</f>
        <v/>
      </c>
      <c r="H47" s="0">
        <f>IF(D47=1,'7806'!N51&amp;"","")</f>
        <v/>
      </c>
      <c r="I47" s="0">
        <f>IF(D47=1,'7806'!C51&amp;"","")</f>
        <v/>
      </c>
      <c r="J47" s="0">
        <f>IF(D47=1,'7806'!E51&amp;"","")</f>
        <v/>
      </c>
      <c r="K47" s="0">
        <f>IF(D47=1,'7806'!D51&amp;"","")</f>
        <v/>
      </c>
      <c r="L47" s="0">
        <f>IF(D47=1,IF('7806'!F51="","",'7806'!F51),"")</f>
        <v/>
      </c>
    </row>
    <row r="48">
      <c r="A48" s="0" t="inlineStr">
        <is>
          <t>7806 – School &amp; Community Relations</t>
        </is>
      </c>
      <c r="B48" s="0" t="inlineStr">
        <is>
          <t>7806</t>
        </is>
      </c>
      <c r="C48" s="0" t="n">
        <v>52</v>
      </c>
      <c r="D48" s="0">
        <f>IF(AND(UPPER(TRIM('7806'!A52))="CHOICE",LEN(TRIM('7806'!E52&amp;'7806'!F52))&gt;0),1,0)</f>
        <v/>
      </c>
      <c r="E48" s="0">
        <f>IF(D48=1,MAX(E$1:E47)+1,"")</f>
        <v/>
      </c>
      <c r="F48" s="0">
        <f>IF(D48=1,IFERROR(CHOOSE(MATCH("X",'7806'!G52:L52,0),"①","②","③","④","⑤","⑥"),""),"")</f>
        <v/>
      </c>
      <c r="G48" s="0">
        <f>IF(D48=1,IF('7806'!B52="","",'7806'!B52),"")</f>
        <v/>
      </c>
      <c r="H48" s="0">
        <f>IF(D48=1,'7806'!N52&amp;"","")</f>
        <v/>
      </c>
      <c r="I48" s="0">
        <f>IF(D48=1,'7806'!C52&amp;"","")</f>
        <v/>
      </c>
      <c r="J48" s="0">
        <f>IF(D48=1,'7806'!E52&amp;"","")</f>
        <v/>
      </c>
      <c r="K48" s="0">
        <f>IF(D48=1,'7806'!D52&amp;"","")</f>
        <v/>
      </c>
      <c r="L48" s="0">
        <f>IF(D48=1,IF('7806'!F52="","",'7806'!F52),"")</f>
        <v/>
      </c>
    </row>
    <row r="49">
      <c r="A49" s="0" t="inlineStr">
        <is>
          <t>7806 – School &amp; Community Relations</t>
        </is>
      </c>
      <c r="B49" s="0" t="inlineStr">
        <is>
          <t>7806</t>
        </is>
      </c>
      <c r="C49" s="0" t="n">
        <v>53</v>
      </c>
      <c r="D49" s="0">
        <f>IF(AND(UPPER(TRIM('7806'!A53))="CHOICE",LEN(TRIM('7806'!E53&amp;'7806'!F53))&gt;0),1,0)</f>
        <v/>
      </c>
      <c r="E49" s="0">
        <f>IF(D49=1,MAX(E$1:E48)+1,"")</f>
        <v/>
      </c>
      <c r="F49" s="0">
        <f>IF(D49=1,IFERROR(CHOOSE(MATCH("X",'7806'!G53:L53,0),"①","②","③","④","⑤","⑥"),""),"")</f>
        <v/>
      </c>
      <c r="G49" s="0">
        <f>IF(D49=1,IF('7806'!B53="","",'7806'!B53),"")</f>
        <v/>
      </c>
      <c r="H49" s="0">
        <f>IF(D49=1,'7806'!N53&amp;"","")</f>
        <v/>
      </c>
      <c r="I49" s="0">
        <f>IF(D49=1,'7806'!C53&amp;"","")</f>
        <v/>
      </c>
      <c r="J49" s="0">
        <f>IF(D49=1,'7806'!E53&amp;"","")</f>
        <v/>
      </c>
      <c r="K49" s="0">
        <f>IF(D49=1,'7806'!D53&amp;"","")</f>
        <v/>
      </c>
      <c r="L49" s="0">
        <f>IF(D49=1,IF('7806'!F53="","",'7806'!F53),"")</f>
        <v/>
      </c>
    </row>
    <row r="50">
      <c r="A50" s="0" t="inlineStr">
        <is>
          <t>7806 – School &amp; Community Relations</t>
        </is>
      </c>
      <c r="B50" s="0" t="inlineStr">
        <is>
          <t>7806</t>
        </is>
      </c>
      <c r="C50" s="0" t="n">
        <v>54</v>
      </c>
      <c r="D50" s="0">
        <f>IF(AND(UPPER(TRIM('7806'!A54))="CHOICE",LEN(TRIM('7806'!E54&amp;'7806'!F54))&gt;0),1,0)</f>
        <v/>
      </c>
      <c r="E50" s="0">
        <f>IF(D50=1,MAX(E$1:E49)+1,"")</f>
        <v/>
      </c>
      <c r="F50" s="0">
        <f>IF(D50=1,IFERROR(CHOOSE(MATCH("X",'7806'!G54:L54,0),"①","②","③","④","⑤","⑥"),""),"")</f>
        <v/>
      </c>
      <c r="G50" s="0">
        <f>IF(D50=1,IF('7806'!B54="","",'7806'!B54),"")</f>
        <v/>
      </c>
      <c r="H50" s="0">
        <f>IF(D50=1,'7806'!N54&amp;"","")</f>
        <v/>
      </c>
      <c r="I50" s="0">
        <f>IF(D50=1,'7806'!C54&amp;"","")</f>
        <v/>
      </c>
      <c r="J50" s="0">
        <f>IF(D50=1,'7806'!E54&amp;"","")</f>
        <v/>
      </c>
      <c r="K50" s="0">
        <f>IF(D50=1,'7806'!D54&amp;"","")</f>
        <v/>
      </c>
      <c r="L50" s="0">
        <f>IF(D50=1,IF('7806'!F54="","",'7806'!F54),"")</f>
        <v/>
      </c>
    </row>
    <row r="51">
      <c r="A51" s="0" t="inlineStr">
        <is>
          <t>7806 – School &amp; Community Relations</t>
        </is>
      </c>
      <c r="B51" s="0" t="inlineStr">
        <is>
          <t>7806</t>
        </is>
      </c>
      <c r="C51" s="0" t="n">
        <v>55</v>
      </c>
      <c r="D51" s="0">
        <f>IF(AND(UPPER(TRIM('7806'!A55))="CHOICE",LEN(TRIM('7806'!E55&amp;'7806'!F55))&gt;0),1,0)</f>
        <v/>
      </c>
      <c r="E51" s="0">
        <f>IF(D51=1,MAX(E$1:E50)+1,"")</f>
        <v/>
      </c>
      <c r="F51" s="0">
        <f>IF(D51=1,IFERROR(CHOOSE(MATCH("X",'7806'!G55:L55,0),"①","②","③","④","⑤","⑥"),""),"")</f>
        <v/>
      </c>
      <c r="G51" s="0">
        <f>IF(D51=1,IF('7806'!B55="","",'7806'!B55),"")</f>
        <v/>
      </c>
      <c r="H51" s="0">
        <f>IF(D51=1,'7806'!N55&amp;"","")</f>
        <v/>
      </c>
      <c r="I51" s="0">
        <f>IF(D51=1,'7806'!C55&amp;"","")</f>
        <v/>
      </c>
      <c r="J51" s="0">
        <f>IF(D51=1,'7806'!E55&amp;"","")</f>
        <v/>
      </c>
      <c r="K51" s="0">
        <f>IF(D51=1,'7806'!D55&amp;"","")</f>
        <v/>
      </c>
      <c r="L51" s="0">
        <f>IF(D51=1,IF('7806'!F55="","",'7806'!F55),"")</f>
        <v/>
      </c>
    </row>
    <row r="52">
      <c r="A52" s="0" t="inlineStr">
        <is>
          <t>7806 – School &amp; Community Relations</t>
        </is>
      </c>
      <c r="B52" s="0" t="inlineStr">
        <is>
          <t>7806</t>
        </is>
      </c>
      <c r="C52" s="0" t="n">
        <v>56</v>
      </c>
      <c r="D52" s="0">
        <f>IF(AND(UPPER(TRIM('7806'!A56))="CHOICE",LEN(TRIM('7806'!E56&amp;'7806'!F56))&gt;0),1,0)</f>
        <v/>
      </c>
      <c r="E52" s="0">
        <f>IF(D52=1,MAX(E$1:E51)+1,"")</f>
        <v/>
      </c>
      <c r="F52" s="0">
        <f>IF(D52=1,IFERROR(CHOOSE(MATCH("X",'7806'!G56:L56,0),"①","②","③","④","⑤","⑥"),""),"")</f>
        <v/>
      </c>
      <c r="G52" s="0">
        <f>IF(D52=1,IF('7806'!B56="","",'7806'!B56),"")</f>
        <v/>
      </c>
      <c r="H52" s="0">
        <f>IF(D52=1,'7806'!N56&amp;"","")</f>
        <v/>
      </c>
      <c r="I52" s="0">
        <f>IF(D52=1,'7806'!C56&amp;"","")</f>
        <v/>
      </c>
      <c r="J52" s="0">
        <f>IF(D52=1,'7806'!E56&amp;"","")</f>
        <v/>
      </c>
      <c r="K52" s="0">
        <f>IF(D52=1,'7806'!D56&amp;"","")</f>
        <v/>
      </c>
      <c r="L52" s="0">
        <f>IF(D52=1,IF('7806'!F56="","",'7806'!F56),"")</f>
        <v/>
      </c>
    </row>
    <row r="53">
      <c r="A53" s="0" t="inlineStr">
        <is>
          <t>7806 – School &amp; Community Relations</t>
        </is>
      </c>
      <c r="B53" s="0" t="inlineStr">
        <is>
          <t>7806</t>
        </is>
      </c>
      <c r="C53" s="0" t="n">
        <v>57</v>
      </c>
      <c r="D53" s="0">
        <f>IF(AND(UPPER(TRIM('7806'!A57))="CHOICE",LEN(TRIM('7806'!E57&amp;'7806'!F57))&gt;0),1,0)</f>
        <v/>
      </c>
      <c r="E53" s="0">
        <f>IF(D53=1,MAX(E$1:E52)+1,"")</f>
        <v/>
      </c>
      <c r="F53" s="0">
        <f>IF(D53=1,IFERROR(CHOOSE(MATCH("X",'7806'!G57:L57,0),"①","②","③","④","⑤","⑥"),""),"")</f>
        <v/>
      </c>
      <c r="G53" s="0">
        <f>IF(D53=1,IF('7806'!B57="","",'7806'!B57),"")</f>
        <v/>
      </c>
      <c r="H53" s="0">
        <f>IF(D53=1,'7806'!N57&amp;"","")</f>
        <v/>
      </c>
      <c r="I53" s="0">
        <f>IF(D53=1,'7806'!C57&amp;"","")</f>
        <v/>
      </c>
      <c r="J53" s="0">
        <f>IF(D53=1,'7806'!E57&amp;"","")</f>
        <v/>
      </c>
      <c r="K53" s="0">
        <f>IF(D53=1,'7806'!D57&amp;"","")</f>
        <v/>
      </c>
      <c r="L53" s="0">
        <f>IF(D53=1,IF('7806'!F57="","",'7806'!F57),"")</f>
        <v/>
      </c>
    </row>
    <row r="54">
      <c r="A54" s="0" t="inlineStr">
        <is>
          <t>7806 – School &amp; Community Relations</t>
        </is>
      </c>
      <c r="B54" s="0" t="inlineStr">
        <is>
          <t>7806</t>
        </is>
      </c>
      <c r="C54" s="0" t="n">
        <v>58</v>
      </c>
      <c r="D54" s="0">
        <f>IF(AND(UPPER(TRIM('7806'!A58))="CHOICE",LEN(TRIM('7806'!E58&amp;'7806'!F58))&gt;0),1,0)</f>
        <v/>
      </c>
      <c r="E54" s="0">
        <f>IF(D54=1,MAX(E$1:E53)+1,"")</f>
        <v/>
      </c>
      <c r="F54" s="0">
        <f>IF(D54=1,IFERROR(CHOOSE(MATCH("X",'7806'!G58:L58,0),"①","②","③","④","⑤","⑥"),""),"")</f>
        <v/>
      </c>
      <c r="G54" s="0">
        <f>IF(D54=1,IF('7806'!B58="","",'7806'!B58),"")</f>
        <v/>
      </c>
      <c r="H54" s="0">
        <f>IF(D54=1,'7806'!N58&amp;"","")</f>
        <v/>
      </c>
      <c r="I54" s="0">
        <f>IF(D54=1,'7806'!C58&amp;"","")</f>
        <v/>
      </c>
      <c r="J54" s="0">
        <f>IF(D54=1,'7806'!E58&amp;"","")</f>
        <v/>
      </c>
      <c r="K54" s="0">
        <f>IF(D54=1,'7806'!D58&amp;"","")</f>
        <v/>
      </c>
      <c r="L54" s="0">
        <f>IF(D54=1,IF('7806'!F58="","",'7806'!F58),"")</f>
        <v/>
      </c>
    </row>
    <row r="55">
      <c r="A55" s="0" t="inlineStr">
        <is>
          <t>7806 – School &amp; Community Relations</t>
        </is>
      </c>
      <c r="B55" s="0" t="inlineStr">
        <is>
          <t>7806</t>
        </is>
      </c>
      <c r="C55" s="0" t="n">
        <v>59</v>
      </c>
      <c r="D55" s="0">
        <f>IF(AND(UPPER(TRIM('7806'!A59))="CHOICE",LEN(TRIM('7806'!E59&amp;'7806'!F59))&gt;0),1,0)</f>
        <v/>
      </c>
      <c r="E55" s="0">
        <f>IF(D55=1,MAX(E$1:E54)+1,"")</f>
        <v/>
      </c>
      <c r="F55" s="0">
        <f>IF(D55=1,IFERROR(CHOOSE(MATCH("X",'7806'!G59:L59,0),"①","②","③","④","⑤","⑥"),""),"")</f>
        <v/>
      </c>
      <c r="G55" s="0">
        <f>IF(D55=1,IF('7806'!B59="","",'7806'!B59),"")</f>
        <v/>
      </c>
      <c r="H55" s="0">
        <f>IF(D55=1,'7806'!N59&amp;"","")</f>
        <v/>
      </c>
      <c r="I55" s="0">
        <f>IF(D55=1,'7806'!C59&amp;"","")</f>
        <v/>
      </c>
      <c r="J55" s="0">
        <f>IF(D55=1,'7806'!E59&amp;"","")</f>
        <v/>
      </c>
      <c r="K55" s="0">
        <f>IF(D55=1,'7806'!D59&amp;"","")</f>
        <v/>
      </c>
      <c r="L55" s="0">
        <f>IF(D55=1,IF('7806'!F59="","",'7806'!F59),"")</f>
        <v/>
      </c>
    </row>
    <row r="56">
      <c r="A56" s="0" t="inlineStr">
        <is>
          <t>7812 – Leading Continuous Improvement</t>
        </is>
      </c>
      <c r="B56" s="0" t="inlineStr">
        <is>
          <t>7812</t>
        </is>
      </c>
      <c r="C56" s="0" t="n">
        <v>6</v>
      </c>
      <c r="D56" s="0">
        <f>IF(AND(UPPER(TRIM('7812'!A6))="CHOICE",LEN(TRIM('7812'!E6&amp;'7812'!F6))&gt;0),1,0)</f>
        <v/>
      </c>
      <c r="E56" s="0">
        <f>IF(D56=1,MAX(E$1:E55)+1,"")</f>
        <v/>
      </c>
      <c r="F56" s="0">
        <f>IF(D56=1,IFERROR(CHOOSE(MATCH("X",'7812'!G6:L6,0),"①","②","③","④","⑤","⑥"),""),"")</f>
        <v/>
      </c>
      <c r="G56" s="0">
        <f>IF(D56=1,IF('7812'!B6="","",'7812'!B6),"")</f>
        <v/>
      </c>
      <c r="H56" s="0">
        <f>IF(D56=1,'7812'!N6&amp;"","")</f>
        <v/>
      </c>
      <c r="I56" s="0">
        <f>IF(D56=1,'7812'!C6&amp;"","")</f>
        <v/>
      </c>
      <c r="J56" s="0">
        <f>IF(D56=1,'7812'!E6&amp;"","")</f>
        <v/>
      </c>
      <c r="K56" s="0">
        <f>IF(D56=1,'7812'!D6&amp;"","")</f>
        <v/>
      </c>
      <c r="L56" s="0">
        <f>IF(D56=1,IF('7812'!F6="","",'7812'!F6),"")</f>
        <v/>
      </c>
    </row>
    <row r="57">
      <c r="A57" s="0" t="inlineStr">
        <is>
          <t>7812 – Leading Continuous Improvement</t>
        </is>
      </c>
      <c r="B57" s="0" t="inlineStr">
        <is>
          <t>7812</t>
        </is>
      </c>
      <c r="C57" s="0" t="n">
        <v>7</v>
      </c>
      <c r="D57" s="0">
        <f>IF(AND(UPPER(TRIM('7812'!A7))="CHOICE",LEN(TRIM('7812'!E7&amp;'7812'!F7))&gt;0),1,0)</f>
        <v/>
      </c>
      <c r="E57" s="0">
        <f>IF(D57=1,MAX(E$1:E56)+1,"")</f>
        <v/>
      </c>
      <c r="F57" s="0">
        <f>IF(D57=1,IFERROR(CHOOSE(MATCH("X",'7812'!G7:L7,0),"①","②","③","④","⑤","⑥"),""),"")</f>
        <v/>
      </c>
      <c r="G57" s="0">
        <f>IF(D57=1,IF('7812'!B7="","",'7812'!B7),"")</f>
        <v/>
      </c>
      <c r="H57" s="0">
        <f>IF(D57=1,'7812'!N7&amp;"","")</f>
        <v/>
      </c>
      <c r="I57" s="0">
        <f>IF(D57=1,'7812'!C7&amp;"","")</f>
        <v/>
      </c>
      <c r="J57" s="0">
        <f>IF(D57=1,'7812'!E7&amp;"","")</f>
        <v/>
      </c>
      <c r="K57" s="0">
        <f>IF(D57=1,'7812'!D7&amp;"","")</f>
        <v/>
      </c>
      <c r="L57" s="0">
        <f>IF(D57=1,IF('7812'!F7="","",'7812'!F7),"")</f>
        <v/>
      </c>
    </row>
    <row r="58">
      <c r="A58" s="0" t="inlineStr">
        <is>
          <t>7812 – Leading Continuous Improvement</t>
        </is>
      </c>
      <c r="B58" s="0" t="inlineStr">
        <is>
          <t>7812</t>
        </is>
      </c>
      <c r="C58" s="0" t="n">
        <v>8</v>
      </c>
      <c r="D58" s="0">
        <f>IF(AND(UPPER(TRIM('7812'!A8))="CHOICE",LEN(TRIM('7812'!E8&amp;'7812'!F8))&gt;0),1,0)</f>
        <v/>
      </c>
      <c r="E58" s="0">
        <f>IF(D58=1,MAX(E$1:E57)+1,"")</f>
        <v/>
      </c>
      <c r="F58" s="0">
        <f>IF(D58=1,IFERROR(CHOOSE(MATCH("X",'7812'!G8:L8,0),"①","②","③","④","⑤","⑥"),""),"")</f>
        <v/>
      </c>
      <c r="G58" s="0">
        <f>IF(D58=1,IF('7812'!B8="","",'7812'!B8),"")</f>
        <v/>
      </c>
      <c r="H58" s="0">
        <f>IF(D58=1,'7812'!N8&amp;"","")</f>
        <v/>
      </c>
      <c r="I58" s="0">
        <f>IF(D58=1,'7812'!C8&amp;"","")</f>
        <v/>
      </c>
      <c r="J58" s="0">
        <f>IF(D58=1,'7812'!E8&amp;"","")</f>
        <v/>
      </c>
      <c r="K58" s="0">
        <f>IF(D58=1,'7812'!D8&amp;"","")</f>
        <v/>
      </c>
      <c r="L58" s="0">
        <f>IF(D58=1,IF('7812'!F8="","",'7812'!F8),"")</f>
        <v/>
      </c>
    </row>
    <row r="59">
      <c r="A59" s="0" t="inlineStr">
        <is>
          <t>7812 – Leading Continuous Improvement</t>
        </is>
      </c>
      <c r="B59" s="0" t="inlineStr">
        <is>
          <t>7812</t>
        </is>
      </c>
      <c r="C59" s="0" t="n">
        <v>9</v>
      </c>
      <c r="D59" s="0">
        <f>IF(AND(UPPER(TRIM('7812'!A9))="CHOICE",LEN(TRIM('7812'!E9&amp;'7812'!F9))&gt;0),1,0)</f>
        <v/>
      </c>
      <c r="E59" s="0">
        <f>IF(D59=1,MAX(E$1:E58)+1,"")</f>
        <v/>
      </c>
      <c r="F59" s="0">
        <f>IF(D59=1,IFERROR(CHOOSE(MATCH("X",'7812'!G9:L9,0),"①","②","③","④","⑤","⑥"),""),"")</f>
        <v/>
      </c>
      <c r="G59" s="0">
        <f>IF(D59=1,IF('7812'!B9="","",'7812'!B9),"")</f>
        <v/>
      </c>
      <c r="H59" s="0">
        <f>IF(D59=1,'7812'!N9&amp;"","")</f>
        <v/>
      </c>
      <c r="I59" s="0">
        <f>IF(D59=1,'7812'!C9&amp;"","")</f>
        <v/>
      </c>
      <c r="J59" s="0">
        <f>IF(D59=1,'7812'!E9&amp;"","")</f>
        <v/>
      </c>
      <c r="K59" s="0">
        <f>IF(D59=1,'7812'!D9&amp;"","")</f>
        <v/>
      </c>
      <c r="L59" s="0">
        <f>IF(D59=1,IF('7812'!F9="","",'7812'!F9),"")</f>
        <v/>
      </c>
    </row>
    <row r="60">
      <c r="A60" s="0" t="inlineStr">
        <is>
          <t>7812 – Leading Continuous Improvement</t>
        </is>
      </c>
      <c r="B60" s="0" t="inlineStr">
        <is>
          <t>7812</t>
        </is>
      </c>
      <c r="C60" s="0" t="n">
        <v>10</v>
      </c>
      <c r="D60" s="0">
        <f>IF(AND(UPPER(TRIM('7812'!A10))="CHOICE",LEN(TRIM('7812'!E10&amp;'7812'!F10))&gt;0),1,0)</f>
        <v/>
      </c>
      <c r="E60" s="0">
        <f>IF(D60=1,MAX(E$1:E59)+1,"")</f>
        <v/>
      </c>
      <c r="F60" s="0">
        <f>IF(D60=1,IFERROR(CHOOSE(MATCH("X",'7812'!G10:L10,0),"①","②","③","④","⑤","⑥"),""),"")</f>
        <v/>
      </c>
      <c r="G60" s="0">
        <f>IF(D60=1,IF('7812'!B10="","",'7812'!B10),"")</f>
        <v/>
      </c>
      <c r="H60" s="0">
        <f>IF(D60=1,'7812'!N10&amp;"","")</f>
        <v/>
      </c>
      <c r="I60" s="0">
        <f>IF(D60=1,'7812'!C10&amp;"","")</f>
        <v/>
      </c>
      <c r="J60" s="0">
        <f>IF(D60=1,'7812'!E10&amp;"","")</f>
        <v/>
      </c>
      <c r="K60" s="0">
        <f>IF(D60=1,'7812'!D10&amp;"","")</f>
        <v/>
      </c>
      <c r="L60" s="0">
        <f>IF(D60=1,IF('7812'!F10="","",'7812'!F10),"")</f>
        <v/>
      </c>
    </row>
    <row r="61">
      <c r="A61" s="0" t="inlineStr">
        <is>
          <t>7812 – Leading Continuous Improvement</t>
        </is>
      </c>
      <c r="B61" s="0" t="inlineStr">
        <is>
          <t>7812</t>
        </is>
      </c>
      <c r="C61" s="0" t="n">
        <v>11</v>
      </c>
      <c r="D61" s="0">
        <f>IF(AND(UPPER(TRIM('7812'!A11))="CHOICE",LEN(TRIM('7812'!E11&amp;'7812'!F11))&gt;0),1,0)</f>
        <v/>
      </c>
      <c r="E61" s="0">
        <f>IF(D61=1,MAX(E$1:E60)+1,"")</f>
        <v/>
      </c>
      <c r="F61" s="0">
        <f>IF(D61=1,IFERROR(CHOOSE(MATCH("X",'7812'!G11:L11,0),"①","②","③","④","⑤","⑥"),""),"")</f>
        <v/>
      </c>
      <c r="G61" s="0">
        <f>IF(D61=1,IF('7812'!B11="","",'7812'!B11),"")</f>
        <v/>
      </c>
      <c r="H61" s="0">
        <f>IF(D61=1,'7812'!N11&amp;"","")</f>
        <v/>
      </c>
      <c r="I61" s="0">
        <f>IF(D61=1,'7812'!C11&amp;"","")</f>
        <v/>
      </c>
      <c r="J61" s="0">
        <f>IF(D61=1,'7812'!E11&amp;"","")</f>
        <v/>
      </c>
      <c r="K61" s="0">
        <f>IF(D61=1,'7812'!D11&amp;"","")</f>
        <v/>
      </c>
      <c r="L61" s="0">
        <f>IF(D61=1,IF('7812'!F11="","",'7812'!F11),"")</f>
        <v/>
      </c>
    </row>
    <row r="62">
      <c r="A62" s="0" t="inlineStr">
        <is>
          <t>7812 – Leading Continuous Improvement</t>
        </is>
      </c>
      <c r="B62" s="0" t="inlineStr">
        <is>
          <t>7812</t>
        </is>
      </c>
      <c r="C62" s="0" t="n">
        <v>12</v>
      </c>
      <c r="D62" s="0">
        <f>IF(AND(UPPER(TRIM('7812'!A12))="CHOICE",LEN(TRIM('7812'!E12&amp;'7812'!F12))&gt;0),1,0)</f>
        <v/>
      </c>
      <c r="E62" s="0">
        <f>IF(D62=1,MAX(E$1:E61)+1,"")</f>
        <v/>
      </c>
      <c r="F62" s="0">
        <f>IF(D62=1,IFERROR(CHOOSE(MATCH("X",'7812'!G12:L12,0),"①","②","③","④","⑤","⑥"),""),"")</f>
        <v/>
      </c>
      <c r="G62" s="0">
        <f>IF(D62=1,IF('7812'!B12="","",'7812'!B12),"")</f>
        <v/>
      </c>
      <c r="H62" s="0">
        <f>IF(D62=1,'7812'!N12&amp;"","")</f>
        <v/>
      </c>
      <c r="I62" s="0">
        <f>IF(D62=1,'7812'!C12&amp;"","")</f>
        <v/>
      </c>
      <c r="J62" s="0">
        <f>IF(D62=1,'7812'!E12&amp;"","")</f>
        <v/>
      </c>
      <c r="K62" s="0">
        <f>IF(D62=1,'7812'!D12&amp;"","")</f>
        <v/>
      </c>
      <c r="L62" s="0">
        <f>IF(D62=1,IF('7812'!F12="","",'7812'!F12),"")</f>
        <v/>
      </c>
    </row>
    <row r="63">
      <c r="A63" s="0" t="inlineStr">
        <is>
          <t>7812 – Leading Continuous Improvement</t>
        </is>
      </c>
      <c r="B63" s="0" t="inlineStr">
        <is>
          <t>7812</t>
        </is>
      </c>
      <c r="C63" s="0" t="n">
        <v>13</v>
      </c>
      <c r="D63" s="0">
        <f>IF(AND(UPPER(TRIM('7812'!A13))="CHOICE",LEN(TRIM('7812'!E13&amp;'7812'!F13))&gt;0),1,0)</f>
        <v/>
      </c>
      <c r="E63" s="0">
        <f>IF(D63=1,MAX(E$1:E62)+1,"")</f>
        <v/>
      </c>
      <c r="F63" s="0">
        <f>IF(D63=1,IFERROR(CHOOSE(MATCH("X",'7812'!G13:L13,0),"①","②","③","④","⑤","⑥"),""),"")</f>
        <v/>
      </c>
      <c r="G63" s="0">
        <f>IF(D63=1,IF('7812'!B13="","",'7812'!B13),"")</f>
        <v/>
      </c>
      <c r="H63" s="0">
        <f>IF(D63=1,'7812'!N13&amp;"","")</f>
        <v/>
      </c>
      <c r="I63" s="0">
        <f>IF(D63=1,'7812'!C13&amp;"","")</f>
        <v/>
      </c>
      <c r="J63" s="0">
        <f>IF(D63=1,'7812'!E13&amp;"","")</f>
        <v/>
      </c>
      <c r="K63" s="0">
        <f>IF(D63=1,'7812'!D13&amp;"","")</f>
        <v/>
      </c>
      <c r="L63" s="0">
        <f>IF(D63=1,IF('7812'!F13="","",'7812'!F13),"")</f>
        <v/>
      </c>
    </row>
    <row r="64">
      <c r="A64" s="0" t="inlineStr">
        <is>
          <t>7812 – Leading Continuous Improvement</t>
        </is>
      </c>
      <c r="B64" s="0" t="inlineStr">
        <is>
          <t>7812</t>
        </is>
      </c>
      <c r="C64" s="0" t="n">
        <v>14</v>
      </c>
      <c r="D64" s="0">
        <f>IF(AND(UPPER(TRIM('7812'!A14))="CHOICE",LEN(TRIM('7812'!E14&amp;'7812'!F14))&gt;0),1,0)</f>
        <v/>
      </c>
      <c r="E64" s="0">
        <f>IF(D64=1,MAX(E$1:E63)+1,"")</f>
        <v/>
      </c>
      <c r="F64" s="0">
        <f>IF(D64=1,IFERROR(CHOOSE(MATCH("X",'7812'!G14:L14,0),"①","②","③","④","⑤","⑥"),""),"")</f>
        <v/>
      </c>
      <c r="G64" s="0">
        <f>IF(D64=1,IF('7812'!B14="","",'7812'!B14),"")</f>
        <v/>
      </c>
      <c r="H64" s="0">
        <f>IF(D64=1,'7812'!N14&amp;"","")</f>
        <v/>
      </c>
      <c r="I64" s="0">
        <f>IF(D64=1,'7812'!C14&amp;"","")</f>
        <v/>
      </c>
      <c r="J64" s="0">
        <f>IF(D64=1,'7812'!E14&amp;"","")</f>
        <v/>
      </c>
      <c r="K64" s="0">
        <f>IF(D64=1,'7812'!D14&amp;"","")</f>
        <v/>
      </c>
      <c r="L64" s="0">
        <f>IF(D64=1,IF('7812'!F14="","",'7812'!F14),"")</f>
        <v/>
      </c>
    </row>
    <row r="65">
      <c r="A65" s="0" t="inlineStr">
        <is>
          <t>7812 – Leading Continuous Improvement</t>
        </is>
      </c>
      <c r="B65" s="0" t="inlineStr">
        <is>
          <t>7812</t>
        </is>
      </c>
      <c r="C65" s="0" t="n">
        <v>15</v>
      </c>
      <c r="D65" s="0">
        <f>IF(AND(UPPER(TRIM('7812'!A15))="CHOICE",LEN(TRIM('7812'!E15&amp;'7812'!F15))&gt;0),1,0)</f>
        <v/>
      </c>
      <c r="E65" s="0">
        <f>IF(D65=1,MAX(E$1:E64)+1,"")</f>
        <v/>
      </c>
      <c r="F65" s="0">
        <f>IF(D65=1,IFERROR(CHOOSE(MATCH("X",'7812'!G15:L15,0),"①","②","③","④","⑤","⑥"),""),"")</f>
        <v/>
      </c>
      <c r="G65" s="0">
        <f>IF(D65=1,IF('7812'!B15="","",'7812'!B15),"")</f>
        <v/>
      </c>
      <c r="H65" s="0">
        <f>IF(D65=1,'7812'!N15&amp;"","")</f>
        <v/>
      </c>
      <c r="I65" s="0">
        <f>IF(D65=1,'7812'!C15&amp;"","")</f>
        <v/>
      </c>
      <c r="J65" s="0">
        <f>IF(D65=1,'7812'!E15&amp;"","")</f>
        <v/>
      </c>
      <c r="K65" s="0">
        <f>IF(D65=1,'7812'!D15&amp;"","")</f>
        <v/>
      </c>
      <c r="L65" s="0">
        <f>IF(D65=1,IF('7812'!F15="","",'7812'!F15),"")</f>
        <v/>
      </c>
    </row>
    <row r="66">
      <c r="A66" s="0" t="inlineStr">
        <is>
          <t>7812 – Leading Continuous Improvement</t>
        </is>
      </c>
      <c r="B66" s="0" t="inlineStr">
        <is>
          <t>7812</t>
        </is>
      </c>
      <c r="C66" s="0" t="n">
        <v>16</v>
      </c>
      <c r="D66" s="0">
        <f>IF(AND(UPPER(TRIM('7812'!A16))="CHOICE",LEN(TRIM('7812'!E16&amp;'7812'!F16))&gt;0),1,0)</f>
        <v/>
      </c>
      <c r="E66" s="0">
        <f>IF(D66=1,MAX(E$1:E65)+1,"")</f>
        <v/>
      </c>
      <c r="F66" s="0">
        <f>IF(D66=1,IFERROR(CHOOSE(MATCH("X",'7812'!G16:L16,0),"①","②","③","④","⑤","⑥"),""),"")</f>
        <v/>
      </c>
      <c r="G66" s="0">
        <f>IF(D66=1,IF('7812'!B16="","",'7812'!B16),"")</f>
        <v/>
      </c>
      <c r="H66" s="0">
        <f>IF(D66=1,'7812'!N16&amp;"","")</f>
        <v/>
      </c>
      <c r="I66" s="0">
        <f>IF(D66=1,'7812'!C16&amp;"","")</f>
        <v/>
      </c>
      <c r="J66" s="0">
        <f>IF(D66=1,'7812'!E16&amp;"","")</f>
        <v/>
      </c>
      <c r="K66" s="0">
        <f>IF(D66=1,'7812'!D16&amp;"","")</f>
        <v/>
      </c>
      <c r="L66" s="0">
        <f>IF(D66=1,IF('7812'!F16="","",'7812'!F16),"")</f>
        <v/>
      </c>
    </row>
    <row r="67">
      <c r="A67" s="0" t="inlineStr">
        <is>
          <t>7812 – Leading Continuous Improvement</t>
        </is>
      </c>
      <c r="B67" s="0" t="inlineStr">
        <is>
          <t>7812</t>
        </is>
      </c>
      <c r="C67" s="0" t="n">
        <v>17</v>
      </c>
      <c r="D67" s="0">
        <f>IF(AND(UPPER(TRIM('7812'!A17))="CHOICE",LEN(TRIM('7812'!E17&amp;'7812'!F17))&gt;0),1,0)</f>
        <v/>
      </c>
      <c r="E67" s="0">
        <f>IF(D67=1,MAX(E$1:E66)+1,"")</f>
        <v/>
      </c>
      <c r="F67" s="0">
        <f>IF(D67=1,IFERROR(CHOOSE(MATCH("X",'7812'!G17:L17,0),"①","②","③","④","⑤","⑥"),""),"")</f>
        <v/>
      </c>
      <c r="G67" s="0">
        <f>IF(D67=1,IF('7812'!B17="","",'7812'!B17),"")</f>
        <v/>
      </c>
      <c r="H67" s="0">
        <f>IF(D67=1,'7812'!N17&amp;"","")</f>
        <v/>
      </c>
      <c r="I67" s="0">
        <f>IF(D67=1,'7812'!C17&amp;"","")</f>
        <v/>
      </c>
      <c r="J67" s="0">
        <f>IF(D67=1,'7812'!E17&amp;"","")</f>
        <v/>
      </c>
      <c r="K67" s="0">
        <f>IF(D67=1,'7812'!D17&amp;"","")</f>
        <v/>
      </c>
      <c r="L67" s="0">
        <f>IF(D67=1,IF('7812'!F17="","",'7812'!F17),"")</f>
        <v/>
      </c>
    </row>
    <row r="68">
      <c r="A68" s="0" t="inlineStr">
        <is>
          <t>7812 – Leading Continuous Improvement</t>
        </is>
      </c>
      <c r="B68" s="0" t="inlineStr">
        <is>
          <t>7812</t>
        </is>
      </c>
      <c r="C68" s="0" t="n">
        <v>18</v>
      </c>
      <c r="D68" s="0">
        <f>IF(AND(UPPER(TRIM('7812'!A18))="CHOICE",LEN(TRIM('7812'!E18&amp;'7812'!F18))&gt;0),1,0)</f>
        <v/>
      </c>
      <c r="E68" s="0">
        <f>IF(D68=1,MAX(E$1:E67)+1,"")</f>
        <v/>
      </c>
      <c r="F68" s="0">
        <f>IF(D68=1,IFERROR(CHOOSE(MATCH("X",'7812'!G18:L18,0),"①","②","③","④","⑤","⑥"),""),"")</f>
        <v/>
      </c>
      <c r="G68" s="0">
        <f>IF(D68=1,IF('7812'!B18="","",'7812'!B18),"")</f>
        <v/>
      </c>
      <c r="H68" s="0">
        <f>IF(D68=1,'7812'!N18&amp;"","")</f>
        <v/>
      </c>
      <c r="I68" s="0">
        <f>IF(D68=1,'7812'!C18&amp;"","")</f>
        <v/>
      </c>
      <c r="J68" s="0">
        <f>IF(D68=1,'7812'!E18&amp;"","")</f>
        <v/>
      </c>
      <c r="K68" s="0">
        <f>IF(D68=1,'7812'!D18&amp;"","")</f>
        <v/>
      </c>
      <c r="L68" s="0">
        <f>IF(D68=1,IF('7812'!F18="","",'7812'!F18),"")</f>
        <v/>
      </c>
    </row>
    <row r="69">
      <c r="A69" s="0" t="inlineStr">
        <is>
          <t>7812 – Leading Continuous Improvement</t>
        </is>
      </c>
      <c r="B69" s="0" t="inlineStr">
        <is>
          <t>7812</t>
        </is>
      </c>
      <c r="C69" s="0" t="n">
        <v>19</v>
      </c>
      <c r="D69" s="0">
        <f>IF(AND(UPPER(TRIM('7812'!A19))="CHOICE",LEN(TRIM('7812'!E19&amp;'7812'!F19))&gt;0),1,0)</f>
        <v/>
      </c>
      <c r="E69" s="0">
        <f>IF(D69=1,MAX(E$1:E68)+1,"")</f>
        <v/>
      </c>
      <c r="F69" s="0">
        <f>IF(D69=1,IFERROR(CHOOSE(MATCH("X",'7812'!G19:L19,0),"①","②","③","④","⑤","⑥"),""),"")</f>
        <v/>
      </c>
      <c r="G69" s="0">
        <f>IF(D69=1,IF('7812'!B19="","",'7812'!B19),"")</f>
        <v/>
      </c>
      <c r="H69" s="0">
        <f>IF(D69=1,'7812'!N19&amp;"","")</f>
        <v/>
      </c>
      <c r="I69" s="0">
        <f>IF(D69=1,'7812'!C19&amp;"","")</f>
        <v/>
      </c>
      <c r="J69" s="0">
        <f>IF(D69=1,'7812'!E19&amp;"","")</f>
        <v/>
      </c>
      <c r="K69" s="0">
        <f>IF(D69=1,'7812'!D19&amp;"","")</f>
        <v/>
      </c>
      <c r="L69" s="0">
        <f>IF(D69=1,IF('7812'!F19="","",'7812'!F19),"")</f>
        <v/>
      </c>
    </row>
    <row r="70">
      <c r="A70" s="0" t="inlineStr">
        <is>
          <t>7812 – Leading Continuous Improvement</t>
        </is>
      </c>
      <c r="B70" s="0" t="inlineStr">
        <is>
          <t>7812</t>
        </is>
      </c>
      <c r="C70" s="0" t="n">
        <v>20</v>
      </c>
      <c r="D70" s="0">
        <f>IF(AND(UPPER(TRIM('7812'!A20))="CHOICE",LEN(TRIM('7812'!E20&amp;'7812'!F20))&gt;0),1,0)</f>
        <v/>
      </c>
      <c r="E70" s="0">
        <f>IF(D70=1,MAX(E$1:E69)+1,"")</f>
        <v/>
      </c>
      <c r="F70" s="0">
        <f>IF(D70=1,IFERROR(CHOOSE(MATCH("X",'7812'!G20:L20,0),"①","②","③","④","⑤","⑥"),""),"")</f>
        <v/>
      </c>
      <c r="G70" s="0">
        <f>IF(D70=1,IF('7812'!B20="","",'7812'!B20),"")</f>
        <v/>
      </c>
      <c r="H70" s="0">
        <f>IF(D70=1,'7812'!N20&amp;"","")</f>
        <v/>
      </c>
      <c r="I70" s="0">
        <f>IF(D70=1,'7812'!C20&amp;"","")</f>
        <v/>
      </c>
      <c r="J70" s="0">
        <f>IF(D70=1,'7812'!E20&amp;"","")</f>
        <v/>
      </c>
      <c r="K70" s="0">
        <f>IF(D70=1,'7812'!D20&amp;"","")</f>
        <v/>
      </c>
      <c r="L70" s="0">
        <f>IF(D70=1,IF('7812'!F20="","",'7812'!F20),"")</f>
        <v/>
      </c>
    </row>
    <row r="71">
      <c r="A71" s="0" t="inlineStr">
        <is>
          <t>7812 – Leading Continuous Improvement</t>
        </is>
      </c>
      <c r="B71" s="0" t="inlineStr">
        <is>
          <t>7812</t>
        </is>
      </c>
      <c r="C71" s="0" t="n">
        <v>21</v>
      </c>
      <c r="D71" s="0">
        <f>IF(AND(UPPER(TRIM('7812'!A21))="CHOICE",LEN(TRIM('7812'!E21&amp;'7812'!F21))&gt;0),1,0)</f>
        <v/>
      </c>
      <c r="E71" s="0">
        <f>IF(D71=1,MAX(E$1:E70)+1,"")</f>
        <v/>
      </c>
      <c r="F71" s="0">
        <f>IF(D71=1,IFERROR(CHOOSE(MATCH("X",'7812'!G21:L21,0),"①","②","③","④","⑤","⑥"),""),"")</f>
        <v/>
      </c>
      <c r="G71" s="0">
        <f>IF(D71=1,IF('7812'!B21="","",'7812'!B21),"")</f>
        <v/>
      </c>
      <c r="H71" s="0">
        <f>IF(D71=1,'7812'!N21&amp;"","")</f>
        <v/>
      </c>
      <c r="I71" s="0">
        <f>IF(D71=1,'7812'!C21&amp;"","")</f>
        <v/>
      </c>
      <c r="J71" s="0">
        <f>IF(D71=1,'7812'!E21&amp;"","")</f>
        <v/>
      </c>
      <c r="K71" s="0">
        <f>IF(D71=1,'7812'!D21&amp;"","")</f>
        <v/>
      </c>
      <c r="L71" s="0">
        <f>IF(D71=1,IF('7812'!F21="","",'7812'!F21),"")</f>
        <v/>
      </c>
    </row>
    <row r="72">
      <c r="A72" s="0" t="inlineStr">
        <is>
          <t>7812 – Leading Continuous Improvement</t>
        </is>
      </c>
      <c r="B72" s="0" t="inlineStr">
        <is>
          <t>7812</t>
        </is>
      </c>
      <c r="C72" s="0" t="n">
        <v>22</v>
      </c>
      <c r="D72" s="0">
        <f>IF(AND(UPPER(TRIM('7812'!A22))="CHOICE",LEN(TRIM('7812'!E22&amp;'7812'!F22))&gt;0),1,0)</f>
        <v/>
      </c>
      <c r="E72" s="0">
        <f>IF(D72=1,MAX(E$1:E71)+1,"")</f>
        <v/>
      </c>
      <c r="F72" s="0">
        <f>IF(D72=1,IFERROR(CHOOSE(MATCH("X",'7812'!G22:L22,0),"①","②","③","④","⑤","⑥"),""),"")</f>
        <v/>
      </c>
      <c r="G72" s="0">
        <f>IF(D72=1,IF('7812'!B22="","",'7812'!B22),"")</f>
        <v/>
      </c>
      <c r="H72" s="0">
        <f>IF(D72=1,'7812'!N22&amp;"","")</f>
        <v/>
      </c>
      <c r="I72" s="0">
        <f>IF(D72=1,'7812'!C22&amp;"","")</f>
        <v/>
      </c>
      <c r="J72" s="0">
        <f>IF(D72=1,'7812'!E22&amp;"","")</f>
        <v/>
      </c>
      <c r="K72" s="0">
        <f>IF(D72=1,'7812'!D22&amp;"","")</f>
        <v/>
      </c>
      <c r="L72" s="0">
        <f>IF(D72=1,IF('7812'!F22="","",'7812'!F22),"")</f>
        <v/>
      </c>
    </row>
    <row r="73">
      <c r="A73" s="0" t="inlineStr">
        <is>
          <t>7812 – Leading Continuous Improvement</t>
        </is>
      </c>
      <c r="B73" s="0" t="inlineStr">
        <is>
          <t>7812</t>
        </is>
      </c>
      <c r="C73" s="0" t="n">
        <v>23</v>
      </c>
      <c r="D73" s="0">
        <f>IF(AND(UPPER(TRIM('7812'!A23))="CHOICE",LEN(TRIM('7812'!E23&amp;'7812'!F23))&gt;0),1,0)</f>
        <v/>
      </c>
      <c r="E73" s="0">
        <f>IF(D73=1,MAX(E$1:E72)+1,"")</f>
        <v/>
      </c>
      <c r="F73" s="0">
        <f>IF(D73=1,IFERROR(CHOOSE(MATCH("X",'7812'!G23:L23,0),"①","②","③","④","⑤","⑥"),""),"")</f>
        <v/>
      </c>
      <c r="G73" s="0">
        <f>IF(D73=1,IF('7812'!B23="","",'7812'!B23),"")</f>
        <v/>
      </c>
      <c r="H73" s="0">
        <f>IF(D73=1,'7812'!N23&amp;"","")</f>
        <v/>
      </c>
      <c r="I73" s="0">
        <f>IF(D73=1,'7812'!C23&amp;"","")</f>
        <v/>
      </c>
      <c r="J73" s="0">
        <f>IF(D73=1,'7812'!E23&amp;"","")</f>
        <v/>
      </c>
      <c r="K73" s="0">
        <f>IF(D73=1,'7812'!D23&amp;"","")</f>
        <v/>
      </c>
      <c r="L73" s="0">
        <f>IF(D73=1,IF('7812'!F23="","",'7812'!F23),"")</f>
        <v/>
      </c>
    </row>
    <row r="74">
      <c r="A74" s="0" t="inlineStr">
        <is>
          <t>7812 – Leading Continuous Improvement</t>
        </is>
      </c>
      <c r="B74" s="0" t="inlineStr">
        <is>
          <t>7812</t>
        </is>
      </c>
      <c r="C74" s="0" t="n">
        <v>24</v>
      </c>
      <c r="D74" s="0">
        <f>IF(AND(UPPER(TRIM('7812'!A24))="CHOICE",LEN(TRIM('7812'!E24&amp;'7812'!F24))&gt;0),1,0)</f>
        <v/>
      </c>
      <c r="E74" s="0">
        <f>IF(D74=1,MAX(E$1:E73)+1,"")</f>
        <v/>
      </c>
      <c r="F74" s="0">
        <f>IF(D74=1,IFERROR(CHOOSE(MATCH("X",'7812'!G24:L24,0),"①","②","③","④","⑤","⑥"),""),"")</f>
        <v/>
      </c>
      <c r="G74" s="0">
        <f>IF(D74=1,IF('7812'!B24="","",'7812'!B24),"")</f>
        <v/>
      </c>
      <c r="H74" s="0">
        <f>IF(D74=1,'7812'!N24&amp;"","")</f>
        <v/>
      </c>
      <c r="I74" s="0">
        <f>IF(D74=1,'7812'!C24&amp;"","")</f>
        <v/>
      </c>
      <c r="J74" s="0">
        <f>IF(D74=1,'7812'!E24&amp;"","")</f>
        <v/>
      </c>
      <c r="K74" s="0">
        <f>IF(D74=1,'7812'!D24&amp;"","")</f>
        <v/>
      </c>
      <c r="L74" s="0">
        <f>IF(D74=1,IF('7812'!F24="","",'7812'!F24),"")</f>
        <v/>
      </c>
    </row>
    <row r="75">
      <c r="A75" s="0" t="inlineStr">
        <is>
          <t>7812 – Leading Continuous Improvement</t>
        </is>
      </c>
      <c r="B75" s="0" t="inlineStr">
        <is>
          <t>7812</t>
        </is>
      </c>
      <c r="C75" s="0" t="n">
        <v>25</v>
      </c>
      <c r="D75" s="0">
        <f>IF(AND(UPPER(TRIM('7812'!A25))="CHOICE",LEN(TRIM('7812'!E25&amp;'7812'!F25))&gt;0),1,0)</f>
        <v/>
      </c>
      <c r="E75" s="0">
        <f>IF(D75=1,MAX(E$1:E74)+1,"")</f>
        <v/>
      </c>
      <c r="F75" s="0">
        <f>IF(D75=1,IFERROR(CHOOSE(MATCH("X",'7812'!G25:L25,0),"①","②","③","④","⑤","⑥"),""),"")</f>
        <v/>
      </c>
      <c r="G75" s="0">
        <f>IF(D75=1,IF('7812'!B25="","",'7812'!B25),"")</f>
        <v/>
      </c>
      <c r="H75" s="0">
        <f>IF(D75=1,'7812'!N25&amp;"","")</f>
        <v/>
      </c>
      <c r="I75" s="0">
        <f>IF(D75=1,'7812'!C25&amp;"","")</f>
        <v/>
      </c>
      <c r="J75" s="0">
        <f>IF(D75=1,'7812'!E25&amp;"","")</f>
        <v/>
      </c>
      <c r="K75" s="0">
        <f>IF(D75=1,'7812'!D25&amp;"","")</f>
        <v/>
      </c>
      <c r="L75" s="0">
        <f>IF(D75=1,IF('7812'!F25="","",'7812'!F25),"")</f>
        <v/>
      </c>
    </row>
    <row r="76">
      <c r="A76" s="0" t="inlineStr">
        <is>
          <t>7812 – Leading Continuous Improvement</t>
        </is>
      </c>
      <c r="B76" s="0" t="inlineStr">
        <is>
          <t>7812</t>
        </is>
      </c>
      <c r="C76" s="0" t="n">
        <v>26</v>
      </c>
      <c r="D76" s="0">
        <f>IF(AND(UPPER(TRIM('7812'!A26))="CHOICE",LEN(TRIM('7812'!E26&amp;'7812'!F26))&gt;0),1,0)</f>
        <v/>
      </c>
      <c r="E76" s="0">
        <f>IF(D76=1,MAX(E$1:E75)+1,"")</f>
        <v/>
      </c>
      <c r="F76" s="0">
        <f>IF(D76=1,IFERROR(CHOOSE(MATCH("X",'7812'!G26:L26,0),"①","②","③","④","⑤","⑥"),""),"")</f>
        <v/>
      </c>
      <c r="G76" s="0">
        <f>IF(D76=1,IF('7812'!B26="","",'7812'!B26),"")</f>
        <v/>
      </c>
      <c r="H76" s="0">
        <f>IF(D76=1,'7812'!N26&amp;"","")</f>
        <v/>
      </c>
      <c r="I76" s="0">
        <f>IF(D76=1,'7812'!C26&amp;"","")</f>
        <v/>
      </c>
      <c r="J76" s="0">
        <f>IF(D76=1,'7812'!E26&amp;"","")</f>
        <v/>
      </c>
      <c r="K76" s="0">
        <f>IF(D76=1,'7812'!D26&amp;"","")</f>
        <v/>
      </c>
      <c r="L76" s="0">
        <f>IF(D76=1,IF('7812'!F26="","",'7812'!F26),"")</f>
        <v/>
      </c>
    </row>
    <row r="77">
      <c r="A77" s="0" t="inlineStr">
        <is>
          <t>7812 – Leading Continuous Improvement</t>
        </is>
      </c>
      <c r="B77" s="0" t="inlineStr">
        <is>
          <t>7812</t>
        </is>
      </c>
      <c r="C77" s="0" t="n">
        <v>27</v>
      </c>
      <c r="D77" s="0">
        <f>IF(AND(UPPER(TRIM('7812'!A27))="CHOICE",LEN(TRIM('7812'!E27&amp;'7812'!F27))&gt;0),1,0)</f>
        <v/>
      </c>
      <c r="E77" s="0">
        <f>IF(D77=1,MAX(E$1:E76)+1,"")</f>
        <v/>
      </c>
      <c r="F77" s="0">
        <f>IF(D77=1,IFERROR(CHOOSE(MATCH("X",'7812'!G27:L27,0),"①","②","③","④","⑤","⑥"),""),"")</f>
        <v/>
      </c>
      <c r="G77" s="0">
        <f>IF(D77=1,IF('7812'!B27="","",'7812'!B27),"")</f>
        <v/>
      </c>
      <c r="H77" s="0">
        <f>IF(D77=1,'7812'!N27&amp;"","")</f>
        <v/>
      </c>
      <c r="I77" s="0">
        <f>IF(D77=1,'7812'!C27&amp;"","")</f>
        <v/>
      </c>
      <c r="J77" s="0">
        <f>IF(D77=1,'7812'!E27&amp;"","")</f>
        <v/>
      </c>
      <c r="K77" s="0">
        <f>IF(D77=1,'7812'!D27&amp;"","")</f>
        <v/>
      </c>
      <c r="L77" s="0">
        <f>IF(D77=1,IF('7812'!F27="","",'7812'!F27),"")</f>
        <v/>
      </c>
    </row>
    <row r="78">
      <c r="A78" s="0" t="inlineStr">
        <is>
          <t>7812 – Leading Continuous Improvement</t>
        </is>
      </c>
      <c r="B78" s="0" t="inlineStr">
        <is>
          <t>7812</t>
        </is>
      </c>
      <c r="C78" s="0" t="n">
        <v>28</v>
      </c>
      <c r="D78" s="0">
        <f>IF(AND(UPPER(TRIM('7812'!A28))="CHOICE",LEN(TRIM('7812'!E28&amp;'7812'!F28))&gt;0),1,0)</f>
        <v/>
      </c>
      <c r="E78" s="0">
        <f>IF(D78=1,MAX(E$1:E77)+1,"")</f>
        <v/>
      </c>
      <c r="F78" s="0">
        <f>IF(D78=1,IFERROR(CHOOSE(MATCH("X",'7812'!G28:L28,0),"①","②","③","④","⑤","⑥"),""),"")</f>
        <v/>
      </c>
      <c r="G78" s="0">
        <f>IF(D78=1,IF('7812'!B28="","",'7812'!B28),"")</f>
        <v/>
      </c>
      <c r="H78" s="0">
        <f>IF(D78=1,'7812'!N28&amp;"","")</f>
        <v/>
      </c>
      <c r="I78" s="0">
        <f>IF(D78=1,'7812'!C28&amp;"","")</f>
        <v/>
      </c>
      <c r="J78" s="0">
        <f>IF(D78=1,'7812'!E28&amp;"","")</f>
        <v/>
      </c>
      <c r="K78" s="0">
        <f>IF(D78=1,'7812'!D28&amp;"","")</f>
        <v/>
      </c>
      <c r="L78" s="0">
        <f>IF(D78=1,IF('7812'!F28="","",'7812'!F28),"")</f>
        <v/>
      </c>
    </row>
    <row r="79">
      <c r="A79" s="0" t="inlineStr">
        <is>
          <t>7812 – Leading Continuous Improvement</t>
        </is>
      </c>
      <c r="B79" s="0" t="inlineStr">
        <is>
          <t>7812</t>
        </is>
      </c>
      <c r="C79" s="0" t="n">
        <v>29</v>
      </c>
      <c r="D79" s="0">
        <f>IF(AND(UPPER(TRIM('7812'!A29))="CHOICE",LEN(TRIM('7812'!E29&amp;'7812'!F29))&gt;0),1,0)</f>
        <v/>
      </c>
      <c r="E79" s="0">
        <f>IF(D79=1,MAX(E$1:E78)+1,"")</f>
        <v/>
      </c>
      <c r="F79" s="0">
        <f>IF(D79=1,IFERROR(CHOOSE(MATCH("X",'7812'!G29:L29,0),"①","②","③","④","⑤","⑥"),""),"")</f>
        <v/>
      </c>
      <c r="G79" s="0">
        <f>IF(D79=1,IF('7812'!B29="","",'7812'!B29),"")</f>
        <v/>
      </c>
      <c r="H79" s="0">
        <f>IF(D79=1,'7812'!N29&amp;"","")</f>
        <v/>
      </c>
      <c r="I79" s="0">
        <f>IF(D79=1,'7812'!C29&amp;"","")</f>
        <v/>
      </c>
      <c r="J79" s="0">
        <f>IF(D79=1,'7812'!E29&amp;"","")</f>
        <v/>
      </c>
      <c r="K79" s="0">
        <f>IF(D79=1,'7812'!D29&amp;"","")</f>
        <v/>
      </c>
      <c r="L79" s="0">
        <f>IF(D79=1,IF('7812'!F29="","",'7812'!F29),"")</f>
        <v/>
      </c>
    </row>
    <row r="80">
      <c r="A80" s="0" t="inlineStr">
        <is>
          <t>7812 – Leading Continuous Improvement</t>
        </is>
      </c>
      <c r="B80" s="0" t="inlineStr">
        <is>
          <t>7812</t>
        </is>
      </c>
      <c r="C80" s="0" t="n">
        <v>30</v>
      </c>
      <c r="D80" s="0">
        <f>IF(AND(UPPER(TRIM('7812'!A30))="CHOICE",LEN(TRIM('7812'!E30&amp;'7812'!F30))&gt;0),1,0)</f>
        <v/>
      </c>
      <c r="E80" s="0">
        <f>IF(D80=1,MAX(E$1:E79)+1,"")</f>
        <v/>
      </c>
      <c r="F80" s="0">
        <f>IF(D80=1,IFERROR(CHOOSE(MATCH("X",'7812'!G30:L30,0),"①","②","③","④","⑤","⑥"),""),"")</f>
        <v/>
      </c>
      <c r="G80" s="0">
        <f>IF(D80=1,IF('7812'!B30="","",'7812'!B30),"")</f>
        <v/>
      </c>
      <c r="H80" s="0">
        <f>IF(D80=1,'7812'!N30&amp;"","")</f>
        <v/>
      </c>
      <c r="I80" s="0">
        <f>IF(D80=1,'7812'!C30&amp;"","")</f>
        <v/>
      </c>
      <c r="J80" s="0">
        <f>IF(D80=1,'7812'!E30&amp;"","")</f>
        <v/>
      </c>
      <c r="K80" s="0">
        <f>IF(D80=1,'7812'!D30&amp;"","")</f>
        <v/>
      </c>
      <c r="L80" s="0">
        <f>IF(D80=1,IF('7812'!F30="","",'7812'!F30),"")</f>
        <v/>
      </c>
    </row>
    <row r="81">
      <c r="A81" s="0" t="inlineStr">
        <is>
          <t>7812 – Leading Continuous Improvement</t>
        </is>
      </c>
      <c r="B81" s="0" t="inlineStr">
        <is>
          <t>7812</t>
        </is>
      </c>
      <c r="C81" s="0" t="n">
        <v>31</v>
      </c>
      <c r="D81" s="0">
        <f>IF(AND(UPPER(TRIM('7812'!A31))="CHOICE",LEN(TRIM('7812'!E31&amp;'7812'!F31))&gt;0),1,0)</f>
        <v/>
      </c>
      <c r="E81" s="0">
        <f>IF(D81=1,MAX(E$1:E80)+1,"")</f>
        <v/>
      </c>
      <c r="F81" s="0">
        <f>IF(D81=1,IFERROR(CHOOSE(MATCH("X",'7812'!G31:L31,0),"①","②","③","④","⑤","⑥"),""),"")</f>
        <v/>
      </c>
      <c r="G81" s="0">
        <f>IF(D81=1,IF('7812'!B31="","",'7812'!B31),"")</f>
        <v/>
      </c>
      <c r="H81" s="0">
        <f>IF(D81=1,'7812'!N31&amp;"","")</f>
        <v/>
      </c>
      <c r="I81" s="0">
        <f>IF(D81=1,'7812'!C31&amp;"","")</f>
        <v/>
      </c>
      <c r="J81" s="0">
        <f>IF(D81=1,'7812'!E31&amp;"","")</f>
        <v/>
      </c>
      <c r="K81" s="0">
        <f>IF(D81=1,'7812'!D31&amp;"","")</f>
        <v/>
      </c>
      <c r="L81" s="0">
        <f>IF(D81=1,IF('7812'!F31="","",'7812'!F31),"")</f>
        <v/>
      </c>
    </row>
    <row r="82">
      <c r="A82" s="0" t="inlineStr">
        <is>
          <t>7812 – Leading Continuous Improvement</t>
        </is>
      </c>
      <c r="B82" s="0" t="inlineStr">
        <is>
          <t>7812</t>
        </is>
      </c>
      <c r="C82" s="0" t="n">
        <v>32</v>
      </c>
      <c r="D82" s="0">
        <f>IF(AND(UPPER(TRIM('7812'!A32))="CHOICE",LEN(TRIM('7812'!E32&amp;'7812'!F32))&gt;0),1,0)</f>
        <v/>
      </c>
      <c r="E82" s="0">
        <f>IF(D82=1,MAX(E$1:E81)+1,"")</f>
        <v/>
      </c>
      <c r="F82" s="0">
        <f>IF(D82=1,IFERROR(CHOOSE(MATCH("X",'7812'!G32:L32,0),"①","②","③","④","⑤","⑥"),""),"")</f>
        <v/>
      </c>
      <c r="G82" s="0">
        <f>IF(D82=1,IF('7812'!B32="","",'7812'!B32),"")</f>
        <v/>
      </c>
      <c r="H82" s="0">
        <f>IF(D82=1,'7812'!N32&amp;"","")</f>
        <v/>
      </c>
      <c r="I82" s="0">
        <f>IF(D82=1,'7812'!C32&amp;"","")</f>
        <v/>
      </c>
      <c r="J82" s="0">
        <f>IF(D82=1,'7812'!E32&amp;"","")</f>
        <v/>
      </c>
      <c r="K82" s="0">
        <f>IF(D82=1,'7812'!D32&amp;"","")</f>
        <v/>
      </c>
      <c r="L82" s="0">
        <f>IF(D82=1,IF('7812'!F32="","",'7812'!F32),"")</f>
        <v/>
      </c>
    </row>
    <row r="83">
      <c r="A83" s="0" t="inlineStr">
        <is>
          <t>7812 – Leading Continuous Improvement</t>
        </is>
      </c>
      <c r="B83" s="0" t="inlineStr">
        <is>
          <t>7812</t>
        </is>
      </c>
      <c r="C83" s="0" t="n">
        <v>33</v>
      </c>
      <c r="D83" s="0">
        <f>IF(AND(UPPER(TRIM('7812'!A33))="CHOICE",LEN(TRIM('7812'!E33&amp;'7812'!F33))&gt;0),1,0)</f>
        <v/>
      </c>
      <c r="E83" s="0">
        <f>IF(D83=1,MAX(E$1:E82)+1,"")</f>
        <v/>
      </c>
      <c r="F83" s="0">
        <f>IF(D83=1,IFERROR(CHOOSE(MATCH("X",'7812'!G33:L33,0),"①","②","③","④","⑤","⑥"),""),"")</f>
        <v/>
      </c>
      <c r="G83" s="0">
        <f>IF(D83=1,IF('7812'!B33="","",'7812'!B33),"")</f>
        <v/>
      </c>
      <c r="H83" s="0">
        <f>IF(D83=1,'7812'!N33&amp;"","")</f>
        <v/>
      </c>
      <c r="I83" s="0">
        <f>IF(D83=1,'7812'!C33&amp;"","")</f>
        <v/>
      </c>
      <c r="J83" s="0">
        <f>IF(D83=1,'7812'!E33&amp;"","")</f>
        <v/>
      </c>
      <c r="K83" s="0">
        <f>IF(D83=1,'7812'!D33&amp;"","")</f>
        <v/>
      </c>
      <c r="L83" s="0">
        <f>IF(D83=1,IF('7812'!F33="","",'7812'!F33),"")</f>
        <v/>
      </c>
    </row>
    <row r="84">
      <c r="A84" s="0" t="inlineStr">
        <is>
          <t>7812 – Leading Continuous Improvement</t>
        </is>
      </c>
      <c r="B84" s="0" t="inlineStr">
        <is>
          <t>7812</t>
        </is>
      </c>
      <c r="C84" s="0" t="n">
        <v>34</v>
      </c>
      <c r="D84" s="0">
        <f>IF(AND(UPPER(TRIM('7812'!A34))="CHOICE",LEN(TRIM('7812'!E34&amp;'7812'!F34))&gt;0),1,0)</f>
        <v/>
      </c>
      <c r="E84" s="0">
        <f>IF(D84=1,MAX(E$1:E83)+1,"")</f>
        <v/>
      </c>
      <c r="F84" s="0">
        <f>IF(D84=1,IFERROR(CHOOSE(MATCH("X",'7812'!G34:L34,0),"①","②","③","④","⑤","⑥"),""),"")</f>
        <v/>
      </c>
      <c r="G84" s="0">
        <f>IF(D84=1,IF('7812'!B34="","",'7812'!B34),"")</f>
        <v/>
      </c>
      <c r="H84" s="0">
        <f>IF(D84=1,'7812'!N34&amp;"","")</f>
        <v/>
      </c>
      <c r="I84" s="0">
        <f>IF(D84=1,'7812'!C34&amp;"","")</f>
        <v/>
      </c>
      <c r="J84" s="0">
        <f>IF(D84=1,'7812'!E34&amp;"","")</f>
        <v/>
      </c>
      <c r="K84" s="0">
        <f>IF(D84=1,'7812'!D34&amp;"","")</f>
        <v/>
      </c>
      <c r="L84" s="0">
        <f>IF(D84=1,IF('7812'!F34="","",'7812'!F34),"")</f>
        <v/>
      </c>
    </row>
    <row r="85">
      <c r="A85" s="0" t="inlineStr">
        <is>
          <t>7812 – Leading Continuous Improvement</t>
        </is>
      </c>
      <c r="B85" s="0" t="inlineStr">
        <is>
          <t>7812</t>
        </is>
      </c>
      <c r="C85" s="0" t="n">
        <v>35</v>
      </c>
      <c r="D85" s="0">
        <f>IF(AND(UPPER(TRIM('7812'!A35))="CHOICE",LEN(TRIM('7812'!E35&amp;'7812'!F35))&gt;0),1,0)</f>
        <v/>
      </c>
      <c r="E85" s="0">
        <f>IF(D85=1,MAX(E$1:E84)+1,"")</f>
        <v/>
      </c>
      <c r="F85" s="0">
        <f>IF(D85=1,IFERROR(CHOOSE(MATCH("X",'7812'!G35:L35,0),"①","②","③","④","⑤","⑥"),""),"")</f>
        <v/>
      </c>
      <c r="G85" s="0">
        <f>IF(D85=1,IF('7812'!B35="","",'7812'!B35),"")</f>
        <v/>
      </c>
      <c r="H85" s="0">
        <f>IF(D85=1,'7812'!N35&amp;"","")</f>
        <v/>
      </c>
      <c r="I85" s="0">
        <f>IF(D85=1,'7812'!C35&amp;"","")</f>
        <v/>
      </c>
      <c r="J85" s="0">
        <f>IF(D85=1,'7812'!E35&amp;"","")</f>
        <v/>
      </c>
      <c r="K85" s="0">
        <f>IF(D85=1,'7812'!D35&amp;"","")</f>
        <v/>
      </c>
      <c r="L85" s="0">
        <f>IF(D85=1,IF('7812'!F35="","",'7812'!F35),"")</f>
        <v/>
      </c>
    </row>
    <row r="86">
      <c r="A86" s="0" t="inlineStr">
        <is>
          <t>7812 – Leading Continuous Improvement</t>
        </is>
      </c>
      <c r="B86" s="0" t="inlineStr">
        <is>
          <t>7812</t>
        </is>
      </c>
      <c r="C86" s="0" t="n">
        <v>36</v>
      </c>
      <c r="D86" s="0">
        <f>IF(AND(UPPER(TRIM('7812'!A36))="CHOICE",LEN(TRIM('7812'!E36&amp;'7812'!F36))&gt;0),1,0)</f>
        <v/>
      </c>
      <c r="E86" s="0">
        <f>IF(D86=1,MAX(E$1:E85)+1,"")</f>
        <v/>
      </c>
      <c r="F86" s="0">
        <f>IF(D86=1,IFERROR(CHOOSE(MATCH("X",'7812'!G36:L36,0),"①","②","③","④","⑤","⑥"),""),"")</f>
        <v/>
      </c>
      <c r="G86" s="0">
        <f>IF(D86=1,IF('7812'!B36="","",'7812'!B36),"")</f>
        <v/>
      </c>
      <c r="H86" s="0">
        <f>IF(D86=1,'7812'!N36&amp;"","")</f>
        <v/>
      </c>
      <c r="I86" s="0">
        <f>IF(D86=1,'7812'!C36&amp;"","")</f>
        <v/>
      </c>
      <c r="J86" s="0">
        <f>IF(D86=1,'7812'!E36&amp;"","")</f>
        <v/>
      </c>
      <c r="K86" s="0">
        <f>IF(D86=1,'7812'!D36&amp;"","")</f>
        <v/>
      </c>
      <c r="L86" s="0">
        <f>IF(D86=1,IF('7812'!F36="","",'7812'!F36),"")</f>
        <v/>
      </c>
    </row>
    <row r="87">
      <c r="A87" s="0" t="inlineStr">
        <is>
          <t>7812 – Leading Continuous Improvement</t>
        </is>
      </c>
      <c r="B87" s="0" t="inlineStr">
        <is>
          <t>7812</t>
        </is>
      </c>
      <c r="C87" s="0" t="n">
        <v>37</v>
      </c>
      <c r="D87" s="0">
        <f>IF(AND(UPPER(TRIM('7812'!A37))="CHOICE",LEN(TRIM('7812'!E37&amp;'7812'!F37))&gt;0),1,0)</f>
        <v/>
      </c>
      <c r="E87" s="0">
        <f>IF(D87=1,MAX(E$1:E86)+1,"")</f>
        <v/>
      </c>
      <c r="F87" s="0">
        <f>IF(D87=1,IFERROR(CHOOSE(MATCH("X",'7812'!G37:L37,0),"①","②","③","④","⑤","⑥"),""),"")</f>
        <v/>
      </c>
      <c r="G87" s="0">
        <f>IF(D87=1,IF('7812'!B37="","",'7812'!B37),"")</f>
        <v/>
      </c>
      <c r="H87" s="0">
        <f>IF(D87=1,'7812'!N37&amp;"","")</f>
        <v/>
      </c>
      <c r="I87" s="0">
        <f>IF(D87=1,'7812'!C37&amp;"","")</f>
        <v/>
      </c>
      <c r="J87" s="0">
        <f>IF(D87=1,'7812'!E37&amp;"","")</f>
        <v/>
      </c>
      <c r="K87" s="0">
        <f>IF(D87=1,'7812'!D37&amp;"","")</f>
        <v/>
      </c>
      <c r="L87" s="0">
        <f>IF(D87=1,IF('7812'!F37="","",'7812'!F37),"")</f>
        <v/>
      </c>
    </row>
    <row r="88">
      <c r="A88" s="0" t="inlineStr">
        <is>
          <t>7812 – Leading Continuous Improvement</t>
        </is>
      </c>
      <c r="B88" s="0" t="inlineStr">
        <is>
          <t>7812</t>
        </is>
      </c>
      <c r="C88" s="0" t="n">
        <v>38</v>
      </c>
      <c r="D88" s="0">
        <f>IF(AND(UPPER(TRIM('7812'!A38))="CHOICE",LEN(TRIM('7812'!E38&amp;'7812'!F38))&gt;0),1,0)</f>
        <v/>
      </c>
      <c r="E88" s="0">
        <f>IF(D88=1,MAX(E$1:E87)+1,"")</f>
        <v/>
      </c>
      <c r="F88" s="0">
        <f>IF(D88=1,IFERROR(CHOOSE(MATCH("X",'7812'!G38:L38,0),"①","②","③","④","⑤","⑥"),""),"")</f>
        <v/>
      </c>
      <c r="G88" s="0">
        <f>IF(D88=1,IF('7812'!B38="","",'7812'!B38),"")</f>
        <v/>
      </c>
      <c r="H88" s="0">
        <f>IF(D88=1,'7812'!N38&amp;"","")</f>
        <v/>
      </c>
      <c r="I88" s="0">
        <f>IF(D88=1,'7812'!C38&amp;"","")</f>
        <v/>
      </c>
      <c r="J88" s="0">
        <f>IF(D88=1,'7812'!E38&amp;"","")</f>
        <v/>
      </c>
      <c r="K88" s="0">
        <f>IF(D88=1,'7812'!D38&amp;"","")</f>
        <v/>
      </c>
      <c r="L88" s="0">
        <f>IF(D88=1,IF('7812'!F38="","",'7812'!F38),"")</f>
        <v/>
      </c>
    </row>
    <row r="89">
      <c r="A89" s="0" t="inlineStr">
        <is>
          <t>7812 – Leading Continuous Improvement</t>
        </is>
      </c>
      <c r="B89" s="0" t="inlineStr">
        <is>
          <t>7812</t>
        </is>
      </c>
      <c r="C89" s="0" t="n">
        <v>39</v>
      </c>
      <c r="D89" s="0">
        <f>IF(AND(UPPER(TRIM('7812'!A39))="CHOICE",LEN(TRIM('7812'!E39&amp;'7812'!F39))&gt;0),1,0)</f>
        <v/>
      </c>
      <c r="E89" s="0">
        <f>IF(D89=1,MAX(E$1:E88)+1,"")</f>
        <v/>
      </c>
      <c r="F89" s="0">
        <f>IF(D89=1,IFERROR(CHOOSE(MATCH("X",'7812'!G39:L39,0),"①","②","③","④","⑤","⑥"),""),"")</f>
        <v/>
      </c>
      <c r="G89" s="0">
        <f>IF(D89=1,IF('7812'!B39="","",'7812'!B39),"")</f>
        <v/>
      </c>
      <c r="H89" s="0">
        <f>IF(D89=1,'7812'!N39&amp;"","")</f>
        <v/>
      </c>
      <c r="I89" s="0">
        <f>IF(D89=1,'7812'!C39&amp;"","")</f>
        <v/>
      </c>
      <c r="J89" s="0">
        <f>IF(D89=1,'7812'!E39&amp;"","")</f>
        <v/>
      </c>
      <c r="K89" s="0">
        <f>IF(D89=1,'7812'!D39&amp;"","")</f>
        <v/>
      </c>
      <c r="L89" s="0">
        <f>IF(D89=1,IF('7812'!F39="","",'7812'!F39),"")</f>
        <v/>
      </c>
    </row>
    <row r="90">
      <c r="A90" s="0" t="inlineStr">
        <is>
          <t>7812 – Leading Continuous Improvement</t>
        </is>
      </c>
      <c r="B90" s="0" t="inlineStr">
        <is>
          <t>7812</t>
        </is>
      </c>
      <c r="C90" s="0" t="n">
        <v>40</v>
      </c>
      <c r="D90" s="0">
        <f>IF(AND(UPPER(TRIM('7812'!A40))="CHOICE",LEN(TRIM('7812'!E40&amp;'7812'!F40))&gt;0),1,0)</f>
        <v/>
      </c>
      <c r="E90" s="0">
        <f>IF(D90=1,MAX(E$1:E89)+1,"")</f>
        <v/>
      </c>
      <c r="F90" s="0">
        <f>IF(D90=1,IFERROR(CHOOSE(MATCH("X",'7812'!G40:L40,0),"①","②","③","④","⑤","⑥"),""),"")</f>
        <v/>
      </c>
      <c r="G90" s="0">
        <f>IF(D90=1,IF('7812'!B40="","",'7812'!B40),"")</f>
        <v/>
      </c>
      <c r="H90" s="0">
        <f>IF(D90=1,'7812'!N40&amp;"","")</f>
        <v/>
      </c>
      <c r="I90" s="0">
        <f>IF(D90=1,'7812'!C40&amp;"","")</f>
        <v/>
      </c>
      <c r="J90" s="0">
        <f>IF(D90=1,'7812'!E40&amp;"","")</f>
        <v/>
      </c>
      <c r="K90" s="0">
        <f>IF(D90=1,'7812'!D40&amp;"","")</f>
        <v/>
      </c>
      <c r="L90" s="0">
        <f>IF(D90=1,IF('7812'!F40="","",'7812'!F40),"")</f>
        <v/>
      </c>
    </row>
    <row r="91">
      <c r="A91" s="0" t="inlineStr">
        <is>
          <t>7812 – Leading Continuous Improvement</t>
        </is>
      </c>
      <c r="B91" s="0" t="inlineStr">
        <is>
          <t>7812</t>
        </is>
      </c>
      <c r="C91" s="0" t="n">
        <v>41</v>
      </c>
      <c r="D91" s="0">
        <f>IF(AND(UPPER(TRIM('7812'!A41))="CHOICE",LEN(TRIM('7812'!E41&amp;'7812'!F41))&gt;0),1,0)</f>
        <v/>
      </c>
      <c r="E91" s="0">
        <f>IF(D91=1,MAX(E$1:E90)+1,"")</f>
        <v/>
      </c>
      <c r="F91" s="0">
        <f>IF(D91=1,IFERROR(CHOOSE(MATCH("X",'7812'!G41:L41,0),"①","②","③","④","⑤","⑥"),""),"")</f>
        <v/>
      </c>
      <c r="G91" s="0">
        <f>IF(D91=1,IF('7812'!B41="","",'7812'!B41),"")</f>
        <v/>
      </c>
      <c r="H91" s="0">
        <f>IF(D91=1,'7812'!N41&amp;"","")</f>
        <v/>
      </c>
      <c r="I91" s="0">
        <f>IF(D91=1,'7812'!C41&amp;"","")</f>
        <v/>
      </c>
      <c r="J91" s="0">
        <f>IF(D91=1,'7812'!E41&amp;"","")</f>
        <v/>
      </c>
      <c r="K91" s="0">
        <f>IF(D91=1,'7812'!D41&amp;"","")</f>
        <v/>
      </c>
      <c r="L91" s="0">
        <f>IF(D91=1,IF('7812'!F41="","",'7812'!F41),"")</f>
        <v/>
      </c>
    </row>
    <row r="92">
      <c r="A92" s="0" t="inlineStr">
        <is>
          <t>7812 – Leading Continuous Improvement</t>
        </is>
      </c>
      <c r="B92" s="0" t="inlineStr">
        <is>
          <t>7812</t>
        </is>
      </c>
      <c r="C92" s="0" t="n">
        <v>42</v>
      </c>
      <c r="D92" s="0">
        <f>IF(AND(UPPER(TRIM('7812'!A42))="CHOICE",LEN(TRIM('7812'!E42&amp;'7812'!F42))&gt;0),1,0)</f>
        <v/>
      </c>
      <c r="E92" s="0">
        <f>IF(D92=1,MAX(E$1:E91)+1,"")</f>
        <v/>
      </c>
      <c r="F92" s="0">
        <f>IF(D92=1,IFERROR(CHOOSE(MATCH("X",'7812'!G42:L42,0),"①","②","③","④","⑤","⑥"),""),"")</f>
        <v/>
      </c>
      <c r="G92" s="0">
        <f>IF(D92=1,IF('7812'!B42="","",'7812'!B42),"")</f>
        <v/>
      </c>
      <c r="H92" s="0">
        <f>IF(D92=1,'7812'!N42&amp;"","")</f>
        <v/>
      </c>
      <c r="I92" s="0">
        <f>IF(D92=1,'7812'!C42&amp;"","")</f>
        <v/>
      </c>
      <c r="J92" s="0">
        <f>IF(D92=1,'7812'!E42&amp;"","")</f>
        <v/>
      </c>
      <c r="K92" s="0">
        <f>IF(D92=1,'7812'!D42&amp;"","")</f>
        <v/>
      </c>
      <c r="L92" s="0">
        <f>IF(D92=1,IF('7812'!F42="","",'7812'!F42),"")</f>
        <v/>
      </c>
    </row>
    <row r="93">
      <c r="A93" s="0" t="inlineStr">
        <is>
          <t>7812 – Leading Continuous Improvement</t>
        </is>
      </c>
      <c r="B93" s="0" t="inlineStr">
        <is>
          <t>7812</t>
        </is>
      </c>
      <c r="C93" s="0" t="n">
        <v>43</v>
      </c>
      <c r="D93" s="0">
        <f>IF(AND(UPPER(TRIM('7812'!A43))="CHOICE",LEN(TRIM('7812'!E43&amp;'7812'!F43))&gt;0),1,0)</f>
        <v/>
      </c>
      <c r="E93" s="0">
        <f>IF(D93=1,MAX(E$1:E92)+1,"")</f>
        <v/>
      </c>
      <c r="F93" s="0">
        <f>IF(D93=1,IFERROR(CHOOSE(MATCH("X",'7812'!G43:L43,0),"①","②","③","④","⑤","⑥"),""),"")</f>
        <v/>
      </c>
      <c r="G93" s="0">
        <f>IF(D93=1,IF('7812'!B43="","",'7812'!B43),"")</f>
        <v/>
      </c>
      <c r="H93" s="0">
        <f>IF(D93=1,'7812'!N43&amp;"","")</f>
        <v/>
      </c>
      <c r="I93" s="0">
        <f>IF(D93=1,'7812'!C43&amp;"","")</f>
        <v/>
      </c>
      <c r="J93" s="0">
        <f>IF(D93=1,'7812'!E43&amp;"","")</f>
        <v/>
      </c>
      <c r="K93" s="0">
        <f>IF(D93=1,'7812'!D43&amp;"","")</f>
        <v/>
      </c>
      <c r="L93" s="0">
        <f>IF(D93=1,IF('7812'!F43="","",'7812'!F43),"")</f>
        <v/>
      </c>
    </row>
    <row r="94">
      <c r="A94" s="0" t="inlineStr">
        <is>
          <t>7812 – Leading Continuous Improvement</t>
        </is>
      </c>
      <c r="B94" s="0" t="inlineStr">
        <is>
          <t>7812</t>
        </is>
      </c>
      <c r="C94" s="0" t="n">
        <v>44</v>
      </c>
      <c r="D94" s="0">
        <f>IF(AND(UPPER(TRIM('7812'!A44))="CHOICE",LEN(TRIM('7812'!E44&amp;'7812'!F44))&gt;0),1,0)</f>
        <v/>
      </c>
      <c r="E94" s="0">
        <f>IF(D94=1,MAX(E$1:E93)+1,"")</f>
        <v/>
      </c>
      <c r="F94" s="0">
        <f>IF(D94=1,IFERROR(CHOOSE(MATCH("X",'7812'!G44:L44,0),"①","②","③","④","⑤","⑥"),""),"")</f>
        <v/>
      </c>
      <c r="G94" s="0">
        <f>IF(D94=1,IF('7812'!B44="","",'7812'!B44),"")</f>
        <v/>
      </c>
      <c r="H94" s="0">
        <f>IF(D94=1,'7812'!N44&amp;"","")</f>
        <v/>
      </c>
      <c r="I94" s="0">
        <f>IF(D94=1,'7812'!C44&amp;"","")</f>
        <v/>
      </c>
      <c r="J94" s="0">
        <f>IF(D94=1,'7812'!E44&amp;"","")</f>
        <v/>
      </c>
      <c r="K94" s="0">
        <f>IF(D94=1,'7812'!D44&amp;"","")</f>
        <v/>
      </c>
      <c r="L94" s="0">
        <f>IF(D94=1,IF('7812'!F44="","",'7812'!F44),"")</f>
        <v/>
      </c>
    </row>
    <row r="95">
      <c r="A95" s="0" t="inlineStr">
        <is>
          <t>7812 – Leading Continuous Improvement</t>
        </is>
      </c>
      <c r="B95" s="0" t="inlineStr">
        <is>
          <t>7812</t>
        </is>
      </c>
      <c r="C95" s="0" t="n">
        <v>45</v>
      </c>
      <c r="D95" s="0">
        <f>IF(AND(UPPER(TRIM('7812'!A45))="CHOICE",LEN(TRIM('7812'!E45&amp;'7812'!F45))&gt;0),1,0)</f>
        <v/>
      </c>
      <c r="E95" s="0">
        <f>IF(D95=1,MAX(E$1:E94)+1,"")</f>
        <v/>
      </c>
      <c r="F95" s="0">
        <f>IF(D95=1,IFERROR(CHOOSE(MATCH("X",'7812'!G45:L45,0),"①","②","③","④","⑤","⑥"),""),"")</f>
        <v/>
      </c>
      <c r="G95" s="0">
        <f>IF(D95=1,IF('7812'!B45="","",'7812'!B45),"")</f>
        <v/>
      </c>
      <c r="H95" s="0">
        <f>IF(D95=1,'7812'!N45&amp;"","")</f>
        <v/>
      </c>
      <c r="I95" s="0">
        <f>IF(D95=1,'7812'!C45&amp;"","")</f>
        <v/>
      </c>
      <c r="J95" s="0">
        <f>IF(D95=1,'7812'!E45&amp;"","")</f>
        <v/>
      </c>
      <c r="K95" s="0">
        <f>IF(D95=1,'7812'!D45&amp;"","")</f>
        <v/>
      </c>
      <c r="L95" s="0">
        <f>IF(D95=1,IF('7812'!F45="","",'7812'!F45),"")</f>
        <v/>
      </c>
    </row>
    <row r="96">
      <c r="A96" s="0" t="inlineStr">
        <is>
          <t>7812 – Leading Continuous Improvement</t>
        </is>
      </c>
      <c r="B96" s="0" t="inlineStr">
        <is>
          <t>7812</t>
        </is>
      </c>
      <c r="C96" s="0" t="n">
        <v>46</v>
      </c>
      <c r="D96" s="0">
        <f>IF(AND(UPPER(TRIM('7812'!A46))="CHOICE",LEN(TRIM('7812'!E46&amp;'7812'!F46))&gt;0),1,0)</f>
        <v/>
      </c>
      <c r="E96" s="0">
        <f>IF(D96=1,MAX(E$1:E95)+1,"")</f>
        <v/>
      </c>
      <c r="F96" s="0">
        <f>IF(D96=1,IFERROR(CHOOSE(MATCH("X",'7812'!G46:L46,0),"①","②","③","④","⑤","⑥"),""),"")</f>
        <v/>
      </c>
      <c r="G96" s="0">
        <f>IF(D96=1,IF('7812'!B46="","",'7812'!B46),"")</f>
        <v/>
      </c>
      <c r="H96" s="0">
        <f>IF(D96=1,'7812'!N46&amp;"","")</f>
        <v/>
      </c>
      <c r="I96" s="0">
        <f>IF(D96=1,'7812'!C46&amp;"","")</f>
        <v/>
      </c>
      <c r="J96" s="0">
        <f>IF(D96=1,'7812'!E46&amp;"","")</f>
        <v/>
      </c>
      <c r="K96" s="0">
        <f>IF(D96=1,'7812'!D46&amp;"","")</f>
        <v/>
      </c>
      <c r="L96" s="0">
        <f>IF(D96=1,IF('7812'!F46="","",'7812'!F46),"")</f>
        <v/>
      </c>
    </row>
    <row r="97">
      <c r="A97" s="0" t="inlineStr">
        <is>
          <t>7812 – Leading Continuous Improvement</t>
        </is>
      </c>
      <c r="B97" s="0" t="inlineStr">
        <is>
          <t>7812</t>
        </is>
      </c>
      <c r="C97" s="0" t="n">
        <v>47</v>
      </c>
      <c r="D97" s="0">
        <f>IF(AND(UPPER(TRIM('7812'!A47))="CHOICE",LEN(TRIM('7812'!E47&amp;'7812'!F47))&gt;0),1,0)</f>
        <v/>
      </c>
      <c r="E97" s="0">
        <f>IF(D97=1,MAX(E$1:E96)+1,"")</f>
        <v/>
      </c>
      <c r="F97" s="0">
        <f>IF(D97=1,IFERROR(CHOOSE(MATCH("X",'7812'!G47:L47,0),"①","②","③","④","⑤","⑥"),""),"")</f>
        <v/>
      </c>
      <c r="G97" s="0">
        <f>IF(D97=1,IF('7812'!B47="","",'7812'!B47),"")</f>
        <v/>
      </c>
      <c r="H97" s="0">
        <f>IF(D97=1,'7812'!N47&amp;"","")</f>
        <v/>
      </c>
      <c r="I97" s="0">
        <f>IF(D97=1,'7812'!C47&amp;"","")</f>
        <v/>
      </c>
      <c r="J97" s="0">
        <f>IF(D97=1,'7812'!E47&amp;"","")</f>
        <v/>
      </c>
      <c r="K97" s="0">
        <f>IF(D97=1,'7812'!D47&amp;"","")</f>
        <v/>
      </c>
      <c r="L97" s="0">
        <f>IF(D97=1,IF('7812'!F47="","",'7812'!F47),"")</f>
        <v/>
      </c>
    </row>
    <row r="98">
      <c r="A98" s="0" t="inlineStr">
        <is>
          <t>7812 – Leading Continuous Improvement</t>
        </is>
      </c>
      <c r="B98" s="0" t="inlineStr">
        <is>
          <t>7812</t>
        </is>
      </c>
      <c r="C98" s="0" t="n">
        <v>48</v>
      </c>
      <c r="D98" s="0">
        <f>IF(AND(UPPER(TRIM('7812'!A48))="CHOICE",LEN(TRIM('7812'!E48&amp;'7812'!F48))&gt;0),1,0)</f>
        <v/>
      </c>
      <c r="E98" s="0">
        <f>IF(D98=1,MAX(E$1:E97)+1,"")</f>
        <v/>
      </c>
      <c r="F98" s="0">
        <f>IF(D98=1,IFERROR(CHOOSE(MATCH("X",'7812'!G48:L48,0),"①","②","③","④","⑤","⑥"),""),"")</f>
        <v/>
      </c>
      <c r="G98" s="0">
        <f>IF(D98=1,IF('7812'!B48="","",'7812'!B48),"")</f>
        <v/>
      </c>
      <c r="H98" s="0">
        <f>IF(D98=1,'7812'!N48&amp;"","")</f>
        <v/>
      </c>
      <c r="I98" s="0">
        <f>IF(D98=1,'7812'!C48&amp;"","")</f>
        <v/>
      </c>
      <c r="J98" s="0">
        <f>IF(D98=1,'7812'!E48&amp;"","")</f>
        <v/>
      </c>
      <c r="K98" s="0">
        <f>IF(D98=1,'7812'!D48&amp;"","")</f>
        <v/>
      </c>
      <c r="L98" s="0">
        <f>IF(D98=1,IF('7812'!F48="","",'7812'!F48),"")</f>
        <v/>
      </c>
    </row>
    <row r="99">
      <c r="A99" s="0" t="inlineStr">
        <is>
          <t>7812 – Leading Continuous Improvement</t>
        </is>
      </c>
      <c r="B99" s="0" t="inlineStr">
        <is>
          <t>7812</t>
        </is>
      </c>
      <c r="C99" s="0" t="n">
        <v>49</v>
      </c>
      <c r="D99" s="0">
        <f>IF(AND(UPPER(TRIM('7812'!A49))="CHOICE",LEN(TRIM('7812'!E49&amp;'7812'!F49))&gt;0),1,0)</f>
        <v/>
      </c>
      <c r="E99" s="0">
        <f>IF(D99=1,MAX(E$1:E98)+1,"")</f>
        <v/>
      </c>
      <c r="F99" s="0">
        <f>IF(D99=1,IFERROR(CHOOSE(MATCH("X",'7812'!G49:L49,0),"①","②","③","④","⑤","⑥"),""),"")</f>
        <v/>
      </c>
      <c r="G99" s="0">
        <f>IF(D99=1,IF('7812'!B49="","",'7812'!B49),"")</f>
        <v/>
      </c>
      <c r="H99" s="0">
        <f>IF(D99=1,'7812'!N49&amp;"","")</f>
        <v/>
      </c>
      <c r="I99" s="0">
        <f>IF(D99=1,'7812'!C49&amp;"","")</f>
        <v/>
      </c>
      <c r="J99" s="0">
        <f>IF(D99=1,'7812'!E49&amp;"","")</f>
        <v/>
      </c>
      <c r="K99" s="0">
        <f>IF(D99=1,'7812'!D49&amp;"","")</f>
        <v/>
      </c>
      <c r="L99" s="0">
        <f>IF(D99=1,IF('7812'!F49="","",'7812'!F49),"")</f>
        <v/>
      </c>
    </row>
    <row r="100">
      <c r="A100" s="0" t="inlineStr">
        <is>
          <t>7812 – Leading Continuous Improvement</t>
        </is>
      </c>
      <c r="B100" s="0" t="inlineStr">
        <is>
          <t>7812</t>
        </is>
      </c>
      <c r="C100" s="0" t="n">
        <v>50</v>
      </c>
      <c r="D100" s="0">
        <f>IF(AND(UPPER(TRIM('7812'!A50))="CHOICE",LEN(TRIM('7812'!E50&amp;'7812'!F50))&gt;0),1,0)</f>
        <v/>
      </c>
      <c r="E100" s="0">
        <f>IF(D100=1,MAX(E$1:E99)+1,"")</f>
        <v/>
      </c>
      <c r="F100" s="0">
        <f>IF(D100=1,IFERROR(CHOOSE(MATCH("X",'7812'!G50:L50,0),"①","②","③","④","⑤","⑥"),""),"")</f>
        <v/>
      </c>
      <c r="G100" s="0">
        <f>IF(D100=1,IF('7812'!B50="","",'7812'!B50),"")</f>
        <v/>
      </c>
      <c r="H100" s="0">
        <f>IF(D100=1,'7812'!N50&amp;"","")</f>
        <v/>
      </c>
      <c r="I100" s="0">
        <f>IF(D100=1,'7812'!C50&amp;"","")</f>
        <v/>
      </c>
      <c r="J100" s="0">
        <f>IF(D100=1,'7812'!E50&amp;"","")</f>
        <v/>
      </c>
      <c r="K100" s="0">
        <f>IF(D100=1,'7812'!D50&amp;"","")</f>
        <v/>
      </c>
      <c r="L100" s="0">
        <f>IF(D100=1,IF('7812'!F50="","",'7812'!F50),"")</f>
        <v/>
      </c>
    </row>
    <row r="101">
      <c r="A101" s="0" t="inlineStr">
        <is>
          <t>7812 – Leading Continuous Improvement</t>
        </is>
      </c>
      <c r="B101" s="0" t="inlineStr">
        <is>
          <t>7812</t>
        </is>
      </c>
      <c r="C101" s="0" t="n">
        <v>51</v>
      </c>
      <c r="D101" s="0">
        <f>IF(AND(UPPER(TRIM('7812'!A51))="CHOICE",LEN(TRIM('7812'!E51&amp;'7812'!F51))&gt;0),1,0)</f>
        <v/>
      </c>
      <c r="E101" s="0">
        <f>IF(D101=1,MAX(E$1:E100)+1,"")</f>
        <v/>
      </c>
      <c r="F101" s="0">
        <f>IF(D101=1,IFERROR(CHOOSE(MATCH("X",'7812'!G51:L51,0),"①","②","③","④","⑤","⑥"),""),"")</f>
        <v/>
      </c>
      <c r="G101" s="0">
        <f>IF(D101=1,IF('7812'!B51="","",'7812'!B51),"")</f>
        <v/>
      </c>
      <c r="H101" s="0">
        <f>IF(D101=1,'7812'!N51&amp;"","")</f>
        <v/>
      </c>
      <c r="I101" s="0">
        <f>IF(D101=1,'7812'!C51&amp;"","")</f>
        <v/>
      </c>
      <c r="J101" s="0">
        <f>IF(D101=1,'7812'!E51&amp;"","")</f>
        <v/>
      </c>
      <c r="K101" s="0">
        <f>IF(D101=1,'7812'!D51&amp;"","")</f>
        <v/>
      </c>
      <c r="L101" s="0">
        <f>IF(D101=1,IF('7812'!F51="","",'7812'!F51),"")</f>
        <v/>
      </c>
    </row>
    <row r="102">
      <c r="A102" s="0" t="inlineStr">
        <is>
          <t>7812 – Leading Continuous Improvement</t>
        </is>
      </c>
      <c r="B102" s="0" t="inlineStr">
        <is>
          <t>7812</t>
        </is>
      </c>
      <c r="C102" s="0" t="n">
        <v>52</v>
      </c>
      <c r="D102" s="0">
        <f>IF(AND(UPPER(TRIM('7812'!A52))="CHOICE",LEN(TRIM('7812'!E52&amp;'7812'!F52))&gt;0),1,0)</f>
        <v/>
      </c>
      <c r="E102" s="0">
        <f>IF(D102=1,MAX(E$1:E101)+1,"")</f>
        <v/>
      </c>
      <c r="F102" s="0">
        <f>IF(D102=1,IFERROR(CHOOSE(MATCH("X",'7812'!G52:L52,0),"①","②","③","④","⑤","⑥"),""),"")</f>
        <v/>
      </c>
      <c r="G102" s="0">
        <f>IF(D102=1,IF('7812'!B52="","",'7812'!B52),"")</f>
        <v/>
      </c>
      <c r="H102" s="0">
        <f>IF(D102=1,'7812'!N52&amp;"","")</f>
        <v/>
      </c>
      <c r="I102" s="0">
        <f>IF(D102=1,'7812'!C52&amp;"","")</f>
        <v/>
      </c>
      <c r="J102" s="0">
        <f>IF(D102=1,'7812'!E52&amp;"","")</f>
        <v/>
      </c>
      <c r="K102" s="0">
        <f>IF(D102=1,'7812'!D52&amp;"","")</f>
        <v/>
      </c>
      <c r="L102" s="0">
        <f>IF(D102=1,IF('7812'!F52="","",'7812'!F52),"")</f>
        <v/>
      </c>
    </row>
    <row r="103">
      <c r="A103" s="0" t="inlineStr">
        <is>
          <t>7812 – Leading Continuous Improvement</t>
        </is>
      </c>
      <c r="B103" s="0" t="inlineStr">
        <is>
          <t>7812</t>
        </is>
      </c>
      <c r="C103" s="0" t="n">
        <v>53</v>
      </c>
      <c r="D103" s="0">
        <f>IF(AND(UPPER(TRIM('7812'!A53))="CHOICE",LEN(TRIM('7812'!E53&amp;'7812'!F53))&gt;0),1,0)</f>
        <v/>
      </c>
      <c r="E103" s="0">
        <f>IF(D103=1,MAX(E$1:E102)+1,"")</f>
        <v/>
      </c>
      <c r="F103" s="0">
        <f>IF(D103=1,IFERROR(CHOOSE(MATCH("X",'7812'!G53:L53,0),"①","②","③","④","⑤","⑥"),""),"")</f>
        <v/>
      </c>
      <c r="G103" s="0">
        <f>IF(D103=1,IF('7812'!B53="","",'7812'!B53),"")</f>
        <v/>
      </c>
      <c r="H103" s="0">
        <f>IF(D103=1,'7812'!N53&amp;"","")</f>
        <v/>
      </c>
      <c r="I103" s="0">
        <f>IF(D103=1,'7812'!C53&amp;"","")</f>
        <v/>
      </c>
      <c r="J103" s="0">
        <f>IF(D103=1,'7812'!E53&amp;"","")</f>
        <v/>
      </c>
      <c r="K103" s="0">
        <f>IF(D103=1,'7812'!D53&amp;"","")</f>
        <v/>
      </c>
      <c r="L103" s="0">
        <f>IF(D103=1,IF('7812'!F53="","",'7812'!F53),"")</f>
        <v/>
      </c>
    </row>
    <row r="104">
      <c r="A104" s="0" t="inlineStr">
        <is>
          <t>7812 – Leading Continuous Improvement</t>
        </is>
      </c>
      <c r="B104" s="0" t="inlineStr">
        <is>
          <t>7812</t>
        </is>
      </c>
      <c r="C104" s="0" t="n">
        <v>54</v>
      </c>
      <c r="D104" s="0">
        <f>IF(AND(UPPER(TRIM('7812'!A54))="CHOICE",LEN(TRIM('7812'!E54&amp;'7812'!F54))&gt;0),1,0)</f>
        <v/>
      </c>
      <c r="E104" s="0">
        <f>IF(D104=1,MAX(E$1:E103)+1,"")</f>
        <v/>
      </c>
      <c r="F104" s="0">
        <f>IF(D104=1,IFERROR(CHOOSE(MATCH("X",'7812'!G54:L54,0),"①","②","③","④","⑤","⑥"),""),"")</f>
        <v/>
      </c>
      <c r="G104" s="0">
        <f>IF(D104=1,IF('7812'!B54="","",'7812'!B54),"")</f>
        <v/>
      </c>
      <c r="H104" s="0">
        <f>IF(D104=1,'7812'!N54&amp;"","")</f>
        <v/>
      </c>
      <c r="I104" s="0">
        <f>IF(D104=1,'7812'!C54&amp;"","")</f>
        <v/>
      </c>
      <c r="J104" s="0">
        <f>IF(D104=1,'7812'!E54&amp;"","")</f>
        <v/>
      </c>
      <c r="K104" s="0">
        <f>IF(D104=1,'7812'!D54&amp;"","")</f>
        <v/>
      </c>
      <c r="L104" s="0">
        <f>IF(D104=1,IF('7812'!F54="","",'7812'!F54),"")</f>
        <v/>
      </c>
    </row>
    <row r="105">
      <c r="A105" s="0" t="inlineStr">
        <is>
          <t>7812 – Leading Continuous Improvement</t>
        </is>
      </c>
      <c r="B105" s="0" t="inlineStr">
        <is>
          <t>7812</t>
        </is>
      </c>
      <c r="C105" s="0" t="n">
        <v>55</v>
      </c>
      <c r="D105" s="0">
        <f>IF(AND(UPPER(TRIM('7812'!A55))="CHOICE",LEN(TRIM('7812'!E55&amp;'7812'!F55))&gt;0),1,0)</f>
        <v/>
      </c>
      <c r="E105" s="0">
        <f>IF(D105=1,MAX(E$1:E104)+1,"")</f>
        <v/>
      </c>
      <c r="F105" s="0">
        <f>IF(D105=1,IFERROR(CHOOSE(MATCH("X",'7812'!G55:L55,0),"①","②","③","④","⑤","⑥"),""),"")</f>
        <v/>
      </c>
      <c r="G105" s="0">
        <f>IF(D105=1,IF('7812'!B55="","",'7812'!B55),"")</f>
        <v/>
      </c>
      <c r="H105" s="0">
        <f>IF(D105=1,'7812'!N55&amp;"","")</f>
        <v/>
      </c>
      <c r="I105" s="0">
        <f>IF(D105=1,'7812'!C55&amp;"","")</f>
        <v/>
      </c>
      <c r="J105" s="0">
        <f>IF(D105=1,'7812'!E55&amp;"","")</f>
        <v/>
      </c>
      <c r="K105" s="0">
        <f>IF(D105=1,'7812'!D55&amp;"","")</f>
        <v/>
      </c>
      <c r="L105" s="0">
        <f>IF(D105=1,IF('7812'!F55="","",'7812'!F55),"")</f>
        <v/>
      </c>
    </row>
    <row r="106">
      <c r="A106" s="0" t="inlineStr">
        <is>
          <t>7812 – Leading Continuous Improvement</t>
        </is>
      </c>
      <c r="B106" s="0" t="inlineStr">
        <is>
          <t>7812</t>
        </is>
      </c>
      <c r="C106" s="0" t="n">
        <v>56</v>
      </c>
      <c r="D106" s="0">
        <f>IF(AND(UPPER(TRIM('7812'!A56))="CHOICE",LEN(TRIM('7812'!E56&amp;'7812'!F56))&gt;0),1,0)</f>
        <v/>
      </c>
      <c r="E106" s="0">
        <f>IF(D106=1,MAX(E$1:E105)+1,"")</f>
        <v/>
      </c>
      <c r="F106" s="0">
        <f>IF(D106=1,IFERROR(CHOOSE(MATCH("X",'7812'!G56:L56,0),"①","②","③","④","⑤","⑥"),""),"")</f>
        <v/>
      </c>
      <c r="G106" s="0">
        <f>IF(D106=1,IF('7812'!B56="","",'7812'!B56),"")</f>
        <v/>
      </c>
      <c r="H106" s="0">
        <f>IF(D106=1,'7812'!N56&amp;"","")</f>
        <v/>
      </c>
      <c r="I106" s="0">
        <f>IF(D106=1,'7812'!C56&amp;"","")</f>
        <v/>
      </c>
      <c r="J106" s="0">
        <f>IF(D106=1,'7812'!E56&amp;"","")</f>
        <v/>
      </c>
      <c r="K106" s="0">
        <f>IF(D106=1,'7812'!D56&amp;"","")</f>
        <v/>
      </c>
      <c r="L106" s="0">
        <f>IF(D106=1,IF('7812'!F56="","",'7812'!F56),"")</f>
        <v/>
      </c>
    </row>
    <row r="107">
      <c r="A107" s="0" t="inlineStr">
        <is>
          <t>7812 – Leading Continuous Improvement</t>
        </is>
      </c>
      <c r="B107" s="0" t="inlineStr">
        <is>
          <t>7812</t>
        </is>
      </c>
      <c r="C107" s="0" t="n">
        <v>57</v>
      </c>
      <c r="D107" s="0">
        <f>IF(AND(UPPER(TRIM('7812'!A57))="CHOICE",LEN(TRIM('7812'!E57&amp;'7812'!F57))&gt;0),1,0)</f>
        <v/>
      </c>
      <c r="E107" s="0">
        <f>IF(D107=1,MAX(E$1:E106)+1,"")</f>
        <v/>
      </c>
      <c r="F107" s="0">
        <f>IF(D107=1,IFERROR(CHOOSE(MATCH("X",'7812'!G57:L57,0),"①","②","③","④","⑤","⑥"),""),"")</f>
        <v/>
      </c>
      <c r="G107" s="0">
        <f>IF(D107=1,IF('7812'!B57="","",'7812'!B57),"")</f>
        <v/>
      </c>
      <c r="H107" s="0">
        <f>IF(D107=1,'7812'!N57&amp;"","")</f>
        <v/>
      </c>
      <c r="I107" s="0">
        <f>IF(D107=1,'7812'!C57&amp;"","")</f>
        <v/>
      </c>
      <c r="J107" s="0">
        <f>IF(D107=1,'7812'!E57&amp;"","")</f>
        <v/>
      </c>
      <c r="K107" s="0">
        <f>IF(D107=1,'7812'!D57&amp;"","")</f>
        <v/>
      </c>
      <c r="L107" s="0">
        <f>IF(D107=1,IF('7812'!F57="","",'7812'!F57),"")</f>
        <v/>
      </c>
    </row>
    <row r="108">
      <c r="A108" s="0" t="inlineStr">
        <is>
          <t>7812 – Leading Continuous Improvement</t>
        </is>
      </c>
      <c r="B108" s="0" t="inlineStr">
        <is>
          <t>7812</t>
        </is>
      </c>
      <c r="C108" s="0" t="n">
        <v>58</v>
      </c>
      <c r="D108" s="0">
        <f>IF(AND(UPPER(TRIM('7812'!A58))="CHOICE",LEN(TRIM('7812'!E58&amp;'7812'!F58))&gt;0),1,0)</f>
        <v/>
      </c>
      <c r="E108" s="0">
        <f>IF(D108=1,MAX(E$1:E107)+1,"")</f>
        <v/>
      </c>
      <c r="F108" s="0">
        <f>IF(D108=1,IFERROR(CHOOSE(MATCH("X",'7812'!G58:L58,0),"①","②","③","④","⑤","⑥"),""),"")</f>
        <v/>
      </c>
      <c r="G108" s="0">
        <f>IF(D108=1,IF('7812'!B58="","",'7812'!B58),"")</f>
        <v/>
      </c>
      <c r="H108" s="0">
        <f>IF(D108=1,'7812'!N58&amp;"","")</f>
        <v/>
      </c>
      <c r="I108" s="0">
        <f>IF(D108=1,'7812'!C58&amp;"","")</f>
        <v/>
      </c>
      <c r="J108" s="0">
        <f>IF(D108=1,'7812'!E58&amp;"","")</f>
        <v/>
      </c>
      <c r="K108" s="0">
        <f>IF(D108=1,'7812'!D58&amp;"","")</f>
        <v/>
      </c>
      <c r="L108" s="0">
        <f>IF(D108=1,IF('7812'!F58="","",'7812'!F58),"")</f>
        <v/>
      </c>
    </row>
    <row r="109">
      <c r="A109" s="0" t="inlineStr">
        <is>
          <t>7812 – Leading Continuous Improvement</t>
        </is>
      </c>
      <c r="B109" s="0" t="inlineStr">
        <is>
          <t>7812</t>
        </is>
      </c>
      <c r="C109" s="0" t="n">
        <v>59</v>
      </c>
      <c r="D109" s="0">
        <f>IF(AND(UPPER(TRIM('7812'!A59))="CHOICE",LEN(TRIM('7812'!E59&amp;'7812'!F59))&gt;0),1,0)</f>
        <v/>
      </c>
      <c r="E109" s="0">
        <f>IF(D109=1,MAX(E$1:E108)+1,"")</f>
        <v/>
      </c>
      <c r="F109" s="0">
        <f>IF(D109=1,IFERROR(CHOOSE(MATCH("X",'7812'!G59:L59,0),"①","②","③","④","⑤","⑥"),""),"")</f>
        <v/>
      </c>
      <c r="G109" s="0">
        <f>IF(D109=1,IF('7812'!B59="","",'7812'!B59),"")</f>
        <v/>
      </c>
      <c r="H109" s="0">
        <f>IF(D109=1,'7812'!N59&amp;"","")</f>
        <v/>
      </c>
      <c r="I109" s="0">
        <f>IF(D109=1,'7812'!C59&amp;"","")</f>
        <v/>
      </c>
      <c r="J109" s="0">
        <f>IF(D109=1,'7812'!E59&amp;"","")</f>
        <v/>
      </c>
      <c r="K109" s="0">
        <f>IF(D109=1,'7812'!D59&amp;"","")</f>
        <v/>
      </c>
      <c r="L109" s="0">
        <f>IF(D109=1,IF('7812'!F59="","",'7812'!F59),"")</f>
        <v/>
      </c>
    </row>
    <row r="110">
      <c r="A110" s="0" t="inlineStr">
        <is>
          <t>7811 – Teaching &amp; Learning</t>
        </is>
      </c>
      <c r="B110" s="0" t="inlineStr">
        <is>
          <t>7811</t>
        </is>
      </c>
      <c r="C110" s="0" t="n">
        <v>6</v>
      </c>
      <c r="D110" s="0">
        <f>IF(AND(UPPER(TRIM('7811'!A6))="CHOICE",LEN(TRIM('7811'!E6&amp;'7811'!F6))&gt;0),1,0)</f>
        <v/>
      </c>
      <c r="E110" s="0">
        <f>IF(D110=1,MAX(E$1:E109)+1,"")</f>
        <v/>
      </c>
      <c r="F110" s="0">
        <f>IF(D110=1,IFERROR(CHOOSE(MATCH("X",'7811'!G6:L6,0),"①","②","③","④","⑤","⑥"),""),"")</f>
        <v/>
      </c>
      <c r="G110" s="0">
        <f>IF(D110=1,IF('7811'!B6="","",'7811'!B6),"")</f>
        <v/>
      </c>
      <c r="H110" s="0">
        <f>IF(D110=1,'7811'!N6&amp;"","")</f>
        <v/>
      </c>
      <c r="I110" s="0">
        <f>IF(D110=1,'7811'!C6&amp;"","")</f>
        <v/>
      </c>
      <c r="J110" s="0">
        <f>IF(D110=1,'7811'!E6&amp;"","")</f>
        <v/>
      </c>
      <c r="K110" s="0">
        <f>IF(D110=1,'7811'!D6&amp;"","")</f>
        <v/>
      </c>
      <c r="L110" s="0">
        <f>IF(D110=1,IF('7811'!F6="","",'7811'!F6),"")</f>
        <v/>
      </c>
    </row>
    <row r="111">
      <c r="A111" s="0" t="inlineStr">
        <is>
          <t>7811 – Teaching &amp; Learning</t>
        </is>
      </c>
      <c r="B111" s="0" t="inlineStr">
        <is>
          <t>7811</t>
        </is>
      </c>
      <c r="C111" s="0" t="n">
        <v>7</v>
      </c>
      <c r="D111" s="0">
        <f>IF(AND(UPPER(TRIM('7811'!A7))="CHOICE",LEN(TRIM('7811'!E7&amp;'7811'!F7))&gt;0),1,0)</f>
        <v/>
      </c>
      <c r="E111" s="0">
        <f>IF(D111=1,MAX(E$1:E110)+1,"")</f>
        <v/>
      </c>
      <c r="F111" s="0">
        <f>IF(D111=1,IFERROR(CHOOSE(MATCH("X",'7811'!G7:L7,0),"①","②","③","④","⑤","⑥"),""),"")</f>
        <v/>
      </c>
      <c r="G111" s="0">
        <f>IF(D111=1,IF('7811'!B7="","",'7811'!B7),"")</f>
        <v/>
      </c>
      <c r="H111" s="0">
        <f>IF(D111=1,'7811'!N7&amp;"","")</f>
        <v/>
      </c>
      <c r="I111" s="0">
        <f>IF(D111=1,'7811'!C7&amp;"","")</f>
        <v/>
      </c>
      <c r="J111" s="0">
        <f>IF(D111=1,'7811'!E7&amp;"","")</f>
        <v/>
      </c>
      <c r="K111" s="0">
        <f>IF(D111=1,'7811'!D7&amp;"","")</f>
        <v/>
      </c>
      <c r="L111" s="0">
        <f>IF(D111=1,IF('7811'!F7="","",'7811'!F7),"")</f>
        <v/>
      </c>
    </row>
    <row r="112">
      <c r="A112" s="0" t="inlineStr">
        <is>
          <t>7811 – Teaching &amp; Learning</t>
        </is>
      </c>
      <c r="B112" s="0" t="inlineStr">
        <is>
          <t>7811</t>
        </is>
      </c>
      <c r="C112" s="0" t="n">
        <v>8</v>
      </c>
      <c r="D112" s="0">
        <f>IF(AND(UPPER(TRIM('7811'!A8))="CHOICE",LEN(TRIM('7811'!E8&amp;'7811'!F8))&gt;0),1,0)</f>
        <v/>
      </c>
      <c r="E112" s="0">
        <f>IF(D112=1,MAX(E$1:E111)+1,"")</f>
        <v/>
      </c>
      <c r="F112" s="0">
        <f>IF(D112=1,IFERROR(CHOOSE(MATCH("X",'7811'!G8:L8,0),"①","②","③","④","⑤","⑥"),""),"")</f>
        <v/>
      </c>
      <c r="G112" s="0">
        <f>IF(D112=1,IF('7811'!B8="","",'7811'!B8),"")</f>
        <v/>
      </c>
      <c r="H112" s="0">
        <f>IF(D112=1,'7811'!N8&amp;"","")</f>
        <v/>
      </c>
      <c r="I112" s="0">
        <f>IF(D112=1,'7811'!C8&amp;"","")</f>
        <v/>
      </c>
      <c r="J112" s="0">
        <f>IF(D112=1,'7811'!E8&amp;"","")</f>
        <v/>
      </c>
      <c r="K112" s="0">
        <f>IF(D112=1,'7811'!D8&amp;"","")</f>
        <v/>
      </c>
      <c r="L112" s="0">
        <f>IF(D112=1,IF('7811'!F8="","",'7811'!F8),"")</f>
        <v/>
      </c>
    </row>
    <row r="113">
      <c r="A113" s="0" t="inlineStr">
        <is>
          <t>7811 – Teaching &amp; Learning</t>
        </is>
      </c>
      <c r="B113" s="0" t="inlineStr">
        <is>
          <t>7811</t>
        </is>
      </c>
      <c r="C113" s="0" t="n">
        <v>9</v>
      </c>
      <c r="D113" s="0">
        <f>IF(AND(UPPER(TRIM('7811'!A9))="CHOICE",LEN(TRIM('7811'!E9&amp;'7811'!F9))&gt;0),1,0)</f>
        <v/>
      </c>
      <c r="E113" s="0">
        <f>IF(D113=1,MAX(E$1:E112)+1,"")</f>
        <v/>
      </c>
      <c r="F113" s="0">
        <f>IF(D113=1,IFERROR(CHOOSE(MATCH("X",'7811'!G9:L9,0),"①","②","③","④","⑤","⑥"),""),"")</f>
        <v/>
      </c>
      <c r="G113" s="0">
        <f>IF(D113=1,IF('7811'!B9="","",'7811'!B9),"")</f>
        <v/>
      </c>
      <c r="H113" s="0">
        <f>IF(D113=1,'7811'!N9&amp;"","")</f>
        <v/>
      </c>
      <c r="I113" s="0">
        <f>IF(D113=1,'7811'!C9&amp;"","")</f>
        <v/>
      </c>
      <c r="J113" s="0">
        <f>IF(D113=1,'7811'!E9&amp;"","")</f>
        <v/>
      </c>
      <c r="K113" s="0">
        <f>IF(D113=1,'7811'!D9&amp;"","")</f>
        <v/>
      </c>
      <c r="L113" s="0">
        <f>IF(D113=1,IF('7811'!F9="","",'7811'!F9),"")</f>
        <v/>
      </c>
    </row>
    <row r="114">
      <c r="A114" s="0" t="inlineStr">
        <is>
          <t>7811 – Teaching &amp; Learning</t>
        </is>
      </c>
      <c r="B114" s="0" t="inlineStr">
        <is>
          <t>7811</t>
        </is>
      </c>
      <c r="C114" s="0" t="n">
        <v>10</v>
      </c>
      <c r="D114" s="0">
        <f>IF(AND(UPPER(TRIM('7811'!A10))="CHOICE",LEN(TRIM('7811'!E10&amp;'7811'!F10))&gt;0),1,0)</f>
        <v/>
      </c>
      <c r="E114" s="0">
        <f>IF(D114=1,MAX(E$1:E113)+1,"")</f>
        <v/>
      </c>
      <c r="F114" s="0">
        <f>IF(D114=1,IFERROR(CHOOSE(MATCH("X",'7811'!G10:L10,0),"①","②","③","④","⑤","⑥"),""),"")</f>
        <v/>
      </c>
      <c r="G114" s="0">
        <f>IF(D114=1,IF('7811'!B10="","",'7811'!B10),"")</f>
        <v/>
      </c>
      <c r="H114" s="0">
        <f>IF(D114=1,'7811'!N10&amp;"","")</f>
        <v/>
      </c>
      <c r="I114" s="0">
        <f>IF(D114=1,'7811'!C10&amp;"","")</f>
        <v/>
      </c>
      <c r="J114" s="0">
        <f>IF(D114=1,'7811'!E10&amp;"","")</f>
        <v/>
      </c>
      <c r="K114" s="0">
        <f>IF(D114=1,'7811'!D10&amp;"","")</f>
        <v/>
      </c>
      <c r="L114" s="0">
        <f>IF(D114=1,IF('7811'!F10="","",'7811'!F10),"")</f>
        <v/>
      </c>
    </row>
    <row r="115">
      <c r="A115" s="0" t="inlineStr">
        <is>
          <t>7811 – Teaching &amp; Learning</t>
        </is>
      </c>
      <c r="B115" s="0" t="inlineStr">
        <is>
          <t>7811</t>
        </is>
      </c>
      <c r="C115" s="0" t="n">
        <v>11</v>
      </c>
      <c r="D115" s="0">
        <f>IF(AND(UPPER(TRIM('7811'!A11))="CHOICE",LEN(TRIM('7811'!E11&amp;'7811'!F11))&gt;0),1,0)</f>
        <v/>
      </c>
      <c r="E115" s="0">
        <f>IF(D115=1,MAX(E$1:E114)+1,"")</f>
        <v/>
      </c>
      <c r="F115" s="0">
        <f>IF(D115=1,IFERROR(CHOOSE(MATCH("X",'7811'!G11:L11,0),"①","②","③","④","⑤","⑥"),""),"")</f>
        <v/>
      </c>
      <c r="G115" s="0">
        <f>IF(D115=1,IF('7811'!B11="","",'7811'!B11),"")</f>
        <v/>
      </c>
      <c r="H115" s="0">
        <f>IF(D115=1,'7811'!N11&amp;"","")</f>
        <v/>
      </c>
      <c r="I115" s="0">
        <f>IF(D115=1,'7811'!C11&amp;"","")</f>
        <v/>
      </c>
      <c r="J115" s="0">
        <f>IF(D115=1,'7811'!E11&amp;"","")</f>
        <v/>
      </c>
      <c r="K115" s="0">
        <f>IF(D115=1,'7811'!D11&amp;"","")</f>
        <v/>
      </c>
      <c r="L115" s="0">
        <f>IF(D115=1,IF('7811'!F11="","",'7811'!F11),"")</f>
        <v/>
      </c>
    </row>
    <row r="116">
      <c r="A116" s="0" t="inlineStr">
        <is>
          <t>7811 – Teaching &amp; Learning</t>
        </is>
      </c>
      <c r="B116" s="0" t="inlineStr">
        <is>
          <t>7811</t>
        </is>
      </c>
      <c r="C116" s="0" t="n">
        <v>12</v>
      </c>
      <c r="D116" s="0">
        <f>IF(AND(UPPER(TRIM('7811'!A12))="CHOICE",LEN(TRIM('7811'!E12&amp;'7811'!F12))&gt;0),1,0)</f>
        <v/>
      </c>
      <c r="E116" s="0">
        <f>IF(D116=1,MAX(E$1:E115)+1,"")</f>
        <v/>
      </c>
      <c r="F116" s="0">
        <f>IF(D116=1,IFERROR(CHOOSE(MATCH("X",'7811'!G12:L12,0),"①","②","③","④","⑤","⑥"),""),"")</f>
        <v/>
      </c>
      <c r="G116" s="0">
        <f>IF(D116=1,IF('7811'!B12="","",'7811'!B12),"")</f>
        <v/>
      </c>
      <c r="H116" s="0">
        <f>IF(D116=1,'7811'!N12&amp;"","")</f>
        <v/>
      </c>
      <c r="I116" s="0">
        <f>IF(D116=1,'7811'!C12&amp;"","")</f>
        <v/>
      </c>
      <c r="J116" s="0">
        <f>IF(D116=1,'7811'!E12&amp;"","")</f>
        <v/>
      </c>
      <c r="K116" s="0">
        <f>IF(D116=1,'7811'!D12&amp;"","")</f>
        <v/>
      </c>
      <c r="L116" s="0">
        <f>IF(D116=1,IF('7811'!F12="","",'7811'!F12),"")</f>
        <v/>
      </c>
    </row>
    <row r="117">
      <c r="A117" s="0" t="inlineStr">
        <is>
          <t>7811 – Teaching &amp; Learning</t>
        </is>
      </c>
      <c r="B117" s="0" t="inlineStr">
        <is>
          <t>7811</t>
        </is>
      </c>
      <c r="C117" s="0" t="n">
        <v>13</v>
      </c>
      <c r="D117" s="0">
        <f>IF(AND(UPPER(TRIM('7811'!A13))="CHOICE",LEN(TRIM('7811'!E13&amp;'7811'!F13))&gt;0),1,0)</f>
        <v/>
      </c>
      <c r="E117" s="0">
        <f>IF(D117=1,MAX(E$1:E116)+1,"")</f>
        <v/>
      </c>
      <c r="F117" s="0">
        <f>IF(D117=1,IFERROR(CHOOSE(MATCH("X",'7811'!G13:L13,0),"①","②","③","④","⑤","⑥"),""),"")</f>
        <v/>
      </c>
      <c r="G117" s="0">
        <f>IF(D117=1,IF('7811'!B13="","",'7811'!B13),"")</f>
        <v/>
      </c>
      <c r="H117" s="0">
        <f>IF(D117=1,'7811'!N13&amp;"","")</f>
        <v/>
      </c>
      <c r="I117" s="0">
        <f>IF(D117=1,'7811'!C13&amp;"","")</f>
        <v/>
      </c>
      <c r="J117" s="0">
        <f>IF(D117=1,'7811'!E13&amp;"","")</f>
        <v/>
      </c>
      <c r="K117" s="0">
        <f>IF(D117=1,'7811'!D13&amp;"","")</f>
        <v/>
      </c>
      <c r="L117" s="0">
        <f>IF(D117=1,IF('7811'!F13="","",'7811'!F13),"")</f>
        <v/>
      </c>
    </row>
    <row r="118">
      <c r="A118" s="0" t="inlineStr">
        <is>
          <t>7811 – Teaching &amp; Learning</t>
        </is>
      </c>
      <c r="B118" s="0" t="inlineStr">
        <is>
          <t>7811</t>
        </is>
      </c>
      <c r="C118" s="0" t="n">
        <v>14</v>
      </c>
      <c r="D118" s="0">
        <f>IF(AND(UPPER(TRIM('7811'!A14))="CHOICE",LEN(TRIM('7811'!E14&amp;'7811'!F14))&gt;0),1,0)</f>
        <v/>
      </c>
      <c r="E118" s="0">
        <f>IF(D118=1,MAX(E$1:E117)+1,"")</f>
        <v/>
      </c>
      <c r="F118" s="0">
        <f>IF(D118=1,IFERROR(CHOOSE(MATCH("X",'7811'!G14:L14,0),"①","②","③","④","⑤","⑥"),""),"")</f>
        <v/>
      </c>
      <c r="G118" s="0">
        <f>IF(D118=1,IF('7811'!B14="","",'7811'!B14),"")</f>
        <v/>
      </c>
      <c r="H118" s="0">
        <f>IF(D118=1,'7811'!N14&amp;"","")</f>
        <v/>
      </c>
      <c r="I118" s="0">
        <f>IF(D118=1,'7811'!C14&amp;"","")</f>
        <v/>
      </c>
      <c r="J118" s="0">
        <f>IF(D118=1,'7811'!E14&amp;"","")</f>
        <v/>
      </c>
      <c r="K118" s="0">
        <f>IF(D118=1,'7811'!D14&amp;"","")</f>
        <v/>
      </c>
      <c r="L118" s="0">
        <f>IF(D118=1,IF('7811'!F14="","",'7811'!F14),"")</f>
        <v/>
      </c>
    </row>
    <row r="119">
      <c r="A119" s="0" t="inlineStr">
        <is>
          <t>7811 – Teaching &amp; Learning</t>
        </is>
      </c>
      <c r="B119" s="0" t="inlineStr">
        <is>
          <t>7811</t>
        </is>
      </c>
      <c r="C119" s="0" t="n">
        <v>15</v>
      </c>
      <c r="D119" s="0">
        <f>IF(AND(UPPER(TRIM('7811'!A15))="CHOICE",LEN(TRIM('7811'!E15&amp;'7811'!F15))&gt;0),1,0)</f>
        <v/>
      </c>
      <c r="E119" s="0">
        <f>IF(D119=1,MAX(E$1:E118)+1,"")</f>
        <v/>
      </c>
      <c r="F119" s="0">
        <f>IF(D119=1,IFERROR(CHOOSE(MATCH("X",'7811'!G15:L15,0),"①","②","③","④","⑤","⑥"),""),"")</f>
        <v/>
      </c>
      <c r="G119" s="0">
        <f>IF(D119=1,IF('7811'!B15="","",'7811'!B15),"")</f>
        <v/>
      </c>
      <c r="H119" s="0">
        <f>IF(D119=1,'7811'!N15&amp;"","")</f>
        <v/>
      </c>
      <c r="I119" s="0">
        <f>IF(D119=1,'7811'!C15&amp;"","")</f>
        <v/>
      </c>
      <c r="J119" s="0">
        <f>IF(D119=1,'7811'!E15&amp;"","")</f>
        <v/>
      </c>
      <c r="K119" s="0">
        <f>IF(D119=1,'7811'!D15&amp;"","")</f>
        <v/>
      </c>
      <c r="L119" s="0">
        <f>IF(D119=1,IF('7811'!F15="","",'7811'!F15),"")</f>
        <v/>
      </c>
    </row>
    <row r="120">
      <c r="A120" s="0" t="inlineStr">
        <is>
          <t>7811 – Teaching &amp; Learning</t>
        </is>
      </c>
      <c r="B120" s="0" t="inlineStr">
        <is>
          <t>7811</t>
        </is>
      </c>
      <c r="C120" s="0" t="n">
        <v>16</v>
      </c>
      <c r="D120" s="0">
        <f>IF(AND(UPPER(TRIM('7811'!A16))="CHOICE",LEN(TRIM('7811'!E16&amp;'7811'!F16))&gt;0),1,0)</f>
        <v/>
      </c>
      <c r="E120" s="0">
        <f>IF(D120=1,MAX(E$1:E119)+1,"")</f>
        <v/>
      </c>
      <c r="F120" s="0">
        <f>IF(D120=1,IFERROR(CHOOSE(MATCH("X",'7811'!G16:L16,0),"①","②","③","④","⑤","⑥"),""),"")</f>
        <v/>
      </c>
      <c r="G120" s="0">
        <f>IF(D120=1,IF('7811'!B16="","",'7811'!B16),"")</f>
        <v/>
      </c>
      <c r="H120" s="0">
        <f>IF(D120=1,'7811'!N16&amp;"","")</f>
        <v/>
      </c>
      <c r="I120" s="0">
        <f>IF(D120=1,'7811'!C16&amp;"","")</f>
        <v/>
      </c>
      <c r="J120" s="0">
        <f>IF(D120=1,'7811'!E16&amp;"","")</f>
        <v/>
      </c>
      <c r="K120" s="0">
        <f>IF(D120=1,'7811'!D16&amp;"","")</f>
        <v/>
      </c>
      <c r="L120" s="0">
        <f>IF(D120=1,IF('7811'!F16="","",'7811'!F16),"")</f>
        <v/>
      </c>
    </row>
    <row r="121">
      <c r="A121" s="0" t="inlineStr">
        <is>
          <t>7811 – Teaching &amp; Learning</t>
        </is>
      </c>
      <c r="B121" s="0" t="inlineStr">
        <is>
          <t>7811</t>
        </is>
      </c>
      <c r="C121" s="0" t="n">
        <v>17</v>
      </c>
      <c r="D121" s="0">
        <f>IF(AND(UPPER(TRIM('7811'!A17))="CHOICE",LEN(TRIM('7811'!E17&amp;'7811'!F17))&gt;0),1,0)</f>
        <v/>
      </c>
      <c r="E121" s="0">
        <f>IF(D121=1,MAX(E$1:E120)+1,"")</f>
        <v/>
      </c>
      <c r="F121" s="0">
        <f>IF(D121=1,IFERROR(CHOOSE(MATCH("X",'7811'!G17:L17,0),"①","②","③","④","⑤","⑥"),""),"")</f>
        <v/>
      </c>
      <c r="G121" s="0">
        <f>IF(D121=1,IF('7811'!B17="","",'7811'!B17),"")</f>
        <v/>
      </c>
      <c r="H121" s="0">
        <f>IF(D121=1,'7811'!N17&amp;"","")</f>
        <v/>
      </c>
      <c r="I121" s="0">
        <f>IF(D121=1,'7811'!C17&amp;"","")</f>
        <v/>
      </c>
      <c r="J121" s="0">
        <f>IF(D121=1,'7811'!E17&amp;"","")</f>
        <v/>
      </c>
      <c r="K121" s="0">
        <f>IF(D121=1,'7811'!D17&amp;"","")</f>
        <v/>
      </c>
      <c r="L121" s="0">
        <f>IF(D121=1,IF('7811'!F17="","",'7811'!F17),"")</f>
        <v/>
      </c>
    </row>
    <row r="122">
      <c r="A122" s="0" t="inlineStr">
        <is>
          <t>7811 – Teaching &amp; Learning</t>
        </is>
      </c>
      <c r="B122" s="0" t="inlineStr">
        <is>
          <t>7811</t>
        </is>
      </c>
      <c r="C122" s="0" t="n">
        <v>18</v>
      </c>
      <c r="D122" s="0">
        <f>IF(AND(UPPER(TRIM('7811'!A18))="CHOICE",LEN(TRIM('7811'!E18&amp;'7811'!F18))&gt;0),1,0)</f>
        <v/>
      </c>
      <c r="E122" s="0">
        <f>IF(D122=1,MAX(E$1:E121)+1,"")</f>
        <v/>
      </c>
      <c r="F122" s="0">
        <f>IF(D122=1,IFERROR(CHOOSE(MATCH("X",'7811'!G18:L18,0),"①","②","③","④","⑤","⑥"),""),"")</f>
        <v/>
      </c>
      <c r="G122" s="0">
        <f>IF(D122=1,IF('7811'!B18="","",'7811'!B18),"")</f>
        <v/>
      </c>
      <c r="H122" s="0">
        <f>IF(D122=1,'7811'!N18&amp;"","")</f>
        <v/>
      </c>
      <c r="I122" s="0">
        <f>IF(D122=1,'7811'!C18&amp;"","")</f>
        <v/>
      </c>
      <c r="J122" s="0">
        <f>IF(D122=1,'7811'!E18&amp;"","")</f>
        <v/>
      </c>
      <c r="K122" s="0">
        <f>IF(D122=1,'7811'!D18&amp;"","")</f>
        <v/>
      </c>
      <c r="L122" s="0">
        <f>IF(D122=1,IF('7811'!F18="","",'7811'!F18),"")</f>
        <v/>
      </c>
    </row>
    <row r="123">
      <c r="A123" s="0" t="inlineStr">
        <is>
          <t>7811 – Teaching &amp; Learning</t>
        </is>
      </c>
      <c r="B123" s="0" t="inlineStr">
        <is>
          <t>7811</t>
        </is>
      </c>
      <c r="C123" s="0" t="n">
        <v>19</v>
      </c>
      <c r="D123" s="0">
        <f>IF(AND(UPPER(TRIM('7811'!A19))="CHOICE",LEN(TRIM('7811'!E19&amp;'7811'!F19))&gt;0),1,0)</f>
        <v/>
      </c>
      <c r="E123" s="0">
        <f>IF(D123=1,MAX(E$1:E122)+1,"")</f>
        <v/>
      </c>
      <c r="F123" s="0">
        <f>IF(D123=1,IFERROR(CHOOSE(MATCH("X",'7811'!G19:L19,0),"①","②","③","④","⑤","⑥"),""),"")</f>
        <v/>
      </c>
      <c r="G123" s="0">
        <f>IF(D123=1,IF('7811'!B19="","",'7811'!B19),"")</f>
        <v/>
      </c>
      <c r="H123" s="0">
        <f>IF(D123=1,'7811'!N19&amp;"","")</f>
        <v/>
      </c>
      <c r="I123" s="0">
        <f>IF(D123=1,'7811'!C19&amp;"","")</f>
        <v/>
      </c>
      <c r="J123" s="0">
        <f>IF(D123=1,'7811'!E19&amp;"","")</f>
        <v/>
      </c>
      <c r="K123" s="0">
        <f>IF(D123=1,'7811'!D19&amp;"","")</f>
        <v/>
      </c>
      <c r="L123" s="0">
        <f>IF(D123=1,IF('7811'!F19="","",'7811'!F19),"")</f>
        <v/>
      </c>
    </row>
    <row r="124">
      <c r="A124" s="0" t="inlineStr">
        <is>
          <t>7811 – Teaching &amp; Learning</t>
        </is>
      </c>
      <c r="B124" s="0" t="inlineStr">
        <is>
          <t>7811</t>
        </is>
      </c>
      <c r="C124" s="0" t="n">
        <v>20</v>
      </c>
      <c r="D124" s="0">
        <f>IF(AND(UPPER(TRIM('7811'!A20))="CHOICE",LEN(TRIM('7811'!E20&amp;'7811'!F20))&gt;0),1,0)</f>
        <v/>
      </c>
      <c r="E124" s="0">
        <f>IF(D124=1,MAX(E$1:E123)+1,"")</f>
        <v/>
      </c>
      <c r="F124" s="0">
        <f>IF(D124=1,IFERROR(CHOOSE(MATCH("X",'7811'!G20:L20,0),"①","②","③","④","⑤","⑥"),""),"")</f>
        <v/>
      </c>
      <c r="G124" s="0">
        <f>IF(D124=1,IF('7811'!B20="","",'7811'!B20),"")</f>
        <v/>
      </c>
      <c r="H124" s="0">
        <f>IF(D124=1,'7811'!N20&amp;"","")</f>
        <v/>
      </c>
      <c r="I124" s="0">
        <f>IF(D124=1,'7811'!C20&amp;"","")</f>
        <v/>
      </c>
      <c r="J124" s="0">
        <f>IF(D124=1,'7811'!E20&amp;"","")</f>
        <v/>
      </c>
      <c r="K124" s="0">
        <f>IF(D124=1,'7811'!D20&amp;"","")</f>
        <v/>
      </c>
      <c r="L124" s="0">
        <f>IF(D124=1,IF('7811'!F20="","",'7811'!F20),"")</f>
        <v/>
      </c>
    </row>
    <row r="125">
      <c r="A125" s="0" t="inlineStr">
        <is>
          <t>7811 – Teaching &amp; Learning</t>
        </is>
      </c>
      <c r="B125" s="0" t="inlineStr">
        <is>
          <t>7811</t>
        </is>
      </c>
      <c r="C125" s="0" t="n">
        <v>21</v>
      </c>
      <c r="D125" s="0">
        <f>IF(AND(UPPER(TRIM('7811'!A21))="CHOICE",LEN(TRIM('7811'!E21&amp;'7811'!F21))&gt;0),1,0)</f>
        <v/>
      </c>
      <c r="E125" s="0">
        <f>IF(D125=1,MAX(E$1:E124)+1,"")</f>
        <v/>
      </c>
      <c r="F125" s="0">
        <f>IF(D125=1,IFERROR(CHOOSE(MATCH("X",'7811'!G21:L21,0),"①","②","③","④","⑤","⑥"),""),"")</f>
        <v/>
      </c>
      <c r="G125" s="0">
        <f>IF(D125=1,IF('7811'!B21="","",'7811'!B21),"")</f>
        <v/>
      </c>
      <c r="H125" s="0">
        <f>IF(D125=1,'7811'!N21&amp;"","")</f>
        <v/>
      </c>
      <c r="I125" s="0">
        <f>IF(D125=1,'7811'!C21&amp;"","")</f>
        <v/>
      </c>
      <c r="J125" s="0">
        <f>IF(D125=1,'7811'!E21&amp;"","")</f>
        <v/>
      </c>
      <c r="K125" s="0">
        <f>IF(D125=1,'7811'!D21&amp;"","")</f>
        <v/>
      </c>
      <c r="L125" s="0">
        <f>IF(D125=1,IF('7811'!F21="","",'7811'!F21),"")</f>
        <v/>
      </c>
    </row>
    <row r="126">
      <c r="A126" s="0" t="inlineStr">
        <is>
          <t>7811 – Teaching &amp; Learning</t>
        </is>
      </c>
      <c r="B126" s="0" t="inlineStr">
        <is>
          <t>7811</t>
        </is>
      </c>
      <c r="C126" s="0" t="n">
        <v>22</v>
      </c>
      <c r="D126" s="0">
        <f>IF(AND(UPPER(TRIM('7811'!A22))="CHOICE",LEN(TRIM('7811'!E22&amp;'7811'!F22))&gt;0),1,0)</f>
        <v/>
      </c>
      <c r="E126" s="0">
        <f>IF(D126=1,MAX(E$1:E125)+1,"")</f>
        <v/>
      </c>
      <c r="F126" s="0">
        <f>IF(D126=1,IFERROR(CHOOSE(MATCH("X",'7811'!G22:L22,0),"①","②","③","④","⑤","⑥"),""),"")</f>
        <v/>
      </c>
      <c r="G126" s="0">
        <f>IF(D126=1,IF('7811'!B22="","",'7811'!B22),"")</f>
        <v/>
      </c>
      <c r="H126" s="0">
        <f>IF(D126=1,'7811'!N22&amp;"","")</f>
        <v/>
      </c>
      <c r="I126" s="0">
        <f>IF(D126=1,'7811'!C22&amp;"","")</f>
        <v/>
      </c>
      <c r="J126" s="0">
        <f>IF(D126=1,'7811'!E22&amp;"","")</f>
        <v/>
      </c>
      <c r="K126" s="0">
        <f>IF(D126=1,'7811'!D22&amp;"","")</f>
        <v/>
      </c>
      <c r="L126" s="0">
        <f>IF(D126=1,IF('7811'!F22="","",'7811'!F22),"")</f>
        <v/>
      </c>
    </row>
    <row r="127">
      <c r="A127" s="0" t="inlineStr">
        <is>
          <t>7811 – Teaching &amp; Learning</t>
        </is>
      </c>
      <c r="B127" s="0" t="inlineStr">
        <is>
          <t>7811</t>
        </is>
      </c>
      <c r="C127" s="0" t="n">
        <v>23</v>
      </c>
      <c r="D127" s="0">
        <f>IF(AND(UPPER(TRIM('7811'!A23))="CHOICE",LEN(TRIM('7811'!E23&amp;'7811'!F23))&gt;0),1,0)</f>
        <v/>
      </c>
      <c r="E127" s="0">
        <f>IF(D127=1,MAX(E$1:E126)+1,"")</f>
        <v/>
      </c>
      <c r="F127" s="0">
        <f>IF(D127=1,IFERROR(CHOOSE(MATCH("X",'7811'!G23:L23,0),"①","②","③","④","⑤","⑥"),""),"")</f>
        <v/>
      </c>
      <c r="G127" s="0">
        <f>IF(D127=1,IF('7811'!B23="","",'7811'!B23),"")</f>
        <v/>
      </c>
      <c r="H127" s="0">
        <f>IF(D127=1,'7811'!N23&amp;"","")</f>
        <v/>
      </c>
      <c r="I127" s="0">
        <f>IF(D127=1,'7811'!C23&amp;"","")</f>
        <v/>
      </c>
      <c r="J127" s="0">
        <f>IF(D127=1,'7811'!E23&amp;"","")</f>
        <v/>
      </c>
      <c r="K127" s="0">
        <f>IF(D127=1,'7811'!D23&amp;"","")</f>
        <v/>
      </c>
      <c r="L127" s="0">
        <f>IF(D127=1,IF('7811'!F23="","",'7811'!F23),"")</f>
        <v/>
      </c>
    </row>
    <row r="128">
      <c r="A128" s="0" t="inlineStr">
        <is>
          <t>7811 – Teaching &amp; Learning</t>
        </is>
      </c>
      <c r="B128" s="0" t="inlineStr">
        <is>
          <t>7811</t>
        </is>
      </c>
      <c r="C128" s="0" t="n">
        <v>24</v>
      </c>
      <c r="D128" s="0">
        <f>IF(AND(UPPER(TRIM('7811'!A24))="CHOICE",LEN(TRIM('7811'!E24&amp;'7811'!F24))&gt;0),1,0)</f>
        <v/>
      </c>
      <c r="E128" s="0">
        <f>IF(D128=1,MAX(E$1:E127)+1,"")</f>
        <v/>
      </c>
      <c r="F128" s="0">
        <f>IF(D128=1,IFERROR(CHOOSE(MATCH("X",'7811'!G24:L24,0),"①","②","③","④","⑤","⑥"),""),"")</f>
        <v/>
      </c>
      <c r="G128" s="0">
        <f>IF(D128=1,IF('7811'!B24="","",'7811'!B24),"")</f>
        <v/>
      </c>
      <c r="H128" s="0">
        <f>IF(D128=1,'7811'!N24&amp;"","")</f>
        <v/>
      </c>
      <c r="I128" s="0">
        <f>IF(D128=1,'7811'!C24&amp;"","")</f>
        <v/>
      </c>
      <c r="J128" s="0">
        <f>IF(D128=1,'7811'!E24&amp;"","")</f>
        <v/>
      </c>
      <c r="K128" s="0">
        <f>IF(D128=1,'7811'!D24&amp;"","")</f>
        <v/>
      </c>
      <c r="L128" s="0">
        <f>IF(D128=1,IF('7811'!F24="","",'7811'!F24),"")</f>
        <v/>
      </c>
    </row>
    <row r="129">
      <c r="A129" s="0" t="inlineStr">
        <is>
          <t>7811 – Teaching &amp; Learning</t>
        </is>
      </c>
      <c r="B129" s="0" t="inlineStr">
        <is>
          <t>7811</t>
        </is>
      </c>
      <c r="C129" s="0" t="n">
        <v>25</v>
      </c>
      <c r="D129" s="0">
        <f>IF(AND(UPPER(TRIM('7811'!A25))="CHOICE",LEN(TRIM('7811'!E25&amp;'7811'!F25))&gt;0),1,0)</f>
        <v/>
      </c>
      <c r="E129" s="0">
        <f>IF(D129=1,MAX(E$1:E128)+1,"")</f>
        <v/>
      </c>
      <c r="F129" s="0">
        <f>IF(D129=1,IFERROR(CHOOSE(MATCH("X",'7811'!G25:L25,0),"①","②","③","④","⑤","⑥"),""),"")</f>
        <v/>
      </c>
      <c r="G129" s="0">
        <f>IF(D129=1,IF('7811'!B25="","",'7811'!B25),"")</f>
        <v/>
      </c>
      <c r="H129" s="0">
        <f>IF(D129=1,'7811'!N25&amp;"","")</f>
        <v/>
      </c>
      <c r="I129" s="0">
        <f>IF(D129=1,'7811'!C25&amp;"","")</f>
        <v/>
      </c>
      <c r="J129" s="0">
        <f>IF(D129=1,'7811'!E25&amp;"","")</f>
        <v/>
      </c>
      <c r="K129" s="0">
        <f>IF(D129=1,'7811'!D25&amp;"","")</f>
        <v/>
      </c>
      <c r="L129" s="0">
        <f>IF(D129=1,IF('7811'!F25="","",'7811'!F25),"")</f>
        <v/>
      </c>
    </row>
    <row r="130">
      <c r="A130" s="0" t="inlineStr">
        <is>
          <t>7811 – Teaching &amp; Learning</t>
        </is>
      </c>
      <c r="B130" s="0" t="inlineStr">
        <is>
          <t>7811</t>
        </is>
      </c>
      <c r="C130" s="0" t="n">
        <v>26</v>
      </c>
      <c r="D130" s="0">
        <f>IF(AND(UPPER(TRIM('7811'!A26))="CHOICE",LEN(TRIM('7811'!E26&amp;'7811'!F26))&gt;0),1,0)</f>
        <v/>
      </c>
      <c r="E130" s="0">
        <f>IF(D130=1,MAX(E$1:E129)+1,"")</f>
        <v/>
      </c>
      <c r="F130" s="0">
        <f>IF(D130=1,IFERROR(CHOOSE(MATCH("X",'7811'!G26:L26,0),"①","②","③","④","⑤","⑥"),""),"")</f>
        <v/>
      </c>
      <c r="G130" s="0">
        <f>IF(D130=1,IF('7811'!B26="","",'7811'!B26),"")</f>
        <v/>
      </c>
      <c r="H130" s="0">
        <f>IF(D130=1,'7811'!N26&amp;"","")</f>
        <v/>
      </c>
      <c r="I130" s="0">
        <f>IF(D130=1,'7811'!C26&amp;"","")</f>
        <v/>
      </c>
      <c r="J130" s="0">
        <f>IF(D130=1,'7811'!E26&amp;"","")</f>
        <v/>
      </c>
      <c r="K130" s="0">
        <f>IF(D130=1,'7811'!D26&amp;"","")</f>
        <v/>
      </c>
      <c r="L130" s="0">
        <f>IF(D130=1,IF('7811'!F26="","",'7811'!F26),"")</f>
        <v/>
      </c>
    </row>
    <row r="131">
      <c r="A131" s="0" t="inlineStr">
        <is>
          <t>7811 – Teaching &amp; Learning</t>
        </is>
      </c>
      <c r="B131" s="0" t="inlineStr">
        <is>
          <t>7811</t>
        </is>
      </c>
      <c r="C131" s="0" t="n">
        <v>27</v>
      </c>
      <c r="D131" s="0">
        <f>IF(AND(UPPER(TRIM('7811'!A27))="CHOICE",LEN(TRIM('7811'!E27&amp;'7811'!F27))&gt;0),1,0)</f>
        <v/>
      </c>
      <c r="E131" s="0">
        <f>IF(D131=1,MAX(E$1:E130)+1,"")</f>
        <v/>
      </c>
      <c r="F131" s="0">
        <f>IF(D131=1,IFERROR(CHOOSE(MATCH("X",'7811'!G27:L27,0),"①","②","③","④","⑤","⑥"),""),"")</f>
        <v/>
      </c>
      <c r="G131" s="0">
        <f>IF(D131=1,IF('7811'!B27="","",'7811'!B27),"")</f>
        <v/>
      </c>
      <c r="H131" s="0">
        <f>IF(D131=1,'7811'!N27&amp;"","")</f>
        <v/>
      </c>
      <c r="I131" s="0">
        <f>IF(D131=1,'7811'!C27&amp;"","")</f>
        <v/>
      </c>
      <c r="J131" s="0">
        <f>IF(D131=1,'7811'!E27&amp;"","")</f>
        <v/>
      </c>
      <c r="K131" s="0">
        <f>IF(D131=1,'7811'!D27&amp;"","")</f>
        <v/>
      </c>
      <c r="L131" s="0">
        <f>IF(D131=1,IF('7811'!F27="","",'7811'!F27),"")</f>
        <v/>
      </c>
    </row>
    <row r="132">
      <c r="A132" s="0" t="inlineStr">
        <is>
          <t>7811 – Teaching &amp; Learning</t>
        </is>
      </c>
      <c r="B132" s="0" t="inlineStr">
        <is>
          <t>7811</t>
        </is>
      </c>
      <c r="C132" s="0" t="n">
        <v>28</v>
      </c>
      <c r="D132" s="0">
        <f>IF(AND(UPPER(TRIM('7811'!A28))="CHOICE",LEN(TRIM('7811'!E28&amp;'7811'!F28))&gt;0),1,0)</f>
        <v/>
      </c>
      <c r="E132" s="0">
        <f>IF(D132=1,MAX(E$1:E131)+1,"")</f>
        <v/>
      </c>
      <c r="F132" s="0">
        <f>IF(D132=1,IFERROR(CHOOSE(MATCH("X",'7811'!G28:L28,0),"①","②","③","④","⑤","⑥"),""),"")</f>
        <v/>
      </c>
      <c r="G132" s="0">
        <f>IF(D132=1,IF('7811'!B28="","",'7811'!B28),"")</f>
        <v/>
      </c>
      <c r="H132" s="0">
        <f>IF(D132=1,'7811'!N28&amp;"","")</f>
        <v/>
      </c>
      <c r="I132" s="0">
        <f>IF(D132=1,'7811'!C28&amp;"","")</f>
        <v/>
      </c>
      <c r="J132" s="0">
        <f>IF(D132=1,'7811'!E28&amp;"","")</f>
        <v/>
      </c>
      <c r="K132" s="0">
        <f>IF(D132=1,'7811'!D28&amp;"","")</f>
        <v/>
      </c>
      <c r="L132" s="0">
        <f>IF(D132=1,IF('7811'!F28="","",'7811'!F28),"")</f>
        <v/>
      </c>
    </row>
    <row r="133">
      <c r="A133" s="0" t="inlineStr">
        <is>
          <t>7811 – Teaching &amp; Learning</t>
        </is>
      </c>
      <c r="B133" s="0" t="inlineStr">
        <is>
          <t>7811</t>
        </is>
      </c>
      <c r="C133" s="0" t="n">
        <v>29</v>
      </c>
      <c r="D133" s="0">
        <f>IF(AND(UPPER(TRIM('7811'!A29))="CHOICE",LEN(TRIM('7811'!E29&amp;'7811'!F29))&gt;0),1,0)</f>
        <v/>
      </c>
      <c r="E133" s="0">
        <f>IF(D133=1,MAX(E$1:E132)+1,"")</f>
        <v/>
      </c>
      <c r="F133" s="0">
        <f>IF(D133=1,IFERROR(CHOOSE(MATCH("X",'7811'!G29:L29,0),"①","②","③","④","⑤","⑥"),""),"")</f>
        <v/>
      </c>
      <c r="G133" s="0">
        <f>IF(D133=1,IF('7811'!B29="","",'7811'!B29),"")</f>
        <v/>
      </c>
      <c r="H133" s="0">
        <f>IF(D133=1,'7811'!N29&amp;"","")</f>
        <v/>
      </c>
      <c r="I133" s="0">
        <f>IF(D133=1,'7811'!C29&amp;"","")</f>
        <v/>
      </c>
      <c r="J133" s="0">
        <f>IF(D133=1,'7811'!E29&amp;"","")</f>
        <v/>
      </c>
      <c r="K133" s="0">
        <f>IF(D133=1,'7811'!D29&amp;"","")</f>
        <v/>
      </c>
      <c r="L133" s="0">
        <f>IF(D133=1,IF('7811'!F29="","",'7811'!F29),"")</f>
        <v/>
      </c>
    </row>
    <row r="134">
      <c r="A134" s="0" t="inlineStr">
        <is>
          <t>7811 – Teaching &amp; Learning</t>
        </is>
      </c>
      <c r="B134" s="0" t="inlineStr">
        <is>
          <t>7811</t>
        </is>
      </c>
      <c r="C134" s="0" t="n">
        <v>30</v>
      </c>
      <c r="D134" s="0">
        <f>IF(AND(UPPER(TRIM('7811'!A30))="CHOICE",LEN(TRIM('7811'!E30&amp;'7811'!F30))&gt;0),1,0)</f>
        <v/>
      </c>
      <c r="E134" s="0">
        <f>IF(D134=1,MAX(E$1:E133)+1,"")</f>
        <v/>
      </c>
      <c r="F134" s="0">
        <f>IF(D134=1,IFERROR(CHOOSE(MATCH("X",'7811'!G30:L30,0),"①","②","③","④","⑤","⑥"),""),"")</f>
        <v/>
      </c>
      <c r="G134" s="0">
        <f>IF(D134=1,IF('7811'!B30="","",'7811'!B30),"")</f>
        <v/>
      </c>
      <c r="H134" s="0">
        <f>IF(D134=1,'7811'!N30&amp;"","")</f>
        <v/>
      </c>
      <c r="I134" s="0">
        <f>IF(D134=1,'7811'!C30&amp;"","")</f>
        <v/>
      </c>
      <c r="J134" s="0">
        <f>IF(D134=1,'7811'!E30&amp;"","")</f>
        <v/>
      </c>
      <c r="K134" s="0">
        <f>IF(D134=1,'7811'!D30&amp;"","")</f>
        <v/>
      </c>
      <c r="L134" s="0">
        <f>IF(D134=1,IF('7811'!F30="","",'7811'!F30),"")</f>
        <v/>
      </c>
    </row>
    <row r="135">
      <c r="A135" s="0" t="inlineStr">
        <is>
          <t>7811 – Teaching &amp; Learning</t>
        </is>
      </c>
      <c r="B135" s="0" t="inlineStr">
        <is>
          <t>7811</t>
        </is>
      </c>
      <c r="C135" s="0" t="n">
        <v>31</v>
      </c>
      <c r="D135" s="0">
        <f>IF(AND(UPPER(TRIM('7811'!A31))="CHOICE",LEN(TRIM('7811'!E31&amp;'7811'!F31))&gt;0),1,0)</f>
        <v/>
      </c>
      <c r="E135" s="0">
        <f>IF(D135=1,MAX(E$1:E134)+1,"")</f>
        <v/>
      </c>
      <c r="F135" s="0">
        <f>IF(D135=1,IFERROR(CHOOSE(MATCH("X",'7811'!G31:L31,0),"①","②","③","④","⑤","⑥"),""),"")</f>
        <v/>
      </c>
      <c r="G135" s="0">
        <f>IF(D135=1,IF('7811'!B31="","",'7811'!B31),"")</f>
        <v/>
      </c>
      <c r="H135" s="0">
        <f>IF(D135=1,'7811'!N31&amp;"","")</f>
        <v/>
      </c>
      <c r="I135" s="0">
        <f>IF(D135=1,'7811'!C31&amp;"","")</f>
        <v/>
      </c>
      <c r="J135" s="0">
        <f>IF(D135=1,'7811'!E31&amp;"","")</f>
        <v/>
      </c>
      <c r="K135" s="0">
        <f>IF(D135=1,'7811'!D31&amp;"","")</f>
        <v/>
      </c>
      <c r="L135" s="0">
        <f>IF(D135=1,IF('7811'!F31="","",'7811'!F31),"")</f>
        <v/>
      </c>
    </row>
    <row r="136">
      <c r="A136" s="0" t="inlineStr">
        <is>
          <t>7811 – Teaching &amp; Learning</t>
        </is>
      </c>
      <c r="B136" s="0" t="inlineStr">
        <is>
          <t>7811</t>
        </is>
      </c>
      <c r="C136" s="0" t="n">
        <v>32</v>
      </c>
      <c r="D136" s="0">
        <f>IF(AND(UPPER(TRIM('7811'!A32))="CHOICE",LEN(TRIM('7811'!E32&amp;'7811'!F32))&gt;0),1,0)</f>
        <v/>
      </c>
      <c r="E136" s="0">
        <f>IF(D136=1,MAX(E$1:E135)+1,"")</f>
        <v/>
      </c>
      <c r="F136" s="0">
        <f>IF(D136=1,IFERROR(CHOOSE(MATCH("X",'7811'!G32:L32,0),"①","②","③","④","⑤","⑥"),""),"")</f>
        <v/>
      </c>
      <c r="G136" s="0">
        <f>IF(D136=1,IF('7811'!B32="","",'7811'!B32),"")</f>
        <v/>
      </c>
      <c r="H136" s="0">
        <f>IF(D136=1,'7811'!N32&amp;"","")</f>
        <v/>
      </c>
      <c r="I136" s="0">
        <f>IF(D136=1,'7811'!C32&amp;"","")</f>
        <v/>
      </c>
      <c r="J136" s="0">
        <f>IF(D136=1,'7811'!E32&amp;"","")</f>
        <v/>
      </c>
      <c r="K136" s="0">
        <f>IF(D136=1,'7811'!D32&amp;"","")</f>
        <v/>
      </c>
      <c r="L136" s="0">
        <f>IF(D136=1,IF('7811'!F32="","",'7811'!F32),"")</f>
        <v/>
      </c>
    </row>
    <row r="137">
      <c r="A137" s="0" t="inlineStr">
        <is>
          <t>7811 – Teaching &amp; Learning</t>
        </is>
      </c>
      <c r="B137" s="0" t="inlineStr">
        <is>
          <t>7811</t>
        </is>
      </c>
      <c r="C137" s="0" t="n">
        <v>33</v>
      </c>
      <c r="D137" s="0">
        <f>IF(AND(UPPER(TRIM('7811'!A33))="CHOICE",LEN(TRIM('7811'!E33&amp;'7811'!F33))&gt;0),1,0)</f>
        <v/>
      </c>
      <c r="E137" s="0">
        <f>IF(D137=1,MAX(E$1:E136)+1,"")</f>
        <v/>
      </c>
      <c r="F137" s="0">
        <f>IF(D137=1,IFERROR(CHOOSE(MATCH("X",'7811'!G33:L33,0),"①","②","③","④","⑤","⑥"),""),"")</f>
        <v/>
      </c>
      <c r="G137" s="0">
        <f>IF(D137=1,IF('7811'!B33="","",'7811'!B33),"")</f>
        <v/>
      </c>
      <c r="H137" s="0">
        <f>IF(D137=1,'7811'!N33&amp;"","")</f>
        <v/>
      </c>
      <c r="I137" s="0">
        <f>IF(D137=1,'7811'!C33&amp;"","")</f>
        <v/>
      </c>
      <c r="J137" s="0">
        <f>IF(D137=1,'7811'!E33&amp;"","")</f>
        <v/>
      </c>
      <c r="K137" s="0">
        <f>IF(D137=1,'7811'!D33&amp;"","")</f>
        <v/>
      </c>
      <c r="L137" s="0">
        <f>IF(D137=1,IF('7811'!F33="","",'7811'!F33),"")</f>
        <v/>
      </c>
    </row>
    <row r="138">
      <c r="A138" s="0" t="inlineStr">
        <is>
          <t>7811 – Teaching &amp; Learning</t>
        </is>
      </c>
      <c r="B138" s="0" t="inlineStr">
        <is>
          <t>7811</t>
        </is>
      </c>
      <c r="C138" s="0" t="n">
        <v>34</v>
      </c>
      <c r="D138" s="0">
        <f>IF(AND(UPPER(TRIM('7811'!A34))="CHOICE",LEN(TRIM('7811'!E34&amp;'7811'!F34))&gt;0),1,0)</f>
        <v/>
      </c>
      <c r="E138" s="0">
        <f>IF(D138=1,MAX(E$1:E137)+1,"")</f>
        <v/>
      </c>
      <c r="F138" s="0">
        <f>IF(D138=1,IFERROR(CHOOSE(MATCH("X",'7811'!G34:L34,0),"①","②","③","④","⑤","⑥"),""),"")</f>
        <v/>
      </c>
      <c r="G138" s="0">
        <f>IF(D138=1,IF('7811'!B34="","",'7811'!B34),"")</f>
        <v/>
      </c>
      <c r="H138" s="0">
        <f>IF(D138=1,'7811'!N34&amp;"","")</f>
        <v/>
      </c>
      <c r="I138" s="0">
        <f>IF(D138=1,'7811'!C34&amp;"","")</f>
        <v/>
      </c>
      <c r="J138" s="0">
        <f>IF(D138=1,'7811'!E34&amp;"","")</f>
        <v/>
      </c>
      <c r="K138" s="0">
        <f>IF(D138=1,'7811'!D34&amp;"","")</f>
        <v/>
      </c>
      <c r="L138" s="0">
        <f>IF(D138=1,IF('7811'!F34="","",'7811'!F34),"")</f>
        <v/>
      </c>
    </row>
    <row r="139">
      <c r="A139" s="0" t="inlineStr">
        <is>
          <t>7811 – Teaching &amp; Learning</t>
        </is>
      </c>
      <c r="B139" s="0" t="inlineStr">
        <is>
          <t>7811</t>
        </is>
      </c>
      <c r="C139" s="0" t="n">
        <v>35</v>
      </c>
      <c r="D139" s="0">
        <f>IF(AND(UPPER(TRIM('7811'!A35))="CHOICE",LEN(TRIM('7811'!E35&amp;'7811'!F35))&gt;0),1,0)</f>
        <v/>
      </c>
      <c r="E139" s="0">
        <f>IF(D139=1,MAX(E$1:E138)+1,"")</f>
        <v/>
      </c>
      <c r="F139" s="0">
        <f>IF(D139=1,IFERROR(CHOOSE(MATCH("X",'7811'!G35:L35,0),"①","②","③","④","⑤","⑥"),""),"")</f>
        <v/>
      </c>
      <c r="G139" s="0">
        <f>IF(D139=1,IF('7811'!B35="","",'7811'!B35),"")</f>
        <v/>
      </c>
      <c r="H139" s="0">
        <f>IF(D139=1,'7811'!N35&amp;"","")</f>
        <v/>
      </c>
      <c r="I139" s="0">
        <f>IF(D139=1,'7811'!C35&amp;"","")</f>
        <v/>
      </c>
      <c r="J139" s="0">
        <f>IF(D139=1,'7811'!E35&amp;"","")</f>
        <v/>
      </c>
      <c r="K139" s="0">
        <f>IF(D139=1,'7811'!D35&amp;"","")</f>
        <v/>
      </c>
      <c r="L139" s="0">
        <f>IF(D139=1,IF('7811'!F35="","",'7811'!F35),"")</f>
        <v/>
      </c>
    </row>
    <row r="140">
      <c r="A140" s="0" t="inlineStr">
        <is>
          <t>7811 – Teaching &amp; Learning</t>
        </is>
      </c>
      <c r="B140" s="0" t="inlineStr">
        <is>
          <t>7811</t>
        </is>
      </c>
      <c r="C140" s="0" t="n">
        <v>36</v>
      </c>
      <c r="D140" s="0">
        <f>IF(AND(UPPER(TRIM('7811'!A36))="CHOICE",LEN(TRIM('7811'!E36&amp;'7811'!F36))&gt;0),1,0)</f>
        <v/>
      </c>
      <c r="E140" s="0">
        <f>IF(D140=1,MAX(E$1:E139)+1,"")</f>
        <v/>
      </c>
      <c r="F140" s="0">
        <f>IF(D140=1,IFERROR(CHOOSE(MATCH("X",'7811'!G36:L36,0),"①","②","③","④","⑤","⑥"),""),"")</f>
        <v/>
      </c>
      <c r="G140" s="0">
        <f>IF(D140=1,IF('7811'!B36="","",'7811'!B36),"")</f>
        <v/>
      </c>
      <c r="H140" s="0">
        <f>IF(D140=1,'7811'!N36&amp;"","")</f>
        <v/>
      </c>
      <c r="I140" s="0">
        <f>IF(D140=1,'7811'!C36&amp;"","")</f>
        <v/>
      </c>
      <c r="J140" s="0">
        <f>IF(D140=1,'7811'!E36&amp;"","")</f>
        <v/>
      </c>
      <c r="K140" s="0">
        <f>IF(D140=1,'7811'!D36&amp;"","")</f>
        <v/>
      </c>
      <c r="L140" s="0">
        <f>IF(D140=1,IF('7811'!F36="","",'7811'!F36),"")</f>
        <v/>
      </c>
    </row>
    <row r="141">
      <c r="A141" s="0" t="inlineStr">
        <is>
          <t>7811 – Teaching &amp; Learning</t>
        </is>
      </c>
      <c r="B141" s="0" t="inlineStr">
        <is>
          <t>7811</t>
        </is>
      </c>
      <c r="C141" s="0" t="n">
        <v>37</v>
      </c>
      <c r="D141" s="0">
        <f>IF(AND(UPPER(TRIM('7811'!A37))="CHOICE",LEN(TRIM('7811'!E37&amp;'7811'!F37))&gt;0),1,0)</f>
        <v/>
      </c>
      <c r="E141" s="0">
        <f>IF(D141=1,MAX(E$1:E140)+1,"")</f>
        <v/>
      </c>
      <c r="F141" s="0">
        <f>IF(D141=1,IFERROR(CHOOSE(MATCH("X",'7811'!G37:L37,0),"①","②","③","④","⑤","⑥"),""),"")</f>
        <v/>
      </c>
      <c r="G141" s="0">
        <f>IF(D141=1,IF('7811'!B37="","",'7811'!B37),"")</f>
        <v/>
      </c>
      <c r="H141" s="0">
        <f>IF(D141=1,'7811'!N37&amp;"","")</f>
        <v/>
      </c>
      <c r="I141" s="0">
        <f>IF(D141=1,'7811'!C37&amp;"","")</f>
        <v/>
      </c>
      <c r="J141" s="0">
        <f>IF(D141=1,'7811'!E37&amp;"","")</f>
        <v/>
      </c>
      <c r="K141" s="0">
        <f>IF(D141=1,'7811'!D37&amp;"","")</f>
        <v/>
      </c>
      <c r="L141" s="0">
        <f>IF(D141=1,IF('7811'!F37="","",'7811'!F37),"")</f>
        <v/>
      </c>
    </row>
    <row r="142">
      <c r="A142" s="0" t="inlineStr">
        <is>
          <t>7811 – Teaching &amp; Learning</t>
        </is>
      </c>
      <c r="B142" s="0" t="inlineStr">
        <is>
          <t>7811</t>
        </is>
      </c>
      <c r="C142" s="0" t="n">
        <v>38</v>
      </c>
      <c r="D142" s="0">
        <f>IF(AND(UPPER(TRIM('7811'!A38))="CHOICE",LEN(TRIM('7811'!E38&amp;'7811'!F38))&gt;0),1,0)</f>
        <v/>
      </c>
      <c r="E142" s="0">
        <f>IF(D142=1,MAX(E$1:E141)+1,"")</f>
        <v/>
      </c>
      <c r="F142" s="0">
        <f>IF(D142=1,IFERROR(CHOOSE(MATCH("X",'7811'!G38:L38,0),"①","②","③","④","⑤","⑥"),""),"")</f>
        <v/>
      </c>
      <c r="G142" s="0">
        <f>IF(D142=1,IF('7811'!B38="","",'7811'!B38),"")</f>
        <v/>
      </c>
      <c r="H142" s="0">
        <f>IF(D142=1,'7811'!N38&amp;"","")</f>
        <v/>
      </c>
      <c r="I142" s="0">
        <f>IF(D142=1,'7811'!C38&amp;"","")</f>
        <v/>
      </c>
      <c r="J142" s="0">
        <f>IF(D142=1,'7811'!E38&amp;"","")</f>
        <v/>
      </c>
      <c r="K142" s="0">
        <f>IF(D142=1,'7811'!D38&amp;"","")</f>
        <v/>
      </c>
      <c r="L142" s="0">
        <f>IF(D142=1,IF('7811'!F38="","",'7811'!F38),"")</f>
        <v/>
      </c>
    </row>
    <row r="143">
      <c r="A143" s="0" t="inlineStr">
        <is>
          <t>7811 – Teaching &amp; Learning</t>
        </is>
      </c>
      <c r="B143" s="0" t="inlineStr">
        <is>
          <t>7811</t>
        </is>
      </c>
      <c r="C143" s="0" t="n">
        <v>39</v>
      </c>
      <c r="D143" s="0">
        <f>IF(AND(UPPER(TRIM('7811'!A39))="CHOICE",LEN(TRIM('7811'!E39&amp;'7811'!F39))&gt;0),1,0)</f>
        <v/>
      </c>
      <c r="E143" s="0">
        <f>IF(D143=1,MAX(E$1:E142)+1,"")</f>
        <v/>
      </c>
      <c r="F143" s="0">
        <f>IF(D143=1,IFERROR(CHOOSE(MATCH("X",'7811'!G39:L39,0),"①","②","③","④","⑤","⑥"),""),"")</f>
        <v/>
      </c>
      <c r="G143" s="0">
        <f>IF(D143=1,IF('7811'!B39="","",'7811'!B39),"")</f>
        <v/>
      </c>
      <c r="H143" s="0">
        <f>IF(D143=1,'7811'!N39&amp;"","")</f>
        <v/>
      </c>
      <c r="I143" s="0">
        <f>IF(D143=1,'7811'!C39&amp;"","")</f>
        <v/>
      </c>
      <c r="J143" s="0">
        <f>IF(D143=1,'7811'!E39&amp;"","")</f>
        <v/>
      </c>
      <c r="K143" s="0">
        <f>IF(D143=1,'7811'!D39&amp;"","")</f>
        <v/>
      </c>
      <c r="L143" s="0">
        <f>IF(D143=1,IF('7811'!F39="","",'7811'!F39),"")</f>
        <v/>
      </c>
    </row>
    <row r="144">
      <c r="A144" s="0" t="inlineStr">
        <is>
          <t>7811 – Teaching &amp; Learning</t>
        </is>
      </c>
      <c r="B144" s="0" t="inlineStr">
        <is>
          <t>7811</t>
        </is>
      </c>
      <c r="C144" s="0" t="n">
        <v>40</v>
      </c>
      <c r="D144" s="0">
        <f>IF(AND(UPPER(TRIM('7811'!A40))="CHOICE",LEN(TRIM('7811'!E40&amp;'7811'!F40))&gt;0),1,0)</f>
        <v/>
      </c>
      <c r="E144" s="0">
        <f>IF(D144=1,MAX(E$1:E143)+1,"")</f>
        <v/>
      </c>
      <c r="F144" s="0">
        <f>IF(D144=1,IFERROR(CHOOSE(MATCH("X",'7811'!G40:L40,0),"①","②","③","④","⑤","⑥"),""),"")</f>
        <v/>
      </c>
      <c r="G144" s="0">
        <f>IF(D144=1,IF('7811'!B40="","",'7811'!B40),"")</f>
        <v/>
      </c>
      <c r="H144" s="0">
        <f>IF(D144=1,'7811'!N40&amp;"","")</f>
        <v/>
      </c>
      <c r="I144" s="0">
        <f>IF(D144=1,'7811'!C40&amp;"","")</f>
        <v/>
      </c>
      <c r="J144" s="0">
        <f>IF(D144=1,'7811'!E40&amp;"","")</f>
        <v/>
      </c>
      <c r="K144" s="0">
        <f>IF(D144=1,'7811'!D40&amp;"","")</f>
        <v/>
      </c>
      <c r="L144" s="0">
        <f>IF(D144=1,IF('7811'!F40="","",'7811'!F40),"")</f>
        <v/>
      </c>
    </row>
    <row r="145">
      <c r="A145" s="0" t="inlineStr">
        <is>
          <t>7811 – Teaching &amp; Learning</t>
        </is>
      </c>
      <c r="B145" s="0" t="inlineStr">
        <is>
          <t>7811</t>
        </is>
      </c>
      <c r="C145" s="0" t="n">
        <v>41</v>
      </c>
      <c r="D145" s="0">
        <f>IF(AND(UPPER(TRIM('7811'!A41))="CHOICE",LEN(TRIM('7811'!E41&amp;'7811'!F41))&gt;0),1,0)</f>
        <v/>
      </c>
      <c r="E145" s="0">
        <f>IF(D145=1,MAX(E$1:E144)+1,"")</f>
        <v/>
      </c>
      <c r="F145" s="0">
        <f>IF(D145=1,IFERROR(CHOOSE(MATCH("X",'7811'!G41:L41,0),"①","②","③","④","⑤","⑥"),""),"")</f>
        <v/>
      </c>
      <c r="G145" s="0">
        <f>IF(D145=1,IF('7811'!B41="","",'7811'!B41),"")</f>
        <v/>
      </c>
      <c r="H145" s="0">
        <f>IF(D145=1,'7811'!N41&amp;"","")</f>
        <v/>
      </c>
      <c r="I145" s="0">
        <f>IF(D145=1,'7811'!C41&amp;"","")</f>
        <v/>
      </c>
      <c r="J145" s="0">
        <f>IF(D145=1,'7811'!E41&amp;"","")</f>
        <v/>
      </c>
      <c r="K145" s="0">
        <f>IF(D145=1,'7811'!D41&amp;"","")</f>
        <v/>
      </c>
      <c r="L145" s="0">
        <f>IF(D145=1,IF('7811'!F41="","",'7811'!F41),"")</f>
        <v/>
      </c>
    </row>
    <row r="146">
      <c r="A146" s="0" t="inlineStr">
        <is>
          <t>7811 – Teaching &amp; Learning</t>
        </is>
      </c>
      <c r="B146" s="0" t="inlineStr">
        <is>
          <t>7811</t>
        </is>
      </c>
      <c r="C146" s="0" t="n">
        <v>42</v>
      </c>
      <c r="D146" s="0">
        <f>IF(AND(UPPER(TRIM('7811'!A42))="CHOICE",LEN(TRIM('7811'!E42&amp;'7811'!F42))&gt;0),1,0)</f>
        <v/>
      </c>
      <c r="E146" s="0">
        <f>IF(D146=1,MAX(E$1:E145)+1,"")</f>
        <v/>
      </c>
      <c r="F146" s="0">
        <f>IF(D146=1,IFERROR(CHOOSE(MATCH("X",'7811'!G42:L42,0),"①","②","③","④","⑤","⑥"),""),"")</f>
        <v/>
      </c>
      <c r="G146" s="0">
        <f>IF(D146=1,IF('7811'!B42="","",'7811'!B42),"")</f>
        <v/>
      </c>
      <c r="H146" s="0">
        <f>IF(D146=1,'7811'!N42&amp;"","")</f>
        <v/>
      </c>
      <c r="I146" s="0">
        <f>IF(D146=1,'7811'!C42&amp;"","")</f>
        <v/>
      </c>
      <c r="J146" s="0">
        <f>IF(D146=1,'7811'!E42&amp;"","")</f>
        <v/>
      </c>
      <c r="K146" s="0">
        <f>IF(D146=1,'7811'!D42&amp;"","")</f>
        <v/>
      </c>
      <c r="L146" s="0">
        <f>IF(D146=1,IF('7811'!F42="","",'7811'!F42),"")</f>
        <v/>
      </c>
    </row>
    <row r="147">
      <c r="A147" s="0" t="inlineStr">
        <is>
          <t>7811 – Teaching &amp; Learning</t>
        </is>
      </c>
      <c r="B147" s="0" t="inlineStr">
        <is>
          <t>7811</t>
        </is>
      </c>
      <c r="C147" s="0" t="n">
        <v>43</v>
      </c>
      <c r="D147" s="0">
        <f>IF(AND(UPPER(TRIM('7811'!A43))="CHOICE",LEN(TRIM('7811'!E43&amp;'7811'!F43))&gt;0),1,0)</f>
        <v/>
      </c>
      <c r="E147" s="0">
        <f>IF(D147=1,MAX(E$1:E146)+1,"")</f>
        <v/>
      </c>
      <c r="F147" s="0">
        <f>IF(D147=1,IFERROR(CHOOSE(MATCH("X",'7811'!G43:L43,0),"①","②","③","④","⑤","⑥"),""),"")</f>
        <v/>
      </c>
      <c r="G147" s="0">
        <f>IF(D147=1,IF('7811'!B43="","",'7811'!B43),"")</f>
        <v/>
      </c>
      <c r="H147" s="0">
        <f>IF(D147=1,'7811'!N43&amp;"","")</f>
        <v/>
      </c>
      <c r="I147" s="0">
        <f>IF(D147=1,'7811'!C43&amp;"","")</f>
        <v/>
      </c>
      <c r="J147" s="0">
        <f>IF(D147=1,'7811'!E43&amp;"","")</f>
        <v/>
      </c>
      <c r="K147" s="0">
        <f>IF(D147=1,'7811'!D43&amp;"","")</f>
        <v/>
      </c>
      <c r="L147" s="0">
        <f>IF(D147=1,IF('7811'!F43="","",'7811'!F43),"")</f>
        <v/>
      </c>
    </row>
    <row r="148">
      <c r="A148" s="0" t="inlineStr">
        <is>
          <t>7811 – Teaching &amp; Learning</t>
        </is>
      </c>
      <c r="B148" s="0" t="inlineStr">
        <is>
          <t>7811</t>
        </is>
      </c>
      <c r="C148" s="0" t="n">
        <v>44</v>
      </c>
      <c r="D148" s="0">
        <f>IF(AND(UPPER(TRIM('7811'!A44))="CHOICE",LEN(TRIM('7811'!E44&amp;'7811'!F44))&gt;0),1,0)</f>
        <v/>
      </c>
      <c r="E148" s="0">
        <f>IF(D148=1,MAX(E$1:E147)+1,"")</f>
        <v/>
      </c>
      <c r="F148" s="0">
        <f>IF(D148=1,IFERROR(CHOOSE(MATCH("X",'7811'!G44:L44,0),"①","②","③","④","⑤","⑥"),""),"")</f>
        <v/>
      </c>
      <c r="G148" s="0">
        <f>IF(D148=1,IF('7811'!B44="","",'7811'!B44),"")</f>
        <v/>
      </c>
      <c r="H148" s="0">
        <f>IF(D148=1,'7811'!N44&amp;"","")</f>
        <v/>
      </c>
      <c r="I148" s="0">
        <f>IF(D148=1,'7811'!C44&amp;"","")</f>
        <v/>
      </c>
      <c r="J148" s="0">
        <f>IF(D148=1,'7811'!E44&amp;"","")</f>
        <v/>
      </c>
      <c r="K148" s="0">
        <f>IF(D148=1,'7811'!D44&amp;"","")</f>
        <v/>
      </c>
      <c r="L148" s="0">
        <f>IF(D148=1,IF('7811'!F44="","",'7811'!F44),"")</f>
        <v/>
      </c>
    </row>
    <row r="149">
      <c r="A149" s="0" t="inlineStr">
        <is>
          <t>7811 – Teaching &amp; Learning</t>
        </is>
      </c>
      <c r="B149" s="0" t="inlineStr">
        <is>
          <t>7811</t>
        </is>
      </c>
      <c r="C149" s="0" t="n">
        <v>45</v>
      </c>
      <c r="D149" s="0">
        <f>IF(AND(UPPER(TRIM('7811'!A45))="CHOICE",LEN(TRIM('7811'!E45&amp;'7811'!F45))&gt;0),1,0)</f>
        <v/>
      </c>
      <c r="E149" s="0">
        <f>IF(D149=1,MAX(E$1:E148)+1,"")</f>
        <v/>
      </c>
      <c r="F149" s="0">
        <f>IF(D149=1,IFERROR(CHOOSE(MATCH("X",'7811'!G45:L45,0),"①","②","③","④","⑤","⑥"),""),"")</f>
        <v/>
      </c>
      <c r="G149" s="0">
        <f>IF(D149=1,IF('7811'!B45="","",'7811'!B45),"")</f>
        <v/>
      </c>
      <c r="H149" s="0">
        <f>IF(D149=1,'7811'!N45&amp;"","")</f>
        <v/>
      </c>
      <c r="I149" s="0">
        <f>IF(D149=1,'7811'!C45&amp;"","")</f>
        <v/>
      </c>
      <c r="J149" s="0">
        <f>IF(D149=1,'7811'!E45&amp;"","")</f>
        <v/>
      </c>
      <c r="K149" s="0">
        <f>IF(D149=1,'7811'!D45&amp;"","")</f>
        <v/>
      </c>
      <c r="L149" s="0">
        <f>IF(D149=1,IF('7811'!F45="","",'7811'!F45),"")</f>
        <v/>
      </c>
    </row>
    <row r="150">
      <c r="A150" s="0" t="inlineStr">
        <is>
          <t>7811 – Teaching &amp; Learning</t>
        </is>
      </c>
      <c r="B150" s="0" t="inlineStr">
        <is>
          <t>7811</t>
        </is>
      </c>
      <c r="C150" s="0" t="n">
        <v>46</v>
      </c>
      <c r="D150" s="0">
        <f>IF(AND(UPPER(TRIM('7811'!A46))="CHOICE",LEN(TRIM('7811'!E46&amp;'7811'!F46))&gt;0),1,0)</f>
        <v/>
      </c>
      <c r="E150" s="0">
        <f>IF(D150=1,MAX(E$1:E149)+1,"")</f>
        <v/>
      </c>
      <c r="F150" s="0">
        <f>IF(D150=1,IFERROR(CHOOSE(MATCH("X",'7811'!G46:L46,0),"①","②","③","④","⑤","⑥"),""),"")</f>
        <v/>
      </c>
      <c r="G150" s="0">
        <f>IF(D150=1,IF('7811'!B46="","",'7811'!B46),"")</f>
        <v/>
      </c>
      <c r="H150" s="0">
        <f>IF(D150=1,'7811'!N46&amp;"","")</f>
        <v/>
      </c>
      <c r="I150" s="0">
        <f>IF(D150=1,'7811'!C46&amp;"","")</f>
        <v/>
      </c>
      <c r="J150" s="0">
        <f>IF(D150=1,'7811'!E46&amp;"","")</f>
        <v/>
      </c>
      <c r="K150" s="0">
        <f>IF(D150=1,'7811'!D46&amp;"","")</f>
        <v/>
      </c>
      <c r="L150" s="0">
        <f>IF(D150=1,IF('7811'!F46="","",'7811'!F46),"")</f>
        <v/>
      </c>
    </row>
    <row r="151">
      <c r="A151" s="0" t="inlineStr">
        <is>
          <t>7811 – Teaching &amp; Learning</t>
        </is>
      </c>
      <c r="B151" s="0" t="inlineStr">
        <is>
          <t>7811</t>
        </is>
      </c>
      <c r="C151" s="0" t="n">
        <v>47</v>
      </c>
      <c r="D151" s="0">
        <f>IF(AND(UPPER(TRIM('7811'!A47))="CHOICE",LEN(TRIM('7811'!E47&amp;'7811'!F47))&gt;0),1,0)</f>
        <v/>
      </c>
      <c r="E151" s="0">
        <f>IF(D151=1,MAX(E$1:E150)+1,"")</f>
        <v/>
      </c>
      <c r="F151" s="0">
        <f>IF(D151=1,IFERROR(CHOOSE(MATCH("X",'7811'!G47:L47,0),"①","②","③","④","⑤","⑥"),""),"")</f>
        <v/>
      </c>
      <c r="G151" s="0">
        <f>IF(D151=1,IF('7811'!B47="","",'7811'!B47),"")</f>
        <v/>
      </c>
      <c r="H151" s="0">
        <f>IF(D151=1,'7811'!N47&amp;"","")</f>
        <v/>
      </c>
      <c r="I151" s="0">
        <f>IF(D151=1,'7811'!C47&amp;"","")</f>
        <v/>
      </c>
      <c r="J151" s="0">
        <f>IF(D151=1,'7811'!E47&amp;"","")</f>
        <v/>
      </c>
      <c r="K151" s="0">
        <f>IF(D151=1,'7811'!D47&amp;"","")</f>
        <v/>
      </c>
      <c r="L151" s="0">
        <f>IF(D151=1,IF('7811'!F47="","",'7811'!F47),"")</f>
        <v/>
      </c>
    </row>
    <row r="152">
      <c r="A152" s="0" t="inlineStr">
        <is>
          <t>7811 – Teaching &amp; Learning</t>
        </is>
      </c>
      <c r="B152" s="0" t="inlineStr">
        <is>
          <t>7811</t>
        </is>
      </c>
      <c r="C152" s="0" t="n">
        <v>48</v>
      </c>
      <c r="D152" s="0">
        <f>IF(AND(UPPER(TRIM('7811'!A48))="CHOICE",LEN(TRIM('7811'!E48&amp;'7811'!F48))&gt;0),1,0)</f>
        <v/>
      </c>
      <c r="E152" s="0">
        <f>IF(D152=1,MAX(E$1:E151)+1,"")</f>
        <v/>
      </c>
      <c r="F152" s="0">
        <f>IF(D152=1,IFERROR(CHOOSE(MATCH("X",'7811'!G48:L48,0),"①","②","③","④","⑤","⑥"),""),"")</f>
        <v/>
      </c>
      <c r="G152" s="0">
        <f>IF(D152=1,IF('7811'!B48="","",'7811'!B48),"")</f>
        <v/>
      </c>
      <c r="H152" s="0">
        <f>IF(D152=1,'7811'!N48&amp;"","")</f>
        <v/>
      </c>
      <c r="I152" s="0">
        <f>IF(D152=1,'7811'!C48&amp;"","")</f>
        <v/>
      </c>
      <c r="J152" s="0">
        <f>IF(D152=1,'7811'!E48&amp;"","")</f>
        <v/>
      </c>
      <c r="K152" s="0">
        <f>IF(D152=1,'7811'!D48&amp;"","")</f>
        <v/>
      </c>
      <c r="L152" s="0">
        <f>IF(D152=1,IF('7811'!F48="","",'7811'!F48),"")</f>
        <v/>
      </c>
    </row>
    <row r="153">
      <c r="A153" s="0" t="inlineStr">
        <is>
          <t>7811 – Teaching &amp; Learning</t>
        </is>
      </c>
      <c r="B153" s="0" t="inlineStr">
        <is>
          <t>7811</t>
        </is>
      </c>
      <c r="C153" s="0" t="n">
        <v>49</v>
      </c>
      <c r="D153" s="0">
        <f>IF(AND(UPPER(TRIM('7811'!A49))="CHOICE",LEN(TRIM('7811'!E49&amp;'7811'!F49))&gt;0),1,0)</f>
        <v/>
      </c>
      <c r="E153" s="0">
        <f>IF(D153=1,MAX(E$1:E152)+1,"")</f>
        <v/>
      </c>
      <c r="F153" s="0">
        <f>IF(D153=1,IFERROR(CHOOSE(MATCH("X",'7811'!G49:L49,0),"①","②","③","④","⑤","⑥"),""),"")</f>
        <v/>
      </c>
      <c r="G153" s="0">
        <f>IF(D153=1,IF('7811'!B49="","",'7811'!B49),"")</f>
        <v/>
      </c>
      <c r="H153" s="0">
        <f>IF(D153=1,'7811'!N49&amp;"","")</f>
        <v/>
      </c>
      <c r="I153" s="0">
        <f>IF(D153=1,'7811'!C49&amp;"","")</f>
        <v/>
      </c>
      <c r="J153" s="0">
        <f>IF(D153=1,'7811'!E49&amp;"","")</f>
        <v/>
      </c>
      <c r="K153" s="0">
        <f>IF(D153=1,'7811'!D49&amp;"","")</f>
        <v/>
      </c>
      <c r="L153" s="0">
        <f>IF(D153=1,IF('7811'!F49="","",'7811'!F49),"")</f>
        <v/>
      </c>
    </row>
    <row r="154">
      <c r="A154" s="0" t="inlineStr">
        <is>
          <t>7811 – Teaching &amp; Learning</t>
        </is>
      </c>
      <c r="B154" s="0" t="inlineStr">
        <is>
          <t>7811</t>
        </is>
      </c>
      <c r="C154" s="0" t="n">
        <v>50</v>
      </c>
      <c r="D154" s="0">
        <f>IF(AND(UPPER(TRIM('7811'!A50))="CHOICE",LEN(TRIM('7811'!E50&amp;'7811'!F50))&gt;0),1,0)</f>
        <v/>
      </c>
      <c r="E154" s="0">
        <f>IF(D154=1,MAX(E$1:E153)+1,"")</f>
        <v/>
      </c>
      <c r="F154" s="0">
        <f>IF(D154=1,IFERROR(CHOOSE(MATCH("X",'7811'!G50:L50,0),"①","②","③","④","⑤","⑥"),""),"")</f>
        <v/>
      </c>
      <c r="G154" s="0">
        <f>IF(D154=1,IF('7811'!B50="","",'7811'!B50),"")</f>
        <v/>
      </c>
      <c r="H154" s="0">
        <f>IF(D154=1,'7811'!N50&amp;"","")</f>
        <v/>
      </c>
      <c r="I154" s="0">
        <f>IF(D154=1,'7811'!C50&amp;"","")</f>
        <v/>
      </c>
      <c r="J154" s="0">
        <f>IF(D154=1,'7811'!E50&amp;"","")</f>
        <v/>
      </c>
      <c r="K154" s="0">
        <f>IF(D154=1,'7811'!D50&amp;"","")</f>
        <v/>
      </c>
      <c r="L154" s="0">
        <f>IF(D154=1,IF('7811'!F50="","",'7811'!F50),"")</f>
        <v/>
      </c>
    </row>
    <row r="155">
      <c r="A155" s="0" t="inlineStr">
        <is>
          <t>7811 – Teaching &amp; Learning</t>
        </is>
      </c>
      <c r="B155" s="0" t="inlineStr">
        <is>
          <t>7811</t>
        </is>
      </c>
      <c r="C155" s="0" t="n">
        <v>51</v>
      </c>
      <c r="D155" s="0">
        <f>IF(AND(UPPER(TRIM('7811'!A51))="CHOICE",LEN(TRIM('7811'!E51&amp;'7811'!F51))&gt;0),1,0)</f>
        <v/>
      </c>
      <c r="E155" s="0">
        <f>IF(D155=1,MAX(E$1:E154)+1,"")</f>
        <v/>
      </c>
      <c r="F155" s="0">
        <f>IF(D155=1,IFERROR(CHOOSE(MATCH("X",'7811'!G51:L51,0),"①","②","③","④","⑤","⑥"),""),"")</f>
        <v/>
      </c>
      <c r="G155" s="0">
        <f>IF(D155=1,IF('7811'!B51="","",'7811'!B51),"")</f>
        <v/>
      </c>
      <c r="H155" s="0">
        <f>IF(D155=1,'7811'!N51&amp;"","")</f>
        <v/>
      </c>
      <c r="I155" s="0">
        <f>IF(D155=1,'7811'!C51&amp;"","")</f>
        <v/>
      </c>
      <c r="J155" s="0">
        <f>IF(D155=1,'7811'!E51&amp;"","")</f>
        <v/>
      </c>
      <c r="K155" s="0">
        <f>IF(D155=1,'7811'!D51&amp;"","")</f>
        <v/>
      </c>
      <c r="L155" s="0">
        <f>IF(D155=1,IF('7811'!F51="","",'7811'!F51),"")</f>
        <v/>
      </c>
    </row>
    <row r="156">
      <c r="A156" s="0" t="inlineStr">
        <is>
          <t>7811 – Teaching &amp; Learning</t>
        </is>
      </c>
      <c r="B156" s="0" t="inlineStr">
        <is>
          <t>7811</t>
        </is>
      </c>
      <c r="C156" s="0" t="n">
        <v>52</v>
      </c>
      <c r="D156" s="0">
        <f>IF(AND(UPPER(TRIM('7811'!A52))="CHOICE",LEN(TRIM('7811'!E52&amp;'7811'!F52))&gt;0),1,0)</f>
        <v/>
      </c>
      <c r="E156" s="0">
        <f>IF(D156=1,MAX(E$1:E155)+1,"")</f>
        <v/>
      </c>
      <c r="F156" s="0">
        <f>IF(D156=1,IFERROR(CHOOSE(MATCH("X",'7811'!G52:L52,0),"①","②","③","④","⑤","⑥"),""),"")</f>
        <v/>
      </c>
      <c r="G156" s="0">
        <f>IF(D156=1,IF('7811'!B52="","",'7811'!B52),"")</f>
        <v/>
      </c>
      <c r="H156" s="0">
        <f>IF(D156=1,'7811'!N52&amp;"","")</f>
        <v/>
      </c>
      <c r="I156" s="0">
        <f>IF(D156=1,'7811'!C52&amp;"","")</f>
        <v/>
      </c>
      <c r="J156" s="0">
        <f>IF(D156=1,'7811'!E52&amp;"","")</f>
        <v/>
      </c>
      <c r="K156" s="0">
        <f>IF(D156=1,'7811'!D52&amp;"","")</f>
        <v/>
      </c>
      <c r="L156" s="0">
        <f>IF(D156=1,IF('7811'!F52="","",'7811'!F52),"")</f>
        <v/>
      </c>
    </row>
    <row r="157">
      <c r="A157" s="0" t="inlineStr">
        <is>
          <t>7811 – Teaching &amp; Learning</t>
        </is>
      </c>
      <c r="B157" s="0" t="inlineStr">
        <is>
          <t>7811</t>
        </is>
      </c>
      <c r="C157" s="0" t="n">
        <v>53</v>
      </c>
      <c r="D157" s="0">
        <f>IF(AND(UPPER(TRIM('7811'!A53))="CHOICE",LEN(TRIM('7811'!E53&amp;'7811'!F53))&gt;0),1,0)</f>
        <v/>
      </c>
      <c r="E157" s="0">
        <f>IF(D157=1,MAX(E$1:E156)+1,"")</f>
        <v/>
      </c>
      <c r="F157" s="0">
        <f>IF(D157=1,IFERROR(CHOOSE(MATCH("X",'7811'!G53:L53,0),"①","②","③","④","⑤","⑥"),""),"")</f>
        <v/>
      </c>
      <c r="G157" s="0">
        <f>IF(D157=1,IF('7811'!B53="","",'7811'!B53),"")</f>
        <v/>
      </c>
      <c r="H157" s="0">
        <f>IF(D157=1,'7811'!N53&amp;"","")</f>
        <v/>
      </c>
      <c r="I157" s="0">
        <f>IF(D157=1,'7811'!C53&amp;"","")</f>
        <v/>
      </c>
      <c r="J157" s="0">
        <f>IF(D157=1,'7811'!E53&amp;"","")</f>
        <v/>
      </c>
      <c r="K157" s="0">
        <f>IF(D157=1,'7811'!D53&amp;"","")</f>
        <v/>
      </c>
      <c r="L157" s="0">
        <f>IF(D157=1,IF('7811'!F53="","",'7811'!F53),"")</f>
        <v/>
      </c>
    </row>
    <row r="158">
      <c r="A158" s="0" t="inlineStr">
        <is>
          <t>7811 – Teaching &amp; Learning</t>
        </is>
      </c>
      <c r="B158" s="0" t="inlineStr">
        <is>
          <t>7811</t>
        </is>
      </c>
      <c r="C158" s="0" t="n">
        <v>54</v>
      </c>
      <c r="D158" s="0">
        <f>IF(AND(UPPER(TRIM('7811'!A54))="CHOICE",LEN(TRIM('7811'!E54&amp;'7811'!F54))&gt;0),1,0)</f>
        <v/>
      </c>
      <c r="E158" s="0">
        <f>IF(D158=1,MAX(E$1:E157)+1,"")</f>
        <v/>
      </c>
      <c r="F158" s="0">
        <f>IF(D158=1,IFERROR(CHOOSE(MATCH("X",'7811'!G54:L54,0),"①","②","③","④","⑤","⑥"),""),"")</f>
        <v/>
      </c>
      <c r="G158" s="0">
        <f>IF(D158=1,IF('7811'!B54="","",'7811'!B54),"")</f>
        <v/>
      </c>
      <c r="H158" s="0">
        <f>IF(D158=1,'7811'!N54&amp;"","")</f>
        <v/>
      </c>
      <c r="I158" s="0">
        <f>IF(D158=1,'7811'!C54&amp;"","")</f>
        <v/>
      </c>
      <c r="J158" s="0">
        <f>IF(D158=1,'7811'!E54&amp;"","")</f>
        <v/>
      </c>
      <c r="K158" s="0">
        <f>IF(D158=1,'7811'!D54&amp;"","")</f>
        <v/>
      </c>
      <c r="L158" s="0">
        <f>IF(D158=1,IF('7811'!F54="","",'7811'!F54),"")</f>
        <v/>
      </c>
    </row>
    <row r="159">
      <c r="A159" s="0" t="inlineStr">
        <is>
          <t>7811 – Teaching &amp; Learning</t>
        </is>
      </c>
      <c r="B159" s="0" t="inlineStr">
        <is>
          <t>7811</t>
        </is>
      </c>
      <c r="C159" s="0" t="n">
        <v>55</v>
      </c>
      <c r="D159" s="0">
        <f>IF(AND(UPPER(TRIM('7811'!A55))="CHOICE",LEN(TRIM('7811'!E55&amp;'7811'!F55))&gt;0),1,0)</f>
        <v/>
      </c>
      <c r="E159" s="0">
        <f>IF(D159=1,MAX(E$1:E158)+1,"")</f>
        <v/>
      </c>
      <c r="F159" s="0">
        <f>IF(D159=1,IFERROR(CHOOSE(MATCH("X",'7811'!G55:L55,0),"①","②","③","④","⑤","⑥"),""),"")</f>
        <v/>
      </c>
      <c r="G159" s="0">
        <f>IF(D159=1,IF('7811'!B55="","",'7811'!B55),"")</f>
        <v/>
      </c>
      <c r="H159" s="0">
        <f>IF(D159=1,'7811'!N55&amp;"","")</f>
        <v/>
      </c>
      <c r="I159" s="0">
        <f>IF(D159=1,'7811'!C55&amp;"","")</f>
        <v/>
      </c>
      <c r="J159" s="0">
        <f>IF(D159=1,'7811'!E55&amp;"","")</f>
        <v/>
      </c>
      <c r="K159" s="0">
        <f>IF(D159=1,'7811'!D55&amp;"","")</f>
        <v/>
      </c>
      <c r="L159" s="0">
        <f>IF(D159=1,IF('7811'!F55="","",'7811'!F55),"")</f>
        <v/>
      </c>
    </row>
    <row r="160">
      <c r="A160" s="0" t="inlineStr">
        <is>
          <t>7811 – Teaching &amp; Learning</t>
        </is>
      </c>
      <c r="B160" s="0" t="inlineStr">
        <is>
          <t>7811</t>
        </is>
      </c>
      <c r="C160" s="0" t="n">
        <v>56</v>
      </c>
      <c r="D160" s="0">
        <f>IF(AND(UPPER(TRIM('7811'!A56))="CHOICE",LEN(TRIM('7811'!E56&amp;'7811'!F56))&gt;0),1,0)</f>
        <v/>
      </c>
      <c r="E160" s="0">
        <f>IF(D160=1,MAX(E$1:E159)+1,"")</f>
        <v/>
      </c>
      <c r="F160" s="0">
        <f>IF(D160=1,IFERROR(CHOOSE(MATCH("X",'7811'!G56:L56,0),"①","②","③","④","⑤","⑥"),""),"")</f>
        <v/>
      </c>
      <c r="G160" s="0">
        <f>IF(D160=1,IF('7811'!B56="","",'7811'!B56),"")</f>
        <v/>
      </c>
      <c r="H160" s="0">
        <f>IF(D160=1,'7811'!N56&amp;"","")</f>
        <v/>
      </c>
      <c r="I160" s="0">
        <f>IF(D160=1,'7811'!C56&amp;"","")</f>
        <v/>
      </c>
      <c r="J160" s="0">
        <f>IF(D160=1,'7811'!E56&amp;"","")</f>
        <v/>
      </c>
      <c r="K160" s="0">
        <f>IF(D160=1,'7811'!D56&amp;"","")</f>
        <v/>
      </c>
      <c r="L160" s="0">
        <f>IF(D160=1,IF('7811'!F56="","",'7811'!F56),"")</f>
        <v/>
      </c>
    </row>
    <row r="161">
      <c r="A161" s="0" t="inlineStr">
        <is>
          <t>7811 – Teaching &amp; Learning</t>
        </is>
      </c>
      <c r="B161" s="0" t="inlineStr">
        <is>
          <t>7811</t>
        </is>
      </c>
      <c r="C161" s="0" t="n">
        <v>57</v>
      </c>
      <c r="D161" s="0">
        <f>IF(AND(UPPER(TRIM('7811'!A57))="CHOICE",LEN(TRIM('7811'!E57&amp;'7811'!F57))&gt;0),1,0)</f>
        <v/>
      </c>
      <c r="E161" s="0">
        <f>IF(D161=1,MAX(E$1:E160)+1,"")</f>
        <v/>
      </c>
      <c r="F161" s="0">
        <f>IF(D161=1,IFERROR(CHOOSE(MATCH("X",'7811'!G57:L57,0),"①","②","③","④","⑤","⑥"),""),"")</f>
        <v/>
      </c>
      <c r="G161" s="0">
        <f>IF(D161=1,IF('7811'!B57="","",'7811'!B57),"")</f>
        <v/>
      </c>
      <c r="H161" s="0">
        <f>IF(D161=1,'7811'!N57&amp;"","")</f>
        <v/>
      </c>
      <c r="I161" s="0">
        <f>IF(D161=1,'7811'!C57&amp;"","")</f>
        <v/>
      </c>
      <c r="J161" s="0">
        <f>IF(D161=1,'7811'!E57&amp;"","")</f>
        <v/>
      </c>
      <c r="K161" s="0">
        <f>IF(D161=1,'7811'!D57&amp;"","")</f>
        <v/>
      </c>
      <c r="L161" s="0">
        <f>IF(D161=1,IF('7811'!F57="","",'7811'!F57),"")</f>
        <v/>
      </c>
    </row>
    <row r="162">
      <c r="A162" s="0" t="inlineStr">
        <is>
          <t>7811 – Teaching &amp; Learning</t>
        </is>
      </c>
      <c r="B162" s="0" t="inlineStr">
        <is>
          <t>7811</t>
        </is>
      </c>
      <c r="C162" s="0" t="n">
        <v>58</v>
      </c>
      <c r="D162" s="0">
        <f>IF(AND(UPPER(TRIM('7811'!A58))="CHOICE",LEN(TRIM('7811'!E58&amp;'7811'!F58))&gt;0),1,0)</f>
        <v/>
      </c>
      <c r="E162" s="0">
        <f>IF(D162=1,MAX(E$1:E161)+1,"")</f>
        <v/>
      </c>
      <c r="F162" s="0">
        <f>IF(D162=1,IFERROR(CHOOSE(MATCH("X",'7811'!G58:L58,0),"①","②","③","④","⑤","⑥"),""),"")</f>
        <v/>
      </c>
      <c r="G162" s="0">
        <f>IF(D162=1,IF('7811'!B58="","",'7811'!B58),"")</f>
        <v/>
      </c>
      <c r="H162" s="0">
        <f>IF(D162=1,'7811'!N58&amp;"","")</f>
        <v/>
      </c>
      <c r="I162" s="0">
        <f>IF(D162=1,'7811'!C58&amp;"","")</f>
        <v/>
      </c>
      <c r="J162" s="0">
        <f>IF(D162=1,'7811'!E58&amp;"","")</f>
        <v/>
      </c>
      <c r="K162" s="0">
        <f>IF(D162=1,'7811'!D58&amp;"","")</f>
        <v/>
      </c>
      <c r="L162" s="0">
        <f>IF(D162=1,IF('7811'!F58="","",'7811'!F58),"")</f>
        <v/>
      </c>
    </row>
    <row r="163">
      <c r="A163" s="0" t="inlineStr">
        <is>
          <t>7811 – Teaching &amp; Learning</t>
        </is>
      </c>
      <c r="B163" s="0" t="inlineStr">
        <is>
          <t>7811</t>
        </is>
      </c>
      <c r="C163" s="0" t="n">
        <v>59</v>
      </c>
      <c r="D163" s="0">
        <f>IF(AND(UPPER(TRIM('7811'!A59))="CHOICE",LEN(TRIM('7811'!E59&amp;'7811'!F59))&gt;0),1,0)</f>
        <v/>
      </c>
      <c r="E163" s="0">
        <f>IF(D163=1,MAX(E$1:E162)+1,"")</f>
        <v/>
      </c>
      <c r="F163" s="0">
        <f>IF(D163=1,IFERROR(CHOOSE(MATCH("X",'7811'!G59:L59,0),"①","②","③","④","⑤","⑥"),""),"")</f>
        <v/>
      </c>
      <c r="G163" s="0">
        <f>IF(D163=1,IF('7811'!B59="","",'7811'!B59),"")</f>
        <v/>
      </c>
      <c r="H163" s="0">
        <f>IF(D163=1,'7811'!N59&amp;"","")</f>
        <v/>
      </c>
      <c r="I163" s="0">
        <f>IF(D163=1,'7811'!C59&amp;"","")</f>
        <v/>
      </c>
      <c r="J163" s="0">
        <f>IF(D163=1,'7811'!E59&amp;"","")</f>
        <v/>
      </c>
      <c r="K163" s="0">
        <f>IF(D163=1,'7811'!D59&amp;"","")</f>
        <v/>
      </c>
      <c r="L163" s="0">
        <f>IF(D163=1,IF('7811'!F59="","",'7811'!F59),"")</f>
        <v/>
      </c>
    </row>
    <row r="164">
      <c r="A164" s="0" t="inlineStr">
        <is>
          <t>7807 – Leadership I</t>
        </is>
      </c>
      <c r="B164" s="0" t="inlineStr">
        <is>
          <t>7807</t>
        </is>
      </c>
      <c r="C164" s="0" t="n">
        <v>6</v>
      </c>
      <c r="D164" s="0">
        <f>IF(AND(UPPER(TRIM('7807'!A6))="CHOICE",LEN(TRIM('7807'!E6&amp;'7807'!F6))&gt;0),1,0)</f>
        <v/>
      </c>
      <c r="E164" s="0">
        <f>IF(D164=1,MAX(E$1:E163)+1,"")</f>
        <v/>
      </c>
      <c r="F164" s="0">
        <f>IF(D164=1,IFERROR(CHOOSE(MATCH("X",'7807'!G6:L6,0),"①","②","③","④","⑤","⑥"),""),"")</f>
        <v/>
      </c>
      <c r="G164" s="0">
        <f>IF(D164=1,IF('7807'!B6="","",'7807'!B6),"")</f>
        <v/>
      </c>
      <c r="H164" s="0">
        <f>IF(D164=1,'7807'!N6&amp;"","")</f>
        <v/>
      </c>
      <c r="I164" s="0">
        <f>IF(D164=1,'7807'!C6&amp;"","")</f>
        <v/>
      </c>
      <c r="J164" s="0">
        <f>IF(D164=1,'7807'!E6&amp;"","")</f>
        <v/>
      </c>
      <c r="K164" s="0">
        <f>IF(D164=1,'7807'!D6&amp;"","")</f>
        <v/>
      </c>
      <c r="L164" s="0">
        <f>IF(D164=1,IF('7807'!F6="","",'7807'!F6),"")</f>
        <v/>
      </c>
    </row>
    <row r="165">
      <c r="A165" s="0" t="inlineStr">
        <is>
          <t>7807 – Leadership I</t>
        </is>
      </c>
      <c r="B165" s="0" t="inlineStr">
        <is>
          <t>7807</t>
        </is>
      </c>
      <c r="C165" s="0" t="n">
        <v>7</v>
      </c>
      <c r="D165" s="0">
        <f>IF(AND(UPPER(TRIM('7807'!A7))="CHOICE",LEN(TRIM('7807'!E7&amp;'7807'!F7))&gt;0),1,0)</f>
        <v/>
      </c>
      <c r="E165" s="0">
        <f>IF(D165=1,MAX(E$1:E164)+1,"")</f>
        <v/>
      </c>
      <c r="F165" s="0">
        <f>IF(D165=1,IFERROR(CHOOSE(MATCH("X",'7807'!G7:L7,0),"①","②","③","④","⑤","⑥"),""),"")</f>
        <v/>
      </c>
      <c r="G165" s="0">
        <f>IF(D165=1,IF('7807'!B7="","",'7807'!B7),"")</f>
        <v/>
      </c>
      <c r="H165" s="0">
        <f>IF(D165=1,'7807'!N7&amp;"","")</f>
        <v/>
      </c>
      <c r="I165" s="0">
        <f>IF(D165=1,'7807'!C7&amp;"","")</f>
        <v/>
      </c>
      <c r="J165" s="0">
        <f>IF(D165=1,'7807'!E7&amp;"","")</f>
        <v/>
      </c>
      <c r="K165" s="0">
        <f>IF(D165=1,'7807'!D7&amp;"","")</f>
        <v/>
      </c>
      <c r="L165" s="0">
        <f>IF(D165=1,IF('7807'!F7="","",'7807'!F7),"")</f>
        <v/>
      </c>
    </row>
    <row r="166">
      <c r="A166" s="0" t="inlineStr">
        <is>
          <t>7807 – Leadership I</t>
        </is>
      </c>
      <c r="B166" s="0" t="inlineStr">
        <is>
          <t>7807</t>
        </is>
      </c>
      <c r="C166" s="0" t="n">
        <v>8</v>
      </c>
      <c r="D166" s="0">
        <f>IF(AND(UPPER(TRIM('7807'!A8))="CHOICE",LEN(TRIM('7807'!E8&amp;'7807'!F8))&gt;0),1,0)</f>
        <v/>
      </c>
      <c r="E166" s="0">
        <f>IF(D166=1,MAX(E$1:E165)+1,"")</f>
        <v/>
      </c>
      <c r="F166" s="0">
        <f>IF(D166=1,IFERROR(CHOOSE(MATCH("X",'7807'!G8:L8,0),"①","②","③","④","⑤","⑥"),""),"")</f>
        <v/>
      </c>
      <c r="G166" s="0">
        <f>IF(D166=1,IF('7807'!B8="","",'7807'!B8),"")</f>
        <v/>
      </c>
      <c r="H166" s="0">
        <f>IF(D166=1,'7807'!N8&amp;"","")</f>
        <v/>
      </c>
      <c r="I166" s="0">
        <f>IF(D166=1,'7807'!C8&amp;"","")</f>
        <v/>
      </c>
      <c r="J166" s="0">
        <f>IF(D166=1,'7807'!E8&amp;"","")</f>
        <v/>
      </c>
      <c r="K166" s="0">
        <f>IF(D166=1,'7807'!D8&amp;"","")</f>
        <v/>
      </c>
      <c r="L166" s="0">
        <f>IF(D166=1,IF('7807'!F8="","",'7807'!F8),"")</f>
        <v/>
      </c>
    </row>
    <row r="167">
      <c r="A167" s="0" t="inlineStr">
        <is>
          <t>7807 – Leadership I</t>
        </is>
      </c>
      <c r="B167" s="0" t="inlineStr">
        <is>
          <t>7807</t>
        </is>
      </c>
      <c r="C167" s="0" t="n">
        <v>9</v>
      </c>
      <c r="D167" s="0">
        <f>IF(AND(UPPER(TRIM('7807'!A9))="CHOICE",LEN(TRIM('7807'!E9&amp;'7807'!F9))&gt;0),1,0)</f>
        <v/>
      </c>
      <c r="E167" s="0">
        <f>IF(D167=1,MAX(E$1:E166)+1,"")</f>
        <v/>
      </c>
      <c r="F167" s="0">
        <f>IF(D167=1,IFERROR(CHOOSE(MATCH("X",'7807'!G9:L9,0),"①","②","③","④","⑤","⑥"),""),"")</f>
        <v/>
      </c>
      <c r="G167" s="0">
        <f>IF(D167=1,IF('7807'!B9="","",'7807'!B9),"")</f>
        <v/>
      </c>
      <c r="H167" s="0">
        <f>IF(D167=1,'7807'!N9&amp;"","")</f>
        <v/>
      </c>
      <c r="I167" s="0">
        <f>IF(D167=1,'7807'!C9&amp;"","")</f>
        <v/>
      </c>
      <c r="J167" s="0">
        <f>IF(D167=1,'7807'!E9&amp;"","")</f>
        <v/>
      </c>
      <c r="K167" s="0">
        <f>IF(D167=1,'7807'!D9&amp;"","")</f>
        <v/>
      </c>
      <c r="L167" s="0">
        <f>IF(D167=1,IF('7807'!F9="","",'7807'!F9),"")</f>
        <v/>
      </c>
    </row>
    <row r="168">
      <c r="A168" s="0" t="inlineStr">
        <is>
          <t>7807 – Leadership I</t>
        </is>
      </c>
      <c r="B168" s="0" t="inlineStr">
        <is>
          <t>7807</t>
        </is>
      </c>
      <c r="C168" s="0" t="n">
        <v>10</v>
      </c>
      <c r="D168" s="0">
        <f>IF(AND(UPPER(TRIM('7807'!A10))="CHOICE",LEN(TRIM('7807'!E10&amp;'7807'!F10))&gt;0),1,0)</f>
        <v/>
      </c>
      <c r="E168" s="0">
        <f>IF(D168=1,MAX(E$1:E167)+1,"")</f>
        <v/>
      </c>
      <c r="F168" s="0">
        <f>IF(D168=1,IFERROR(CHOOSE(MATCH("X",'7807'!G10:L10,0),"①","②","③","④","⑤","⑥"),""),"")</f>
        <v/>
      </c>
      <c r="G168" s="0">
        <f>IF(D168=1,IF('7807'!B10="","",'7807'!B10),"")</f>
        <v/>
      </c>
      <c r="H168" s="0">
        <f>IF(D168=1,'7807'!N10&amp;"","")</f>
        <v/>
      </c>
      <c r="I168" s="0">
        <f>IF(D168=1,'7807'!C10&amp;"","")</f>
        <v/>
      </c>
      <c r="J168" s="0">
        <f>IF(D168=1,'7807'!E10&amp;"","")</f>
        <v/>
      </c>
      <c r="K168" s="0">
        <f>IF(D168=1,'7807'!D10&amp;"","")</f>
        <v/>
      </c>
      <c r="L168" s="0">
        <f>IF(D168=1,IF('7807'!F10="","",'7807'!F10),"")</f>
        <v/>
      </c>
    </row>
    <row r="169">
      <c r="A169" s="0" t="inlineStr">
        <is>
          <t>7807 – Leadership I</t>
        </is>
      </c>
      <c r="B169" s="0" t="inlineStr">
        <is>
          <t>7807</t>
        </is>
      </c>
      <c r="C169" s="0" t="n">
        <v>11</v>
      </c>
      <c r="D169" s="0">
        <f>IF(AND(UPPER(TRIM('7807'!A11))="CHOICE",LEN(TRIM('7807'!E11&amp;'7807'!F11))&gt;0),1,0)</f>
        <v/>
      </c>
      <c r="E169" s="0">
        <f>IF(D169=1,MAX(E$1:E168)+1,"")</f>
        <v/>
      </c>
      <c r="F169" s="0">
        <f>IF(D169=1,IFERROR(CHOOSE(MATCH("X",'7807'!G11:L11,0),"①","②","③","④","⑤","⑥"),""),"")</f>
        <v/>
      </c>
      <c r="G169" s="0">
        <f>IF(D169=1,IF('7807'!B11="","",'7807'!B11),"")</f>
        <v/>
      </c>
      <c r="H169" s="0">
        <f>IF(D169=1,'7807'!N11&amp;"","")</f>
        <v/>
      </c>
      <c r="I169" s="0">
        <f>IF(D169=1,'7807'!C11&amp;"","")</f>
        <v/>
      </c>
      <c r="J169" s="0">
        <f>IF(D169=1,'7807'!E11&amp;"","")</f>
        <v/>
      </c>
      <c r="K169" s="0">
        <f>IF(D169=1,'7807'!D11&amp;"","")</f>
        <v/>
      </c>
      <c r="L169" s="0">
        <f>IF(D169=1,IF('7807'!F11="","",'7807'!F11),"")</f>
        <v/>
      </c>
    </row>
    <row r="170">
      <c r="A170" s="0" t="inlineStr">
        <is>
          <t>7807 – Leadership I</t>
        </is>
      </c>
      <c r="B170" s="0" t="inlineStr">
        <is>
          <t>7807</t>
        </is>
      </c>
      <c r="C170" s="0" t="n">
        <v>12</v>
      </c>
      <c r="D170" s="0">
        <f>IF(AND(UPPER(TRIM('7807'!A12))="CHOICE",LEN(TRIM('7807'!E12&amp;'7807'!F12))&gt;0),1,0)</f>
        <v/>
      </c>
      <c r="E170" s="0">
        <f>IF(D170=1,MAX(E$1:E169)+1,"")</f>
        <v/>
      </c>
      <c r="F170" s="0">
        <f>IF(D170=1,IFERROR(CHOOSE(MATCH("X",'7807'!G12:L12,0),"①","②","③","④","⑤","⑥"),""),"")</f>
        <v/>
      </c>
      <c r="G170" s="0">
        <f>IF(D170=1,IF('7807'!B12="","",'7807'!B12),"")</f>
        <v/>
      </c>
      <c r="H170" s="0">
        <f>IF(D170=1,'7807'!N12&amp;"","")</f>
        <v/>
      </c>
      <c r="I170" s="0">
        <f>IF(D170=1,'7807'!C12&amp;"","")</f>
        <v/>
      </c>
      <c r="J170" s="0">
        <f>IF(D170=1,'7807'!E12&amp;"","")</f>
        <v/>
      </c>
      <c r="K170" s="0">
        <f>IF(D170=1,'7807'!D12&amp;"","")</f>
        <v/>
      </c>
      <c r="L170" s="0">
        <f>IF(D170=1,IF('7807'!F12="","",'7807'!F12),"")</f>
        <v/>
      </c>
    </row>
    <row r="171">
      <c r="A171" s="0" t="inlineStr">
        <is>
          <t>7807 – Leadership I</t>
        </is>
      </c>
      <c r="B171" s="0" t="inlineStr">
        <is>
          <t>7807</t>
        </is>
      </c>
      <c r="C171" s="0" t="n">
        <v>13</v>
      </c>
      <c r="D171" s="0">
        <f>IF(AND(UPPER(TRIM('7807'!A13))="CHOICE",LEN(TRIM('7807'!E13&amp;'7807'!F13))&gt;0),1,0)</f>
        <v/>
      </c>
      <c r="E171" s="0">
        <f>IF(D171=1,MAX(E$1:E170)+1,"")</f>
        <v/>
      </c>
      <c r="F171" s="0">
        <f>IF(D171=1,IFERROR(CHOOSE(MATCH("X",'7807'!G13:L13,0),"①","②","③","④","⑤","⑥"),""),"")</f>
        <v/>
      </c>
      <c r="G171" s="0">
        <f>IF(D171=1,IF('7807'!B13="","",'7807'!B13),"")</f>
        <v/>
      </c>
      <c r="H171" s="0">
        <f>IF(D171=1,'7807'!N13&amp;"","")</f>
        <v/>
      </c>
      <c r="I171" s="0">
        <f>IF(D171=1,'7807'!C13&amp;"","")</f>
        <v/>
      </c>
      <c r="J171" s="0">
        <f>IF(D171=1,'7807'!E13&amp;"","")</f>
        <v/>
      </c>
      <c r="K171" s="0">
        <f>IF(D171=1,'7807'!D13&amp;"","")</f>
        <v/>
      </c>
      <c r="L171" s="0">
        <f>IF(D171=1,IF('7807'!F13="","",'7807'!F13),"")</f>
        <v/>
      </c>
    </row>
    <row r="172">
      <c r="A172" s="0" t="inlineStr">
        <is>
          <t>7807 – Leadership I</t>
        </is>
      </c>
      <c r="B172" s="0" t="inlineStr">
        <is>
          <t>7807</t>
        </is>
      </c>
      <c r="C172" s="0" t="n">
        <v>14</v>
      </c>
      <c r="D172" s="0">
        <f>IF(AND(UPPER(TRIM('7807'!A14))="CHOICE",LEN(TRIM('7807'!E14&amp;'7807'!F14))&gt;0),1,0)</f>
        <v/>
      </c>
      <c r="E172" s="0">
        <f>IF(D172=1,MAX(E$1:E171)+1,"")</f>
        <v/>
      </c>
      <c r="F172" s="0">
        <f>IF(D172=1,IFERROR(CHOOSE(MATCH("X",'7807'!G14:L14,0),"①","②","③","④","⑤","⑥"),""),"")</f>
        <v/>
      </c>
      <c r="G172" s="0">
        <f>IF(D172=1,IF('7807'!B14="","",'7807'!B14),"")</f>
        <v/>
      </c>
      <c r="H172" s="0">
        <f>IF(D172=1,'7807'!N14&amp;"","")</f>
        <v/>
      </c>
      <c r="I172" s="0">
        <f>IF(D172=1,'7807'!C14&amp;"","")</f>
        <v/>
      </c>
      <c r="J172" s="0">
        <f>IF(D172=1,'7807'!E14&amp;"","")</f>
        <v/>
      </c>
      <c r="K172" s="0">
        <f>IF(D172=1,'7807'!D14&amp;"","")</f>
        <v/>
      </c>
      <c r="L172" s="0">
        <f>IF(D172=1,IF('7807'!F14="","",'7807'!F14),"")</f>
        <v/>
      </c>
    </row>
    <row r="173">
      <c r="A173" s="0" t="inlineStr">
        <is>
          <t>7807 – Leadership I</t>
        </is>
      </c>
      <c r="B173" s="0" t="inlineStr">
        <is>
          <t>7807</t>
        </is>
      </c>
      <c r="C173" s="0" t="n">
        <v>15</v>
      </c>
      <c r="D173" s="0">
        <f>IF(AND(UPPER(TRIM('7807'!A15))="CHOICE",LEN(TRIM('7807'!E15&amp;'7807'!F15))&gt;0),1,0)</f>
        <v/>
      </c>
      <c r="E173" s="0">
        <f>IF(D173=1,MAX(E$1:E172)+1,"")</f>
        <v/>
      </c>
      <c r="F173" s="0">
        <f>IF(D173=1,IFERROR(CHOOSE(MATCH("X",'7807'!G15:L15,0),"①","②","③","④","⑤","⑥"),""),"")</f>
        <v/>
      </c>
      <c r="G173" s="0">
        <f>IF(D173=1,IF('7807'!B15="","",'7807'!B15),"")</f>
        <v/>
      </c>
      <c r="H173" s="0">
        <f>IF(D173=1,'7807'!N15&amp;"","")</f>
        <v/>
      </c>
      <c r="I173" s="0">
        <f>IF(D173=1,'7807'!C15&amp;"","")</f>
        <v/>
      </c>
      <c r="J173" s="0">
        <f>IF(D173=1,'7807'!E15&amp;"","")</f>
        <v/>
      </c>
      <c r="K173" s="0">
        <f>IF(D173=1,'7807'!D15&amp;"","")</f>
        <v/>
      </c>
      <c r="L173" s="0">
        <f>IF(D173=1,IF('7807'!F15="","",'7807'!F15),"")</f>
        <v/>
      </c>
    </row>
    <row r="174">
      <c r="A174" s="0" t="inlineStr">
        <is>
          <t>7807 – Leadership I</t>
        </is>
      </c>
      <c r="B174" s="0" t="inlineStr">
        <is>
          <t>7807</t>
        </is>
      </c>
      <c r="C174" s="0" t="n">
        <v>16</v>
      </c>
      <c r="D174" s="0">
        <f>IF(AND(UPPER(TRIM('7807'!A16))="CHOICE",LEN(TRIM('7807'!E16&amp;'7807'!F16))&gt;0),1,0)</f>
        <v/>
      </c>
      <c r="E174" s="0">
        <f>IF(D174=1,MAX(E$1:E173)+1,"")</f>
        <v/>
      </c>
      <c r="F174" s="0">
        <f>IF(D174=1,IFERROR(CHOOSE(MATCH("X",'7807'!G16:L16,0),"①","②","③","④","⑤","⑥"),""),"")</f>
        <v/>
      </c>
      <c r="G174" s="0">
        <f>IF(D174=1,IF('7807'!B16="","",'7807'!B16),"")</f>
        <v/>
      </c>
      <c r="H174" s="0">
        <f>IF(D174=1,'7807'!N16&amp;"","")</f>
        <v/>
      </c>
      <c r="I174" s="0">
        <f>IF(D174=1,'7807'!C16&amp;"","")</f>
        <v/>
      </c>
      <c r="J174" s="0">
        <f>IF(D174=1,'7807'!E16&amp;"","")</f>
        <v/>
      </c>
      <c r="K174" s="0">
        <f>IF(D174=1,'7807'!D16&amp;"","")</f>
        <v/>
      </c>
      <c r="L174" s="0">
        <f>IF(D174=1,IF('7807'!F16="","",'7807'!F16),"")</f>
        <v/>
      </c>
    </row>
    <row r="175">
      <c r="A175" s="0" t="inlineStr">
        <is>
          <t>7807 – Leadership I</t>
        </is>
      </c>
      <c r="B175" s="0" t="inlineStr">
        <is>
          <t>7807</t>
        </is>
      </c>
      <c r="C175" s="0" t="n">
        <v>17</v>
      </c>
      <c r="D175" s="0">
        <f>IF(AND(UPPER(TRIM('7807'!A17))="CHOICE",LEN(TRIM('7807'!E17&amp;'7807'!F17))&gt;0),1,0)</f>
        <v/>
      </c>
      <c r="E175" s="0">
        <f>IF(D175=1,MAX(E$1:E174)+1,"")</f>
        <v/>
      </c>
      <c r="F175" s="0">
        <f>IF(D175=1,IFERROR(CHOOSE(MATCH("X",'7807'!G17:L17,0),"①","②","③","④","⑤","⑥"),""),"")</f>
        <v/>
      </c>
      <c r="G175" s="0">
        <f>IF(D175=1,IF('7807'!B17="","",'7807'!B17),"")</f>
        <v/>
      </c>
      <c r="H175" s="0">
        <f>IF(D175=1,'7807'!N17&amp;"","")</f>
        <v/>
      </c>
      <c r="I175" s="0">
        <f>IF(D175=1,'7807'!C17&amp;"","")</f>
        <v/>
      </c>
      <c r="J175" s="0">
        <f>IF(D175=1,'7807'!E17&amp;"","")</f>
        <v/>
      </c>
      <c r="K175" s="0">
        <f>IF(D175=1,'7807'!D17&amp;"","")</f>
        <v/>
      </c>
      <c r="L175" s="0">
        <f>IF(D175=1,IF('7807'!F17="","",'7807'!F17),"")</f>
        <v/>
      </c>
    </row>
    <row r="176">
      <c r="A176" s="0" t="inlineStr">
        <is>
          <t>7807 – Leadership I</t>
        </is>
      </c>
      <c r="B176" s="0" t="inlineStr">
        <is>
          <t>7807</t>
        </is>
      </c>
      <c r="C176" s="0" t="n">
        <v>18</v>
      </c>
      <c r="D176" s="0">
        <f>IF(AND(UPPER(TRIM('7807'!A18))="CHOICE",LEN(TRIM('7807'!E18&amp;'7807'!F18))&gt;0),1,0)</f>
        <v/>
      </c>
      <c r="E176" s="0">
        <f>IF(D176=1,MAX(E$1:E175)+1,"")</f>
        <v/>
      </c>
      <c r="F176" s="0">
        <f>IF(D176=1,IFERROR(CHOOSE(MATCH("X",'7807'!G18:L18,0),"①","②","③","④","⑤","⑥"),""),"")</f>
        <v/>
      </c>
      <c r="G176" s="0">
        <f>IF(D176=1,IF('7807'!B18="","",'7807'!B18),"")</f>
        <v/>
      </c>
      <c r="H176" s="0">
        <f>IF(D176=1,'7807'!N18&amp;"","")</f>
        <v/>
      </c>
      <c r="I176" s="0">
        <f>IF(D176=1,'7807'!C18&amp;"","")</f>
        <v/>
      </c>
      <c r="J176" s="0">
        <f>IF(D176=1,'7807'!E18&amp;"","")</f>
        <v/>
      </c>
      <c r="K176" s="0">
        <f>IF(D176=1,'7807'!D18&amp;"","")</f>
        <v/>
      </c>
      <c r="L176" s="0">
        <f>IF(D176=1,IF('7807'!F18="","",'7807'!F18),"")</f>
        <v/>
      </c>
    </row>
    <row r="177">
      <c r="A177" s="0" t="inlineStr">
        <is>
          <t>7807 – Leadership I</t>
        </is>
      </c>
      <c r="B177" s="0" t="inlineStr">
        <is>
          <t>7807</t>
        </is>
      </c>
      <c r="C177" s="0" t="n">
        <v>19</v>
      </c>
      <c r="D177" s="0">
        <f>IF(AND(UPPER(TRIM('7807'!A19))="CHOICE",LEN(TRIM('7807'!E19&amp;'7807'!F19))&gt;0),1,0)</f>
        <v/>
      </c>
      <c r="E177" s="0">
        <f>IF(D177=1,MAX(E$1:E176)+1,"")</f>
        <v/>
      </c>
      <c r="F177" s="0">
        <f>IF(D177=1,IFERROR(CHOOSE(MATCH("X",'7807'!G19:L19,0),"①","②","③","④","⑤","⑥"),""),"")</f>
        <v/>
      </c>
      <c r="G177" s="0">
        <f>IF(D177=1,IF('7807'!B19="","",'7807'!B19),"")</f>
        <v/>
      </c>
      <c r="H177" s="0">
        <f>IF(D177=1,'7807'!N19&amp;"","")</f>
        <v/>
      </c>
      <c r="I177" s="0">
        <f>IF(D177=1,'7807'!C19&amp;"","")</f>
        <v/>
      </c>
      <c r="J177" s="0">
        <f>IF(D177=1,'7807'!E19&amp;"","")</f>
        <v/>
      </c>
      <c r="K177" s="0">
        <f>IF(D177=1,'7807'!D19&amp;"","")</f>
        <v/>
      </c>
      <c r="L177" s="0">
        <f>IF(D177=1,IF('7807'!F19="","",'7807'!F19),"")</f>
        <v/>
      </c>
    </row>
    <row r="178">
      <c r="A178" s="0" t="inlineStr">
        <is>
          <t>7807 – Leadership I</t>
        </is>
      </c>
      <c r="B178" s="0" t="inlineStr">
        <is>
          <t>7807</t>
        </is>
      </c>
      <c r="C178" s="0" t="n">
        <v>20</v>
      </c>
      <c r="D178" s="0">
        <f>IF(AND(UPPER(TRIM('7807'!A20))="CHOICE",LEN(TRIM('7807'!E20&amp;'7807'!F20))&gt;0),1,0)</f>
        <v/>
      </c>
      <c r="E178" s="0">
        <f>IF(D178=1,MAX(E$1:E177)+1,"")</f>
        <v/>
      </c>
      <c r="F178" s="0">
        <f>IF(D178=1,IFERROR(CHOOSE(MATCH("X",'7807'!G20:L20,0),"①","②","③","④","⑤","⑥"),""),"")</f>
        <v/>
      </c>
      <c r="G178" s="0">
        <f>IF(D178=1,IF('7807'!B20="","",'7807'!B20),"")</f>
        <v/>
      </c>
      <c r="H178" s="0">
        <f>IF(D178=1,'7807'!N20&amp;"","")</f>
        <v/>
      </c>
      <c r="I178" s="0">
        <f>IF(D178=1,'7807'!C20&amp;"","")</f>
        <v/>
      </c>
      <c r="J178" s="0">
        <f>IF(D178=1,'7807'!E20&amp;"","")</f>
        <v/>
      </c>
      <c r="K178" s="0">
        <f>IF(D178=1,'7807'!D20&amp;"","")</f>
        <v/>
      </c>
      <c r="L178" s="0">
        <f>IF(D178=1,IF('7807'!F20="","",'7807'!F20),"")</f>
        <v/>
      </c>
    </row>
    <row r="179">
      <c r="A179" s="0" t="inlineStr">
        <is>
          <t>7807 – Leadership I</t>
        </is>
      </c>
      <c r="B179" s="0" t="inlineStr">
        <is>
          <t>7807</t>
        </is>
      </c>
      <c r="C179" s="0" t="n">
        <v>21</v>
      </c>
      <c r="D179" s="0">
        <f>IF(AND(UPPER(TRIM('7807'!A21))="CHOICE",LEN(TRIM('7807'!E21&amp;'7807'!F21))&gt;0),1,0)</f>
        <v/>
      </c>
      <c r="E179" s="0">
        <f>IF(D179=1,MAX(E$1:E178)+1,"")</f>
        <v/>
      </c>
      <c r="F179" s="0">
        <f>IF(D179=1,IFERROR(CHOOSE(MATCH("X",'7807'!G21:L21,0),"①","②","③","④","⑤","⑥"),""),"")</f>
        <v/>
      </c>
      <c r="G179" s="0">
        <f>IF(D179=1,IF('7807'!B21="","",'7807'!B21),"")</f>
        <v/>
      </c>
      <c r="H179" s="0">
        <f>IF(D179=1,'7807'!N21&amp;"","")</f>
        <v/>
      </c>
      <c r="I179" s="0">
        <f>IF(D179=1,'7807'!C21&amp;"","")</f>
        <v/>
      </c>
      <c r="J179" s="0">
        <f>IF(D179=1,'7807'!E21&amp;"","")</f>
        <v/>
      </c>
      <c r="K179" s="0">
        <f>IF(D179=1,'7807'!D21&amp;"","")</f>
        <v/>
      </c>
      <c r="L179" s="0">
        <f>IF(D179=1,IF('7807'!F21="","",'7807'!F21),"")</f>
        <v/>
      </c>
    </row>
    <row r="180">
      <c r="A180" s="0" t="inlineStr">
        <is>
          <t>7807 – Leadership I</t>
        </is>
      </c>
      <c r="B180" s="0" t="inlineStr">
        <is>
          <t>7807</t>
        </is>
      </c>
      <c r="C180" s="0" t="n">
        <v>22</v>
      </c>
      <c r="D180" s="0">
        <f>IF(AND(UPPER(TRIM('7807'!A22))="CHOICE",LEN(TRIM('7807'!E22&amp;'7807'!F22))&gt;0),1,0)</f>
        <v/>
      </c>
      <c r="E180" s="0">
        <f>IF(D180=1,MAX(E$1:E179)+1,"")</f>
        <v/>
      </c>
      <c r="F180" s="0">
        <f>IF(D180=1,IFERROR(CHOOSE(MATCH("X",'7807'!G22:L22,0),"①","②","③","④","⑤","⑥"),""),"")</f>
        <v/>
      </c>
      <c r="G180" s="0">
        <f>IF(D180=1,IF('7807'!B22="","",'7807'!B22),"")</f>
        <v/>
      </c>
      <c r="H180" s="0">
        <f>IF(D180=1,'7807'!N22&amp;"","")</f>
        <v/>
      </c>
      <c r="I180" s="0">
        <f>IF(D180=1,'7807'!C22&amp;"","")</f>
        <v/>
      </c>
      <c r="J180" s="0">
        <f>IF(D180=1,'7807'!E22&amp;"","")</f>
        <v/>
      </c>
      <c r="K180" s="0">
        <f>IF(D180=1,'7807'!D22&amp;"","")</f>
        <v/>
      </c>
      <c r="L180" s="0">
        <f>IF(D180=1,IF('7807'!F22="","",'7807'!F22),"")</f>
        <v/>
      </c>
    </row>
    <row r="181">
      <c r="A181" s="0" t="inlineStr">
        <is>
          <t>7807 – Leadership I</t>
        </is>
      </c>
      <c r="B181" s="0" t="inlineStr">
        <is>
          <t>7807</t>
        </is>
      </c>
      <c r="C181" s="0" t="n">
        <v>23</v>
      </c>
      <c r="D181" s="0">
        <f>IF(AND(UPPER(TRIM('7807'!A23))="CHOICE",LEN(TRIM('7807'!E23&amp;'7807'!F23))&gt;0),1,0)</f>
        <v/>
      </c>
      <c r="E181" s="0">
        <f>IF(D181=1,MAX(E$1:E180)+1,"")</f>
        <v/>
      </c>
      <c r="F181" s="0">
        <f>IF(D181=1,IFERROR(CHOOSE(MATCH("X",'7807'!G23:L23,0),"①","②","③","④","⑤","⑥"),""),"")</f>
        <v/>
      </c>
      <c r="G181" s="0">
        <f>IF(D181=1,IF('7807'!B23="","",'7807'!B23),"")</f>
        <v/>
      </c>
      <c r="H181" s="0">
        <f>IF(D181=1,'7807'!N23&amp;"","")</f>
        <v/>
      </c>
      <c r="I181" s="0">
        <f>IF(D181=1,'7807'!C23&amp;"","")</f>
        <v/>
      </c>
      <c r="J181" s="0">
        <f>IF(D181=1,'7807'!E23&amp;"","")</f>
        <v/>
      </c>
      <c r="K181" s="0">
        <f>IF(D181=1,'7807'!D23&amp;"","")</f>
        <v/>
      </c>
      <c r="L181" s="0">
        <f>IF(D181=1,IF('7807'!F23="","",'7807'!F23),"")</f>
        <v/>
      </c>
    </row>
    <row r="182">
      <c r="A182" s="0" t="inlineStr">
        <is>
          <t>7807 – Leadership I</t>
        </is>
      </c>
      <c r="B182" s="0" t="inlineStr">
        <is>
          <t>7807</t>
        </is>
      </c>
      <c r="C182" s="0" t="n">
        <v>24</v>
      </c>
      <c r="D182" s="0">
        <f>IF(AND(UPPER(TRIM('7807'!A24))="CHOICE",LEN(TRIM('7807'!E24&amp;'7807'!F24))&gt;0),1,0)</f>
        <v/>
      </c>
      <c r="E182" s="0">
        <f>IF(D182=1,MAX(E$1:E181)+1,"")</f>
        <v/>
      </c>
      <c r="F182" s="0">
        <f>IF(D182=1,IFERROR(CHOOSE(MATCH("X",'7807'!G24:L24,0),"①","②","③","④","⑤","⑥"),""),"")</f>
        <v/>
      </c>
      <c r="G182" s="0">
        <f>IF(D182=1,IF('7807'!B24="","",'7807'!B24),"")</f>
        <v/>
      </c>
      <c r="H182" s="0">
        <f>IF(D182=1,'7807'!N24&amp;"","")</f>
        <v/>
      </c>
      <c r="I182" s="0">
        <f>IF(D182=1,'7807'!C24&amp;"","")</f>
        <v/>
      </c>
      <c r="J182" s="0">
        <f>IF(D182=1,'7807'!E24&amp;"","")</f>
        <v/>
      </c>
      <c r="K182" s="0">
        <f>IF(D182=1,'7807'!D24&amp;"","")</f>
        <v/>
      </c>
      <c r="L182" s="0">
        <f>IF(D182=1,IF('7807'!F24="","",'7807'!F24),"")</f>
        <v/>
      </c>
    </row>
    <row r="183">
      <c r="A183" s="0" t="inlineStr">
        <is>
          <t>7807 – Leadership I</t>
        </is>
      </c>
      <c r="B183" s="0" t="inlineStr">
        <is>
          <t>7807</t>
        </is>
      </c>
      <c r="C183" s="0" t="n">
        <v>25</v>
      </c>
      <c r="D183" s="0">
        <f>IF(AND(UPPER(TRIM('7807'!A25))="CHOICE",LEN(TRIM('7807'!E25&amp;'7807'!F25))&gt;0),1,0)</f>
        <v/>
      </c>
      <c r="E183" s="0">
        <f>IF(D183=1,MAX(E$1:E182)+1,"")</f>
        <v/>
      </c>
      <c r="F183" s="0">
        <f>IF(D183=1,IFERROR(CHOOSE(MATCH("X",'7807'!G25:L25,0),"①","②","③","④","⑤","⑥"),""),"")</f>
        <v/>
      </c>
      <c r="G183" s="0">
        <f>IF(D183=1,IF('7807'!B25="","",'7807'!B25),"")</f>
        <v/>
      </c>
      <c r="H183" s="0">
        <f>IF(D183=1,'7807'!N25&amp;"","")</f>
        <v/>
      </c>
      <c r="I183" s="0">
        <f>IF(D183=1,'7807'!C25&amp;"","")</f>
        <v/>
      </c>
      <c r="J183" s="0">
        <f>IF(D183=1,'7807'!E25&amp;"","")</f>
        <v/>
      </c>
      <c r="K183" s="0">
        <f>IF(D183=1,'7807'!D25&amp;"","")</f>
        <v/>
      </c>
      <c r="L183" s="0">
        <f>IF(D183=1,IF('7807'!F25="","",'7807'!F25),"")</f>
        <v/>
      </c>
    </row>
    <row r="184">
      <c r="A184" s="0" t="inlineStr">
        <is>
          <t>7807 – Leadership I</t>
        </is>
      </c>
      <c r="B184" s="0" t="inlineStr">
        <is>
          <t>7807</t>
        </is>
      </c>
      <c r="C184" s="0" t="n">
        <v>26</v>
      </c>
      <c r="D184" s="0">
        <f>IF(AND(UPPER(TRIM('7807'!A26))="CHOICE",LEN(TRIM('7807'!E26&amp;'7807'!F26))&gt;0),1,0)</f>
        <v/>
      </c>
      <c r="E184" s="0">
        <f>IF(D184=1,MAX(E$1:E183)+1,"")</f>
        <v/>
      </c>
      <c r="F184" s="0">
        <f>IF(D184=1,IFERROR(CHOOSE(MATCH("X",'7807'!G26:L26,0),"①","②","③","④","⑤","⑥"),""),"")</f>
        <v/>
      </c>
      <c r="G184" s="0">
        <f>IF(D184=1,IF('7807'!B26="","",'7807'!B26),"")</f>
        <v/>
      </c>
      <c r="H184" s="0">
        <f>IF(D184=1,'7807'!N26&amp;"","")</f>
        <v/>
      </c>
      <c r="I184" s="0">
        <f>IF(D184=1,'7807'!C26&amp;"","")</f>
        <v/>
      </c>
      <c r="J184" s="0">
        <f>IF(D184=1,'7807'!E26&amp;"","")</f>
        <v/>
      </c>
      <c r="K184" s="0">
        <f>IF(D184=1,'7807'!D26&amp;"","")</f>
        <v/>
      </c>
      <c r="L184" s="0">
        <f>IF(D184=1,IF('7807'!F26="","",'7807'!F26),"")</f>
        <v/>
      </c>
    </row>
    <row r="185">
      <c r="A185" s="0" t="inlineStr">
        <is>
          <t>7807 – Leadership I</t>
        </is>
      </c>
      <c r="B185" s="0" t="inlineStr">
        <is>
          <t>7807</t>
        </is>
      </c>
      <c r="C185" s="0" t="n">
        <v>27</v>
      </c>
      <c r="D185" s="0">
        <f>IF(AND(UPPER(TRIM('7807'!A27))="CHOICE",LEN(TRIM('7807'!E27&amp;'7807'!F27))&gt;0),1,0)</f>
        <v/>
      </c>
      <c r="E185" s="0">
        <f>IF(D185=1,MAX(E$1:E184)+1,"")</f>
        <v/>
      </c>
      <c r="F185" s="0">
        <f>IF(D185=1,IFERROR(CHOOSE(MATCH("X",'7807'!G27:L27,0),"①","②","③","④","⑤","⑥"),""),"")</f>
        <v/>
      </c>
      <c r="G185" s="0">
        <f>IF(D185=1,IF('7807'!B27="","",'7807'!B27),"")</f>
        <v/>
      </c>
      <c r="H185" s="0">
        <f>IF(D185=1,'7807'!N27&amp;"","")</f>
        <v/>
      </c>
      <c r="I185" s="0">
        <f>IF(D185=1,'7807'!C27&amp;"","")</f>
        <v/>
      </c>
      <c r="J185" s="0">
        <f>IF(D185=1,'7807'!E27&amp;"","")</f>
        <v/>
      </c>
      <c r="K185" s="0">
        <f>IF(D185=1,'7807'!D27&amp;"","")</f>
        <v/>
      </c>
      <c r="L185" s="0">
        <f>IF(D185=1,IF('7807'!F27="","",'7807'!F27),"")</f>
        <v/>
      </c>
    </row>
    <row r="186">
      <c r="A186" s="0" t="inlineStr">
        <is>
          <t>7807 – Leadership I</t>
        </is>
      </c>
      <c r="B186" s="0" t="inlineStr">
        <is>
          <t>7807</t>
        </is>
      </c>
      <c r="C186" s="0" t="n">
        <v>28</v>
      </c>
      <c r="D186" s="0">
        <f>IF(AND(UPPER(TRIM('7807'!A28))="CHOICE",LEN(TRIM('7807'!E28&amp;'7807'!F28))&gt;0),1,0)</f>
        <v/>
      </c>
      <c r="E186" s="0">
        <f>IF(D186=1,MAX(E$1:E185)+1,"")</f>
        <v/>
      </c>
      <c r="F186" s="0">
        <f>IF(D186=1,IFERROR(CHOOSE(MATCH("X",'7807'!G28:L28,0),"①","②","③","④","⑤","⑥"),""),"")</f>
        <v/>
      </c>
      <c r="G186" s="0">
        <f>IF(D186=1,IF('7807'!B28="","",'7807'!B28),"")</f>
        <v/>
      </c>
      <c r="H186" s="0">
        <f>IF(D186=1,'7807'!N28&amp;"","")</f>
        <v/>
      </c>
      <c r="I186" s="0">
        <f>IF(D186=1,'7807'!C28&amp;"","")</f>
        <v/>
      </c>
      <c r="J186" s="0">
        <f>IF(D186=1,'7807'!E28&amp;"","")</f>
        <v/>
      </c>
      <c r="K186" s="0">
        <f>IF(D186=1,'7807'!D28&amp;"","")</f>
        <v/>
      </c>
      <c r="L186" s="0">
        <f>IF(D186=1,IF('7807'!F28="","",'7807'!F28),"")</f>
        <v/>
      </c>
    </row>
    <row r="187">
      <c r="A187" s="0" t="inlineStr">
        <is>
          <t>7807 – Leadership I</t>
        </is>
      </c>
      <c r="B187" s="0" t="inlineStr">
        <is>
          <t>7807</t>
        </is>
      </c>
      <c r="C187" s="0" t="n">
        <v>29</v>
      </c>
      <c r="D187" s="0">
        <f>IF(AND(UPPER(TRIM('7807'!A29))="CHOICE",LEN(TRIM('7807'!E29&amp;'7807'!F29))&gt;0),1,0)</f>
        <v/>
      </c>
      <c r="E187" s="0">
        <f>IF(D187=1,MAX(E$1:E186)+1,"")</f>
        <v/>
      </c>
      <c r="F187" s="0">
        <f>IF(D187=1,IFERROR(CHOOSE(MATCH("X",'7807'!G29:L29,0),"①","②","③","④","⑤","⑥"),""),"")</f>
        <v/>
      </c>
      <c r="G187" s="0">
        <f>IF(D187=1,IF('7807'!B29="","",'7807'!B29),"")</f>
        <v/>
      </c>
      <c r="H187" s="0">
        <f>IF(D187=1,'7807'!N29&amp;"","")</f>
        <v/>
      </c>
      <c r="I187" s="0">
        <f>IF(D187=1,'7807'!C29&amp;"","")</f>
        <v/>
      </c>
      <c r="J187" s="0">
        <f>IF(D187=1,'7807'!E29&amp;"","")</f>
        <v/>
      </c>
      <c r="K187" s="0">
        <f>IF(D187=1,'7807'!D29&amp;"","")</f>
        <v/>
      </c>
      <c r="L187" s="0">
        <f>IF(D187=1,IF('7807'!F29="","",'7807'!F29),"")</f>
        <v/>
      </c>
    </row>
    <row r="188">
      <c r="A188" s="0" t="inlineStr">
        <is>
          <t>7807 – Leadership I</t>
        </is>
      </c>
      <c r="B188" s="0" t="inlineStr">
        <is>
          <t>7807</t>
        </is>
      </c>
      <c r="C188" s="0" t="n">
        <v>30</v>
      </c>
      <c r="D188" s="0">
        <f>IF(AND(UPPER(TRIM('7807'!A30))="CHOICE",LEN(TRIM('7807'!E30&amp;'7807'!F30))&gt;0),1,0)</f>
        <v/>
      </c>
      <c r="E188" s="0">
        <f>IF(D188=1,MAX(E$1:E187)+1,"")</f>
        <v/>
      </c>
      <c r="F188" s="0">
        <f>IF(D188=1,IFERROR(CHOOSE(MATCH("X",'7807'!G30:L30,0),"①","②","③","④","⑤","⑥"),""),"")</f>
        <v/>
      </c>
      <c r="G188" s="0">
        <f>IF(D188=1,IF('7807'!B30="","",'7807'!B30),"")</f>
        <v/>
      </c>
      <c r="H188" s="0">
        <f>IF(D188=1,'7807'!N30&amp;"","")</f>
        <v/>
      </c>
      <c r="I188" s="0">
        <f>IF(D188=1,'7807'!C30&amp;"","")</f>
        <v/>
      </c>
      <c r="J188" s="0">
        <f>IF(D188=1,'7807'!E30&amp;"","")</f>
        <v/>
      </c>
      <c r="K188" s="0">
        <f>IF(D188=1,'7807'!D30&amp;"","")</f>
        <v/>
      </c>
      <c r="L188" s="0">
        <f>IF(D188=1,IF('7807'!F30="","",'7807'!F30),"")</f>
        <v/>
      </c>
    </row>
    <row r="189">
      <c r="A189" s="0" t="inlineStr">
        <is>
          <t>7807 – Leadership I</t>
        </is>
      </c>
      <c r="B189" s="0" t="inlineStr">
        <is>
          <t>7807</t>
        </is>
      </c>
      <c r="C189" s="0" t="n">
        <v>31</v>
      </c>
      <c r="D189" s="0">
        <f>IF(AND(UPPER(TRIM('7807'!A31))="CHOICE",LEN(TRIM('7807'!E31&amp;'7807'!F31))&gt;0),1,0)</f>
        <v/>
      </c>
      <c r="E189" s="0">
        <f>IF(D189=1,MAX(E$1:E188)+1,"")</f>
        <v/>
      </c>
      <c r="F189" s="0">
        <f>IF(D189=1,IFERROR(CHOOSE(MATCH("X",'7807'!G31:L31,0),"①","②","③","④","⑤","⑥"),""),"")</f>
        <v/>
      </c>
      <c r="G189" s="0">
        <f>IF(D189=1,IF('7807'!B31="","",'7807'!B31),"")</f>
        <v/>
      </c>
      <c r="H189" s="0">
        <f>IF(D189=1,'7807'!N31&amp;"","")</f>
        <v/>
      </c>
      <c r="I189" s="0">
        <f>IF(D189=1,'7807'!C31&amp;"","")</f>
        <v/>
      </c>
      <c r="J189" s="0">
        <f>IF(D189=1,'7807'!E31&amp;"","")</f>
        <v/>
      </c>
      <c r="K189" s="0">
        <f>IF(D189=1,'7807'!D31&amp;"","")</f>
        <v/>
      </c>
      <c r="L189" s="0">
        <f>IF(D189=1,IF('7807'!F31="","",'7807'!F31),"")</f>
        <v/>
      </c>
    </row>
    <row r="190">
      <c r="A190" s="0" t="inlineStr">
        <is>
          <t>7807 – Leadership I</t>
        </is>
      </c>
      <c r="B190" s="0" t="inlineStr">
        <is>
          <t>7807</t>
        </is>
      </c>
      <c r="C190" s="0" t="n">
        <v>32</v>
      </c>
      <c r="D190" s="0">
        <f>IF(AND(UPPER(TRIM('7807'!A32))="CHOICE",LEN(TRIM('7807'!E32&amp;'7807'!F32))&gt;0),1,0)</f>
        <v/>
      </c>
      <c r="E190" s="0">
        <f>IF(D190=1,MAX(E$1:E189)+1,"")</f>
        <v/>
      </c>
      <c r="F190" s="0">
        <f>IF(D190=1,IFERROR(CHOOSE(MATCH("X",'7807'!G32:L32,0),"①","②","③","④","⑤","⑥"),""),"")</f>
        <v/>
      </c>
      <c r="G190" s="0">
        <f>IF(D190=1,IF('7807'!B32="","",'7807'!B32),"")</f>
        <v/>
      </c>
      <c r="H190" s="0">
        <f>IF(D190=1,'7807'!N32&amp;"","")</f>
        <v/>
      </c>
      <c r="I190" s="0">
        <f>IF(D190=1,'7807'!C32&amp;"","")</f>
        <v/>
      </c>
      <c r="J190" s="0">
        <f>IF(D190=1,'7807'!E32&amp;"","")</f>
        <v/>
      </c>
      <c r="K190" s="0">
        <f>IF(D190=1,'7807'!D32&amp;"","")</f>
        <v/>
      </c>
      <c r="L190" s="0">
        <f>IF(D190=1,IF('7807'!F32="","",'7807'!F32),"")</f>
        <v/>
      </c>
    </row>
    <row r="191">
      <c r="A191" s="0" t="inlineStr">
        <is>
          <t>7807 – Leadership I</t>
        </is>
      </c>
      <c r="B191" s="0" t="inlineStr">
        <is>
          <t>7807</t>
        </is>
      </c>
      <c r="C191" s="0" t="n">
        <v>33</v>
      </c>
      <c r="D191" s="0">
        <f>IF(AND(UPPER(TRIM('7807'!A33))="CHOICE",LEN(TRIM('7807'!E33&amp;'7807'!F33))&gt;0),1,0)</f>
        <v/>
      </c>
      <c r="E191" s="0">
        <f>IF(D191=1,MAX(E$1:E190)+1,"")</f>
        <v/>
      </c>
      <c r="F191" s="0">
        <f>IF(D191=1,IFERROR(CHOOSE(MATCH("X",'7807'!G33:L33,0),"①","②","③","④","⑤","⑥"),""),"")</f>
        <v/>
      </c>
      <c r="G191" s="0">
        <f>IF(D191=1,IF('7807'!B33="","",'7807'!B33),"")</f>
        <v/>
      </c>
      <c r="H191" s="0">
        <f>IF(D191=1,'7807'!N33&amp;"","")</f>
        <v/>
      </c>
      <c r="I191" s="0">
        <f>IF(D191=1,'7807'!C33&amp;"","")</f>
        <v/>
      </c>
      <c r="J191" s="0">
        <f>IF(D191=1,'7807'!E33&amp;"","")</f>
        <v/>
      </c>
      <c r="K191" s="0">
        <f>IF(D191=1,'7807'!D33&amp;"","")</f>
        <v/>
      </c>
      <c r="L191" s="0">
        <f>IF(D191=1,IF('7807'!F33="","",'7807'!F33),"")</f>
        <v/>
      </c>
    </row>
    <row r="192">
      <c r="A192" s="0" t="inlineStr">
        <is>
          <t>7807 – Leadership I</t>
        </is>
      </c>
      <c r="B192" s="0" t="inlineStr">
        <is>
          <t>7807</t>
        </is>
      </c>
      <c r="C192" s="0" t="n">
        <v>34</v>
      </c>
      <c r="D192" s="0">
        <f>IF(AND(UPPER(TRIM('7807'!A34))="CHOICE",LEN(TRIM('7807'!E34&amp;'7807'!F34))&gt;0),1,0)</f>
        <v/>
      </c>
      <c r="E192" s="0">
        <f>IF(D192=1,MAX(E$1:E191)+1,"")</f>
        <v/>
      </c>
      <c r="F192" s="0">
        <f>IF(D192=1,IFERROR(CHOOSE(MATCH("X",'7807'!G34:L34,0),"①","②","③","④","⑤","⑥"),""),"")</f>
        <v/>
      </c>
      <c r="G192" s="0">
        <f>IF(D192=1,IF('7807'!B34="","",'7807'!B34),"")</f>
        <v/>
      </c>
      <c r="H192" s="0">
        <f>IF(D192=1,'7807'!N34&amp;"","")</f>
        <v/>
      </c>
      <c r="I192" s="0">
        <f>IF(D192=1,'7807'!C34&amp;"","")</f>
        <v/>
      </c>
      <c r="J192" s="0">
        <f>IF(D192=1,'7807'!E34&amp;"","")</f>
        <v/>
      </c>
      <c r="K192" s="0">
        <f>IF(D192=1,'7807'!D34&amp;"","")</f>
        <v/>
      </c>
      <c r="L192" s="0">
        <f>IF(D192=1,IF('7807'!F34="","",'7807'!F34),"")</f>
        <v/>
      </c>
    </row>
    <row r="193">
      <c r="A193" s="0" t="inlineStr">
        <is>
          <t>7807 – Leadership I</t>
        </is>
      </c>
      <c r="B193" s="0" t="inlineStr">
        <is>
          <t>7807</t>
        </is>
      </c>
      <c r="C193" s="0" t="n">
        <v>35</v>
      </c>
      <c r="D193" s="0">
        <f>IF(AND(UPPER(TRIM('7807'!A35))="CHOICE",LEN(TRIM('7807'!E35&amp;'7807'!F35))&gt;0),1,0)</f>
        <v/>
      </c>
      <c r="E193" s="0">
        <f>IF(D193=1,MAX(E$1:E192)+1,"")</f>
        <v/>
      </c>
      <c r="F193" s="0">
        <f>IF(D193=1,IFERROR(CHOOSE(MATCH("X",'7807'!G35:L35,0),"①","②","③","④","⑤","⑥"),""),"")</f>
        <v/>
      </c>
      <c r="G193" s="0">
        <f>IF(D193=1,IF('7807'!B35="","",'7807'!B35),"")</f>
        <v/>
      </c>
      <c r="H193" s="0">
        <f>IF(D193=1,'7807'!N35&amp;"","")</f>
        <v/>
      </c>
      <c r="I193" s="0">
        <f>IF(D193=1,'7807'!C35&amp;"","")</f>
        <v/>
      </c>
      <c r="J193" s="0">
        <f>IF(D193=1,'7807'!E35&amp;"","")</f>
        <v/>
      </c>
      <c r="K193" s="0">
        <f>IF(D193=1,'7807'!D35&amp;"","")</f>
        <v/>
      </c>
      <c r="L193" s="0">
        <f>IF(D193=1,IF('7807'!F35="","",'7807'!F35),"")</f>
        <v/>
      </c>
    </row>
    <row r="194">
      <c r="A194" s="0" t="inlineStr">
        <is>
          <t>7807 – Leadership I</t>
        </is>
      </c>
      <c r="B194" s="0" t="inlineStr">
        <is>
          <t>7807</t>
        </is>
      </c>
      <c r="C194" s="0" t="n">
        <v>36</v>
      </c>
      <c r="D194" s="0">
        <f>IF(AND(UPPER(TRIM('7807'!A36))="CHOICE",LEN(TRIM('7807'!E36&amp;'7807'!F36))&gt;0),1,0)</f>
        <v/>
      </c>
      <c r="E194" s="0">
        <f>IF(D194=1,MAX(E$1:E193)+1,"")</f>
        <v/>
      </c>
      <c r="F194" s="0">
        <f>IF(D194=1,IFERROR(CHOOSE(MATCH("X",'7807'!G36:L36,0),"①","②","③","④","⑤","⑥"),""),"")</f>
        <v/>
      </c>
      <c r="G194" s="0">
        <f>IF(D194=1,IF('7807'!B36="","",'7807'!B36),"")</f>
        <v/>
      </c>
      <c r="H194" s="0">
        <f>IF(D194=1,'7807'!N36&amp;"","")</f>
        <v/>
      </c>
      <c r="I194" s="0">
        <f>IF(D194=1,'7807'!C36&amp;"","")</f>
        <v/>
      </c>
      <c r="J194" s="0">
        <f>IF(D194=1,'7807'!E36&amp;"","")</f>
        <v/>
      </c>
      <c r="K194" s="0">
        <f>IF(D194=1,'7807'!D36&amp;"","")</f>
        <v/>
      </c>
      <c r="L194" s="0">
        <f>IF(D194=1,IF('7807'!F36="","",'7807'!F36),"")</f>
        <v/>
      </c>
    </row>
    <row r="195">
      <c r="A195" s="0" t="inlineStr">
        <is>
          <t>7807 – Leadership I</t>
        </is>
      </c>
      <c r="B195" s="0" t="inlineStr">
        <is>
          <t>7807</t>
        </is>
      </c>
      <c r="C195" s="0" t="n">
        <v>37</v>
      </c>
      <c r="D195" s="0">
        <f>IF(AND(UPPER(TRIM('7807'!A37))="CHOICE",LEN(TRIM('7807'!E37&amp;'7807'!F37))&gt;0),1,0)</f>
        <v/>
      </c>
      <c r="E195" s="0">
        <f>IF(D195=1,MAX(E$1:E194)+1,"")</f>
        <v/>
      </c>
      <c r="F195" s="0">
        <f>IF(D195=1,IFERROR(CHOOSE(MATCH("X",'7807'!G37:L37,0),"①","②","③","④","⑤","⑥"),""),"")</f>
        <v/>
      </c>
      <c r="G195" s="0">
        <f>IF(D195=1,IF('7807'!B37="","",'7807'!B37),"")</f>
        <v/>
      </c>
      <c r="H195" s="0">
        <f>IF(D195=1,'7807'!N37&amp;"","")</f>
        <v/>
      </c>
      <c r="I195" s="0">
        <f>IF(D195=1,'7807'!C37&amp;"","")</f>
        <v/>
      </c>
      <c r="J195" s="0">
        <f>IF(D195=1,'7807'!E37&amp;"","")</f>
        <v/>
      </c>
      <c r="K195" s="0">
        <f>IF(D195=1,'7807'!D37&amp;"","")</f>
        <v/>
      </c>
      <c r="L195" s="0">
        <f>IF(D195=1,IF('7807'!F37="","",'7807'!F37),"")</f>
        <v/>
      </c>
    </row>
    <row r="196">
      <c r="A196" s="0" t="inlineStr">
        <is>
          <t>7807 – Leadership I</t>
        </is>
      </c>
      <c r="B196" s="0" t="inlineStr">
        <is>
          <t>7807</t>
        </is>
      </c>
      <c r="C196" s="0" t="n">
        <v>38</v>
      </c>
      <c r="D196" s="0">
        <f>IF(AND(UPPER(TRIM('7807'!A38))="CHOICE",LEN(TRIM('7807'!E38&amp;'7807'!F38))&gt;0),1,0)</f>
        <v/>
      </c>
      <c r="E196" s="0">
        <f>IF(D196=1,MAX(E$1:E195)+1,"")</f>
        <v/>
      </c>
      <c r="F196" s="0">
        <f>IF(D196=1,IFERROR(CHOOSE(MATCH("X",'7807'!G38:L38,0),"①","②","③","④","⑤","⑥"),""),"")</f>
        <v/>
      </c>
      <c r="G196" s="0">
        <f>IF(D196=1,IF('7807'!B38="","",'7807'!B38),"")</f>
        <v/>
      </c>
      <c r="H196" s="0">
        <f>IF(D196=1,'7807'!N38&amp;"","")</f>
        <v/>
      </c>
      <c r="I196" s="0">
        <f>IF(D196=1,'7807'!C38&amp;"","")</f>
        <v/>
      </c>
      <c r="J196" s="0">
        <f>IF(D196=1,'7807'!E38&amp;"","")</f>
        <v/>
      </c>
      <c r="K196" s="0">
        <f>IF(D196=1,'7807'!D38&amp;"","")</f>
        <v/>
      </c>
      <c r="L196" s="0">
        <f>IF(D196=1,IF('7807'!F38="","",'7807'!F38),"")</f>
        <v/>
      </c>
    </row>
    <row r="197">
      <c r="A197" s="0" t="inlineStr">
        <is>
          <t>7807 – Leadership I</t>
        </is>
      </c>
      <c r="B197" s="0" t="inlineStr">
        <is>
          <t>7807</t>
        </is>
      </c>
      <c r="C197" s="0" t="n">
        <v>39</v>
      </c>
      <c r="D197" s="0">
        <f>IF(AND(UPPER(TRIM('7807'!A39))="CHOICE",LEN(TRIM('7807'!E39&amp;'7807'!F39))&gt;0),1,0)</f>
        <v/>
      </c>
      <c r="E197" s="0">
        <f>IF(D197=1,MAX(E$1:E196)+1,"")</f>
        <v/>
      </c>
      <c r="F197" s="0">
        <f>IF(D197=1,IFERROR(CHOOSE(MATCH("X",'7807'!G39:L39,0),"①","②","③","④","⑤","⑥"),""),"")</f>
        <v/>
      </c>
      <c r="G197" s="0">
        <f>IF(D197=1,IF('7807'!B39="","",'7807'!B39),"")</f>
        <v/>
      </c>
      <c r="H197" s="0">
        <f>IF(D197=1,'7807'!N39&amp;"","")</f>
        <v/>
      </c>
      <c r="I197" s="0">
        <f>IF(D197=1,'7807'!C39&amp;"","")</f>
        <v/>
      </c>
      <c r="J197" s="0">
        <f>IF(D197=1,'7807'!E39&amp;"","")</f>
        <v/>
      </c>
      <c r="K197" s="0">
        <f>IF(D197=1,'7807'!D39&amp;"","")</f>
        <v/>
      </c>
      <c r="L197" s="0">
        <f>IF(D197=1,IF('7807'!F39="","",'7807'!F39),"")</f>
        <v/>
      </c>
    </row>
    <row r="198">
      <c r="A198" s="0" t="inlineStr">
        <is>
          <t>7807 – Leadership I</t>
        </is>
      </c>
      <c r="B198" s="0" t="inlineStr">
        <is>
          <t>7807</t>
        </is>
      </c>
      <c r="C198" s="0" t="n">
        <v>40</v>
      </c>
      <c r="D198" s="0">
        <f>IF(AND(UPPER(TRIM('7807'!A40))="CHOICE",LEN(TRIM('7807'!E40&amp;'7807'!F40))&gt;0),1,0)</f>
        <v/>
      </c>
      <c r="E198" s="0">
        <f>IF(D198=1,MAX(E$1:E197)+1,"")</f>
        <v/>
      </c>
      <c r="F198" s="0">
        <f>IF(D198=1,IFERROR(CHOOSE(MATCH("X",'7807'!G40:L40,0),"①","②","③","④","⑤","⑥"),""),"")</f>
        <v/>
      </c>
      <c r="G198" s="0">
        <f>IF(D198=1,IF('7807'!B40="","",'7807'!B40),"")</f>
        <v/>
      </c>
      <c r="H198" s="0">
        <f>IF(D198=1,'7807'!N40&amp;"","")</f>
        <v/>
      </c>
      <c r="I198" s="0">
        <f>IF(D198=1,'7807'!C40&amp;"","")</f>
        <v/>
      </c>
      <c r="J198" s="0">
        <f>IF(D198=1,'7807'!E40&amp;"","")</f>
        <v/>
      </c>
      <c r="K198" s="0">
        <f>IF(D198=1,'7807'!D40&amp;"","")</f>
        <v/>
      </c>
      <c r="L198" s="0">
        <f>IF(D198=1,IF('7807'!F40="","",'7807'!F40),"")</f>
        <v/>
      </c>
    </row>
    <row r="199">
      <c r="A199" s="0" t="inlineStr">
        <is>
          <t>7807 – Leadership I</t>
        </is>
      </c>
      <c r="B199" s="0" t="inlineStr">
        <is>
          <t>7807</t>
        </is>
      </c>
      <c r="C199" s="0" t="n">
        <v>41</v>
      </c>
      <c r="D199" s="0">
        <f>IF(AND(UPPER(TRIM('7807'!A41))="CHOICE",LEN(TRIM('7807'!E41&amp;'7807'!F41))&gt;0),1,0)</f>
        <v/>
      </c>
      <c r="E199" s="0">
        <f>IF(D199=1,MAX(E$1:E198)+1,"")</f>
        <v/>
      </c>
      <c r="F199" s="0">
        <f>IF(D199=1,IFERROR(CHOOSE(MATCH("X",'7807'!G41:L41,0),"①","②","③","④","⑤","⑥"),""),"")</f>
        <v/>
      </c>
      <c r="G199" s="0">
        <f>IF(D199=1,IF('7807'!B41="","",'7807'!B41),"")</f>
        <v/>
      </c>
      <c r="H199" s="0">
        <f>IF(D199=1,'7807'!N41&amp;"","")</f>
        <v/>
      </c>
      <c r="I199" s="0">
        <f>IF(D199=1,'7807'!C41&amp;"","")</f>
        <v/>
      </c>
      <c r="J199" s="0">
        <f>IF(D199=1,'7807'!E41&amp;"","")</f>
        <v/>
      </c>
      <c r="K199" s="0">
        <f>IF(D199=1,'7807'!D41&amp;"","")</f>
        <v/>
      </c>
      <c r="L199" s="0">
        <f>IF(D199=1,IF('7807'!F41="","",'7807'!F41),"")</f>
        <v/>
      </c>
    </row>
    <row r="200">
      <c r="A200" s="0" t="inlineStr">
        <is>
          <t>7807 – Leadership I</t>
        </is>
      </c>
      <c r="B200" s="0" t="inlineStr">
        <is>
          <t>7807</t>
        </is>
      </c>
      <c r="C200" s="0" t="n">
        <v>42</v>
      </c>
      <c r="D200" s="0">
        <f>IF(AND(UPPER(TRIM('7807'!A42))="CHOICE",LEN(TRIM('7807'!E42&amp;'7807'!F42))&gt;0),1,0)</f>
        <v/>
      </c>
      <c r="E200" s="0">
        <f>IF(D200=1,MAX(E$1:E199)+1,"")</f>
        <v/>
      </c>
      <c r="F200" s="0">
        <f>IF(D200=1,IFERROR(CHOOSE(MATCH("X",'7807'!G42:L42,0),"①","②","③","④","⑤","⑥"),""),"")</f>
        <v/>
      </c>
      <c r="G200" s="0">
        <f>IF(D200=1,IF('7807'!B42="","",'7807'!B42),"")</f>
        <v/>
      </c>
      <c r="H200" s="0">
        <f>IF(D200=1,'7807'!N42&amp;"","")</f>
        <v/>
      </c>
      <c r="I200" s="0">
        <f>IF(D200=1,'7807'!C42&amp;"","")</f>
        <v/>
      </c>
      <c r="J200" s="0">
        <f>IF(D200=1,'7807'!E42&amp;"","")</f>
        <v/>
      </c>
      <c r="K200" s="0">
        <f>IF(D200=1,'7807'!D42&amp;"","")</f>
        <v/>
      </c>
      <c r="L200" s="0">
        <f>IF(D200=1,IF('7807'!F42="","",'7807'!F42),"")</f>
        <v/>
      </c>
    </row>
    <row r="201">
      <c r="A201" s="0" t="inlineStr">
        <is>
          <t>7807 – Leadership I</t>
        </is>
      </c>
      <c r="B201" s="0" t="inlineStr">
        <is>
          <t>7807</t>
        </is>
      </c>
      <c r="C201" s="0" t="n">
        <v>43</v>
      </c>
      <c r="D201" s="0">
        <f>IF(AND(UPPER(TRIM('7807'!A43))="CHOICE",LEN(TRIM('7807'!E43&amp;'7807'!F43))&gt;0),1,0)</f>
        <v/>
      </c>
      <c r="E201" s="0">
        <f>IF(D201=1,MAX(E$1:E200)+1,"")</f>
        <v/>
      </c>
      <c r="F201" s="0">
        <f>IF(D201=1,IFERROR(CHOOSE(MATCH("X",'7807'!G43:L43,0),"①","②","③","④","⑤","⑥"),""),"")</f>
        <v/>
      </c>
      <c r="G201" s="0">
        <f>IF(D201=1,IF('7807'!B43="","",'7807'!B43),"")</f>
        <v/>
      </c>
      <c r="H201" s="0">
        <f>IF(D201=1,'7807'!N43&amp;"","")</f>
        <v/>
      </c>
      <c r="I201" s="0">
        <f>IF(D201=1,'7807'!C43&amp;"","")</f>
        <v/>
      </c>
      <c r="J201" s="0">
        <f>IF(D201=1,'7807'!E43&amp;"","")</f>
        <v/>
      </c>
      <c r="K201" s="0">
        <f>IF(D201=1,'7807'!D43&amp;"","")</f>
        <v/>
      </c>
      <c r="L201" s="0">
        <f>IF(D201=1,IF('7807'!F43="","",'7807'!F43),"")</f>
        <v/>
      </c>
    </row>
    <row r="202">
      <c r="A202" s="0" t="inlineStr">
        <is>
          <t>7807 – Leadership I</t>
        </is>
      </c>
      <c r="B202" s="0" t="inlineStr">
        <is>
          <t>7807</t>
        </is>
      </c>
      <c r="C202" s="0" t="n">
        <v>44</v>
      </c>
      <c r="D202" s="0">
        <f>IF(AND(UPPER(TRIM('7807'!A44))="CHOICE",LEN(TRIM('7807'!E44&amp;'7807'!F44))&gt;0),1,0)</f>
        <v/>
      </c>
      <c r="E202" s="0">
        <f>IF(D202=1,MAX(E$1:E201)+1,"")</f>
        <v/>
      </c>
      <c r="F202" s="0">
        <f>IF(D202=1,IFERROR(CHOOSE(MATCH("X",'7807'!G44:L44,0),"①","②","③","④","⑤","⑥"),""),"")</f>
        <v/>
      </c>
      <c r="G202" s="0">
        <f>IF(D202=1,IF('7807'!B44="","",'7807'!B44),"")</f>
        <v/>
      </c>
      <c r="H202" s="0">
        <f>IF(D202=1,'7807'!N44&amp;"","")</f>
        <v/>
      </c>
      <c r="I202" s="0">
        <f>IF(D202=1,'7807'!C44&amp;"","")</f>
        <v/>
      </c>
      <c r="J202" s="0">
        <f>IF(D202=1,'7807'!E44&amp;"","")</f>
        <v/>
      </c>
      <c r="K202" s="0">
        <f>IF(D202=1,'7807'!D44&amp;"","")</f>
        <v/>
      </c>
      <c r="L202" s="0">
        <f>IF(D202=1,IF('7807'!F44="","",'7807'!F44),"")</f>
        <v/>
      </c>
    </row>
    <row r="203">
      <c r="A203" s="0" t="inlineStr">
        <is>
          <t>7807 – Leadership I</t>
        </is>
      </c>
      <c r="B203" s="0" t="inlineStr">
        <is>
          <t>7807</t>
        </is>
      </c>
      <c r="C203" s="0" t="n">
        <v>45</v>
      </c>
      <c r="D203" s="0">
        <f>IF(AND(UPPER(TRIM('7807'!A45))="CHOICE",LEN(TRIM('7807'!E45&amp;'7807'!F45))&gt;0),1,0)</f>
        <v/>
      </c>
      <c r="E203" s="0">
        <f>IF(D203=1,MAX(E$1:E202)+1,"")</f>
        <v/>
      </c>
      <c r="F203" s="0">
        <f>IF(D203=1,IFERROR(CHOOSE(MATCH("X",'7807'!G45:L45,0),"①","②","③","④","⑤","⑥"),""),"")</f>
        <v/>
      </c>
      <c r="G203" s="0">
        <f>IF(D203=1,IF('7807'!B45="","",'7807'!B45),"")</f>
        <v/>
      </c>
      <c r="H203" s="0">
        <f>IF(D203=1,'7807'!N45&amp;"","")</f>
        <v/>
      </c>
      <c r="I203" s="0">
        <f>IF(D203=1,'7807'!C45&amp;"","")</f>
        <v/>
      </c>
      <c r="J203" s="0">
        <f>IF(D203=1,'7807'!E45&amp;"","")</f>
        <v/>
      </c>
      <c r="K203" s="0">
        <f>IF(D203=1,'7807'!D45&amp;"","")</f>
        <v/>
      </c>
      <c r="L203" s="0">
        <f>IF(D203=1,IF('7807'!F45="","",'7807'!F45),"")</f>
        <v/>
      </c>
    </row>
    <row r="204">
      <c r="A204" s="0" t="inlineStr">
        <is>
          <t>7807 – Leadership I</t>
        </is>
      </c>
      <c r="B204" s="0" t="inlineStr">
        <is>
          <t>7807</t>
        </is>
      </c>
      <c r="C204" s="0" t="n">
        <v>46</v>
      </c>
      <c r="D204" s="0">
        <f>IF(AND(UPPER(TRIM('7807'!A46))="CHOICE",LEN(TRIM('7807'!E46&amp;'7807'!F46))&gt;0),1,0)</f>
        <v/>
      </c>
      <c r="E204" s="0">
        <f>IF(D204=1,MAX(E$1:E203)+1,"")</f>
        <v/>
      </c>
      <c r="F204" s="0">
        <f>IF(D204=1,IFERROR(CHOOSE(MATCH("X",'7807'!G46:L46,0),"①","②","③","④","⑤","⑥"),""),"")</f>
        <v/>
      </c>
      <c r="G204" s="0">
        <f>IF(D204=1,IF('7807'!B46="","",'7807'!B46),"")</f>
        <v/>
      </c>
      <c r="H204" s="0">
        <f>IF(D204=1,'7807'!N46&amp;"","")</f>
        <v/>
      </c>
      <c r="I204" s="0">
        <f>IF(D204=1,'7807'!C46&amp;"","")</f>
        <v/>
      </c>
      <c r="J204" s="0">
        <f>IF(D204=1,'7807'!E46&amp;"","")</f>
        <v/>
      </c>
      <c r="K204" s="0">
        <f>IF(D204=1,'7807'!D46&amp;"","")</f>
        <v/>
      </c>
      <c r="L204" s="0">
        <f>IF(D204=1,IF('7807'!F46="","",'7807'!F46),"")</f>
        <v/>
      </c>
    </row>
    <row r="205">
      <c r="A205" s="0" t="inlineStr">
        <is>
          <t>7807 – Leadership I</t>
        </is>
      </c>
      <c r="B205" s="0" t="inlineStr">
        <is>
          <t>7807</t>
        </is>
      </c>
      <c r="C205" s="0" t="n">
        <v>47</v>
      </c>
      <c r="D205" s="0">
        <f>IF(AND(UPPER(TRIM('7807'!A47))="CHOICE",LEN(TRIM('7807'!E47&amp;'7807'!F47))&gt;0),1,0)</f>
        <v/>
      </c>
      <c r="E205" s="0">
        <f>IF(D205=1,MAX(E$1:E204)+1,"")</f>
        <v/>
      </c>
      <c r="F205" s="0">
        <f>IF(D205=1,IFERROR(CHOOSE(MATCH("X",'7807'!G47:L47,0),"①","②","③","④","⑤","⑥"),""),"")</f>
        <v/>
      </c>
      <c r="G205" s="0">
        <f>IF(D205=1,IF('7807'!B47="","",'7807'!B47),"")</f>
        <v/>
      </c>
      <c r="H205" s="0">
        <f>IF(D205=1,'7807'!N47&amp;"","")</f>
        <v/>
      </c>
      <c r="I205" s="0">
        <f>IF(D205=1,'7807'!C47&amp;"","")</f>
        <v/>
      </c>
      <c r="J205" s="0">
        <f>IF(D205=1,'7807'!E47&amp;"","")</f>
        <v/>
      </c>
      <c r="K205" s="0">
        <f>IF(D205=1,'7807'!D47&amp;"","")</f>
        <v/>
      </c>
      <c r="L205" s="0">
        <f>IF(D205=1,IF('7807'!F47="","",'7807'!F47),"")</f>
        <v/>
      </c>
    </row>
    <row r="206">
      <c r="A206" s="0" t="inlineStr">
        <is>
          <t>7807 – Leadership I</t>
        </is>
      </c>
      <c r="B206" s="0" t="inlineStr">
        <is>
          <t>7807</t>
        </is>
      </c>
      <c r="C206" s="0" t="n">
        <v>48</v>
      </c>
      <c r="D206" s="0">
        <f>IF(AND(UPPER(TRIM('7807'!A48))="CHOICE",LEN(TRIM('7807'!E48&amp;'7807'!F48))&gt;0),1,0)</f>
        <v/>
      </c>
      <c r="E206" s="0">
        <f>IF(D206=1,MAX(E$1:E205)+1,"")</f>
        <v/>
      </c>
      <c r="F206" s="0">
        <f>IF(D206=1,IFERROR(CHOOSE(MATCH("X",'7807'!G48:L48,0),"①","②","③","④","⑤","⑥"),""),"")</f>
        <v/>
      </c>
      <c r="G206" s="0">
        <f>IF(D206=1,IF('7807'!B48="","",'7807'!B48),"")</f>
        <v/>
      </c>
      <c r="H206" s="0">
        <f>IF(D206=1,'7807'!N48&amp;"","")</f>
        <v/>
      </c>
      <c r="I206" s="0">
        <f>IF(D206=1,'7807'!C48&amp;"","")</f>
        <v/>
      </c>
      <c r="J206" s="0">
        <f>IF(D206=1,'7807'!E48&amp;"","")</f>
        <v/>
      </c>
      <c r="K206" s="0">
        <f>IF(D206=1,'7807'!D48&amp;"","")</f>
        <v/>
      </c>
      <c r="L206" s="0">
        <f>IF(D206=1,IF('7807'!F48="","",'7807'!F48),"")</f>
        <v/>
      </c>
    </row>
    <row r="207">
      <c r="A207" s="0" t="inlineStr">
        <is>
          <t>7807 – Leadership I</t>
        </is>
      </c>
      <c r="B207" s="0" t="inlineStr">
        <is>
          <t>7807</t>
        </is>
      </c>
      <c r="C207" s="0" t="n">
        <v>49</v>
      </c>
      <c r="D207" s="0">
        <f>IF(AND(UPPER(TRIM('7807'!A49))="CHOICE",LEN(TRIM('7807'!E49&amp;'7807'!F49))&gt;0),1,0)</f>
        <v/>
      </c>
      <c r="E207" s="0">
        <f>IF(D207=1,MAX(E$1:E206)+1,"")</f>
        <v/>
      </c>
      <c r="F207" s="0">
        <f>IF(D207=1,IFERROR(CHOOSE(MATCH("X",'7807'!G49:L49,0),"①","②","③","④","⑤","⑥"),""),"")</f>
        <v/>
      </c>
      <c r="G207" s="0">
        <f>IF(D207=1,IF('7807'!B49="","",'7807'!B49),"")</f>
        <v/>
      </c>
      <c r="H207" s="0">
        <f>IF(D207=1,'7807'!N49&amp;"","")</f>
        <v/>
      </c>
      <c r="I207" s="0">
        <f>IF(D207=1,'7807'!C49&amp;"","")</f>
        <v/>
      </c>
      <c r="J207" s="0">
        <f>IF(D207=1,'7807'!E49&amp;"","")</f>
        <v/>
      </c>
      <c r="K207" s="0">
        <f>IF(D207=1,'7807'!D49&amp;"","")</f>
        <v/>
      </c>
      <c r="L207" s="0">
        <f>IF(D207=1,IF('7807'!F49="","",'7807'!F49),"")</f>
        <v/>
      </c>
    </row>
    <row r="208">
      <c r="A208" s="0" t="inlineStr">
        <is>
          <t>7807 – Leadership I</t>
        </is>
      </c>
      <c r="B208" s="0" t="inlineStr">
        <is>
          <t>7807</t>
        </is>
      </c>
      <c r="C208" s="0" t="n">
        <v>50</v>
      </c>
      <c r="D208" s="0">
        <f>IF(AND(UPPER(TRIM('7807'!A50))="CHOICE",LEN(TRIM('7807'!E50&amp;'7807'!F50))&gt;0),1,0)</f>
        <v/>
      </c>
      <c r="E208" s="0">
        <f>IF(D208=1,MAX(E$1:E207)+1,"")</f>
        <v/>
      </c>
      <c r="F208" s="0">
        <f>IF(D208=1,IFERROR(CHOOSE(MATCH("X",'7807'!G50:L50,0),"①","②","③","④","⑤","⑥"),""),"")</f>
        <v/>
      </c>
      <c r="G208" s="0">
        <f>IF(D208=1,IF('7807'!B50="","",'7807'!B50),"")</f>
        <v/>
      </c>
      <c r="H208" s="0">
        <f>IF(D208=1,'7807'!N50&amp;"","")</f>
        <v/>
      </c>
      <c r="I208" s="0">
        <f>IF(D208=1,'7807'!C50&amp;"","")</f>
        <v/>
      </c>
      <c r="J208" s="0">
        <f>IF(D208=1,'7807'!E50&amp;"","")</f>
        <v/>
      </c>
      <c r="K208" s="0">
        <f>IF(D208=1,'7807'!D50&amp;"","")</f>
        <v/>
      </c>
      <c r="L208" s="0">
        <f>IF(D208=1,IF('7807'!F50="","",'7807'!F50),"")</f>
        <v/>
      </c>
    </row>
    <row r="209">
      <c r="A209" s="0" t="inlineStr">
        <is>
          <t>7807 – Leadership I</t>
        </is>
      </c>
      <c r="B209" s="0" t="inlineStr">
        <is>
          <t>7807</t>
        </is>
      </c>
      <c r="C209" s="0" t="n">
        <v>51</v>
      </c>
      <c r="D209" s="0">
        <f>IF(AND(UPPER(TRIM('7807'!A51))="CHOICE",LEN(TRIM('7807'!E51&amp;'7807'!F51))&gt;0),1,0)</f>
        <v/>
      </c>
      <c r="E209" s="0">
        <f>IF(D209=1,MAX(E$1:E208)+1,"")</f>
        <v/>
      </c>
      <c r="F209" s="0">
        <f>IF(D209=1,IFERROR(CHOOSE(MATCH("X",'7807'!G51:L51,0),"①","②","③","④","⑤","⑥"),""),"")</f>
        <v/>
      </c>
      <c r="G209" s="0">
        <f>IF(D209=1,IF('7807'!B51="","",'7807'!B51),"")</f>
        <v/>
      </c>
      <c r="H209" s="0">
        <f>IF(D209=1,'7807'!N51&amp;"","")</f>
        <v/>
      </c>
      <c r="I209" s="0">
        <f>IF(D209=1,'7807'!C51&amp;"","")</f>
        <v/>
      </c>
      <c r="J209" s="0">
        <f>IF(D209=1,'7807'!E51&amp;"","")</f>
        <v/>
      </c>
      <c r="K209" s="0">
        <f>IF(D209=1,'7807'!D51&amp;"","")</f>
        <v/>
      </c>
      <c r="L209" s="0">
        <f>IF(D209=1,IF('7807'!F51="","",'7807'!F51),"")</f>
        <v/>
      </c>
    </row>
    <row r="210">
      <c r="A210" s="0" t="inlineStr">
        <is>
          <t>7807 – Leadership I</t>
        </is>
      </c>
      <c r="B210" s="0" t="inlineStr">
        <is>
          <t>7807</t>
        </is>
      </c>
      <c r="C210" s="0" t="n">
        <v>52</v>
      </c>
      <c r="D210" s="0">
        <f>IF(AND(UPPER(TRIM('7807'!A52))="CHOICE",LEN(TRIM('7807'!E52&amp;'7807'!F52))&gt;0),1,0)</f>
        <v/>
      </c>
      <c r="E210" s="0">
        <f>IF(D210=1,MAX(E$1:E209)+1,"")</f>
        <v/>
      </c>
      <c r="F210" s="0">
        <f>IF(D210=1,IFERROR(CHOOSE(MATCH("X",'7807'!G52:L52,0),"①","②","③","④","⑤","⑥"),""),"")</f>
        <v/>
      </c>
      <c r="G210" s="0">
        <f>IF(D210=1,IF('7807'!B52="","",'7807'!B52),"")</f>
        <v/>
      </c>
      <c r="H210" s="0">
        <f>IF(D210=1,'7807'!N52&amp;"","")</f>
        <v/>
      </c>
      <c r="I210" s="0">
        <f>IF(D210=1,'7807'!C52&amp;"","")</f>
        <v/>
      </c>
      <c r="J210" s="0">
        <f>IF(D210=1,'7807'!E52&amp;"","")</f>
        <v/>
      </c>
      <c r="K210" s="0">
        <f>IF(D210=1,'7807'!D52&amp;"","")</f>
        <v/>
      </c>
      <c r="L210" s="0">
        <f>IF(D210=1,IF('7807'!F52="","",'7807'!F52),"")</f>
        <v/>
      </c>
    </row>
    <row r="211">
      <c r="A211" s="0" t="inlineStr">
        <is>
          <t>7807 – Leadership I</t>
        </is>
      </c>
      <c r="B211" s="0" t="inlineStr">
        <is>
          <t>7807</t>
        </is>
      </c>
      <c r="C211" s="0" t="n">
        <v>53</v>
      </c>
      <c r="D211" s="0">
        <f>IF(AND(UPPER(TRIM('7807'!A53))="CHOICE",LEN(TRIM('7807'!E53&amp;'7807'!F53))&gt;0),1,0)</f>
        <v/>
      </c>
      <c r="E211" s="0">
        <f>IF(D211=1,MAX(E$1:E210)+1,"")</f>
        <v/>
      </c>
      <c r="F211" s="0">
        <f>IF(D211=1,IFERROR(CHOOSE(MATCH("X",'7807'!G53:L53,0),"①","②","③","④","⑤","⑥"),""),"")</f>
        <v/>
      </c>
      <c r="G211" s="0">
        <f>IF(D211=1,IF('7807'!B53="","",'7807'!B53),"")</f>
        <v/>
      </c>
      <c r="H211" s="0">
        <f>IF(D211=1,'7807'!N53&amp;"","")</f>
        <v/>
      </c>
      <c r="I211" s="0">
        <f>IF(D211=1,'7807'!C53&amp;"","")</f>
        <v/>
      </c>
      <c r="J211" s="0">
        <f>IF(D211=1,'7807'!E53&amp;"","")</f>
        <v/>
      </c>
      <c r="K211" s="0">
        <f>IF(D211=1,'7807'!D53&amp;"","")</f>
        <v/>
      </c>
      <c r="L211" s="0">
        <f>IF(D211=1,IF('7807'!F53="","",'7807'!F53),"")</f>
        <v/>
      </c>
    </row>
    <row r="212">
      <c r="A212" s="0" t="inlineStr">
        <is>
          <t>7807 – Leadership I</t>
        </is>
      </c>
      <c r="B212" s="0" t="inlineStr">
        <is>
          <t>7807</t>
        </is>
      </c>
      <c r="C212" s="0" t="n">
        <v>54</v>
      </c>
      <c r="D212" s="0">
        <f>IF(AND(UPPER(TRIM('7807'!A54))="CHOICE",LEN(TRIM('7807'!E54&amp;'7807'!F54))&gt;0),1,0)</f>
        <v/>
      </c>
      <c r="E212" s="0">
        <f>IF(D212=1,MAX(E$1:E211)+1,"")</f>
        <v/>
      </c>
      <c r="F212" s="0">
        <f>IF(D212=1,IFERROR(CHOOSE(MATCH("X",'7807'!G54:L54,0),"①","②","③","④","⑤","⑥"),""),"")</f>
        <v/>
      </c>
      <c r="G212" s="0">
        <f>IF(D212=1,IF('7807'!B54="","",'7807'!B54),"")</f>
        <v/>
      </c>
      <c r="H212" s="0">
        <f>IF(D212=1,'7807'!N54&amp;"","")</f>
        <v/>
      </c>
      <c r="I212" s="0">
        <f>IF(D212=1,'7807'!C54&amp;"","")</f>
        <v/>
      </c>
      <c r="J212" s="0">
        <f>IF(D212=1,'7807'!E54&amp;"","")</f>
        <v/>
      </c>
      <c r="K212" s="0">
        <f>IF(D212=1,'7807'!D54&amp;"","")</f>
        <v/>
      </c>
      <c r="L212" s="0">
        <f>IF(D212=1,IF('7807'!F54="","",'7807'!F54),"")</f>
        <v/>
      </c>
    </row>
    <row r="213">
      <c r="A213" s="0" t="inlineStr">
        <is>
          <t>7807 – Leadership I</t>
        </is>
      </c>
      <c r="B213" s="0" t="inlineStr">
        <is>
          <t>7807</t>
        </is>
      </c>
      <c r="C213" s="0" t="n">
        <v>55</v>
      </c>
      <c r="D213" s="0">
        <f>IF(AND(UPPER(TRIM('7807'!A55))="CHOICE",LEN(TRIM('7807'!E55&amp;'7807'!F55))&gt;0),1,0)</f>
        <v/>
      </c>
      <c r="E213" s="0">
        <f>IF(D213=1,MAX(E$1:E212)+1,"")</f>
        <v/>
      </c>
      <c r="F213" s="0">
        <f>IF(D213=1,IFERROR(CHOOSE(MATCH("X",'7807'!G55:L55,0),"①","②","③","④","⑤","⑥"),""),"")</f>
        <v/>
      </c>
      <c r="G213" s="0">
        <f>IF(D213=1,IF('7807'!B55="","",'7807'!B55),"")</f>
        <v/>
      </c>
      <c r="H213" s="0">
        <f>IF(D213=1,'7807'!N55&amp;"","")</f>
        <v/>
      </c>
      <c r="I213" s="0">
        <f>IF(D213=1,'7807'!C55&amp;"","")</f>
        <v/>
      </c>
      <c r="J213" s="0">
        <f>IF(D213=1,'7807'!E55&amp;"","")</f>
        <v/>
      </c>
      <c r="K213" s="0">
        <f>IF(D213=1,'7807'!D55&amp;"","")</f>
        <v/>
      </c>
      <c r="L213" s="0">
        <f>IF(D213=1,IF('7807'!F55="","",'7807'!F55),"")</f>
        <v/>
      </c>
    </row>
    <row r="214">
      <c r="A214" s="0" t="inlineStr">
        <is>
          <t>7807 – Leadership I</t>
        </is>
      </c>
      <c r="B214" s="0" t="inlineStr">
        <is>
          <t>7807</t>
        </is>
      </c>
      <c r="C214" s="0" t="n">
        <v>56</v>
      </c>
      <c r="D214" s="0">
        <f>IF(AND(UPPER(TRIM('7807'!A56))="CHOICE",LEN(TRIM('7807'!E56&amp;'7807'!F56))&gt;0),1,0)</f>
        <v/>
      </c>
      <c r="E214" s="0">
        <f>IF(D214=1,MAX(E$1:E213)+1,"")</f>
        <v/>
      </c>
      <c r="F214" s="0">
        <f>IF(D214=1,IFERROR(CHOOSE(MATCH("X",'7807'!G56:L56,0),"①","②","③","④","⑤","⑥"),""),"")</f>
        <v/>
      </c>
      <c r="G214" s="0">
        <f>IF(D214=1,IF('7807'!B56="","",'7807'!B56),"")</f>
        <v/>
      </c>
      <c r="H214" s="0">
        <f>IF(D214=1,'7807'!N56&amp;"","")</f>
        <v/>
      </c>
      <c r="I214" s="0">
        <f>IF(D214=1,'7807'!C56&amp;"","")</f>
        <v/>
      </c>
      <c r="J214" s="0">
        <f>IF(D214=1,'7807'!E56&amp;"","")</f>
        <v/>
      </c>
      <c r="K214" s="0">
        <f>IF(D214=1,'7807'!D56&amp;"","")</f>
        <v/>
      </c>
      <c r="L214" s="0">
        <f>IF(D214=1,IF('7807'!F56="","",'7807'!F56),"")</f>
        <v/>
      </c>
    </row>
    <row r="215">
      <c r="A215" s="0" t="inlineStr">
        <is>
          <t>7807 – Leadership I</t>
        </is>
      </c>
      <c r="B215" s="0" t="inlineStr">
        <is>
          <t>7807</t>
        </is>
      </c>
      <c r="C215" s="0" t="n">
        <v>57</v>
      </c>
      <c r="D215" s="0">
        <f>IF(AND(UPPER(TRIM('7807'!A57))="CHOICE",LEN(TRIM('7807'!E57&amp;'7807'!F57))&gt;0),1,0)</f>
        <v/>
      </c>
      <c r="E215" s="0">
        <f>IF(D215=1,MAX(E$1:E214)+1,"")</f>
        <v/>
      </c>
      <c r="F215" s="0">
        <f>IF(D215=1,IFERROR(CHOOSE(MATCH("X",'7807'!G57:L57,0),"①","②","③","④","⑤","⑥"),""),"")</f>
        <v/>
      </c>
      <c r="G215" s="0">
        <f>IF(D215=1,IF('7807'!B57="","",'7807'!B57),"")</f>
        <v/>
      </c>
      <c r="H215" s="0">
        <f>IF(D215=1,'7807'!N57&amp;"","")</f>
        <v/>
      </c>
      <c r="I215" s="0">
        <f>IF(D215=1,'7807'!C57&amp;"","")</f>
        <v/>
      </c>
      <c r="J215" s="0">
        <f>IF(D215=1,'7807'!E57&amp;"","")</f>
        <v/>
      </c>
      <c r="K215" s="0">
        <f>IF(D215=1,'7807'!D57&amp;"","")</f>
        <v/>
      </c>
      <c r="L215" s="0">
        <f>IF(D215=1,IF('7807'!F57="","",'7807'!F57),"")</f>
        <v/>
      </c>
    </row>
    <row r="216">
      <c r="A216" s="0" t="inlineStr">
        <is>
          <t>7807 – Leadership I</t>
        </is>
      </c>
      <c r="B216" s="0" t="inlineStr">
        <is>
          <t>7807</t>
        </is>
      </c>
      <c r="C216" s="0" t="n">
        <v>58</v>
      </c>
      <c r="D216" s="0">
        <f>IF(AND(UPPER(TRIM('7807'!A58))="CHOICE",LEN(TRIM('7807'!E58&amp;'7807'!F58))&gt;0),1,0)</f>
        <v/>
      </c>
      <c r="E216" s="0">
        <f>IF(D216=1,MAX(E$1:E215)+1,"")</f>
        <v/>
      </c>
      <c r="F216" s="0">
        <f>IF(D216=1,IFERROR(CHOOSE(MATCH("X",'7807'!G58:L58,0),"①","②","③","④","⑤","⑥"),""),"")</f>
        <v/>
      </c>
      <c r="G216" s="0">
        <f>IF(D216=1,IF('7807'!B58="","",'7807'!B58),"")</f>
        <v/>
      </c>
      <c r="H216" s="0">
        <f>IF(D216=1,'7807'!N58&amp;"","")</f>
        <v/>
      </c>
      <c r="I216" s="0">
        <f>IF(D216=1,'7807'!C58&amp;"","")</f>
        <v/>
      </c>
      <c r="J216" s="0">
        <f>IF(D216=1,'7807'!E58&amp;"","")</f>
        <v/>
      </c>
      <c r="K216" s="0">
        <f>IF(D216=1,'7807'!D58&amp;"","")</f>
        <v/>
      </c>
      <c r="L216" s="0">
        <f>IF(D216=1,IF('7807'!F58="","",'7807'!F58),"")</f>
        <v/>
      </c>
    </row>
    <row r="217">
      <c r="A217" s="0" t="inlineStr">
        <is>
          <t>7807 – Leadership I</t>
        </is>
      </c>
      <c r="B217" s="0" t="inlineStr">
        <is>
          <t>7807</t>
        </is>
      </c>
      <c r="C217" s="0" t="n">
        <v>59</v>
      </c>
      <c r="D217" s="0">
        <f>IF(AND(UPPER(TRIM('7807'!A59))="CHOICE",LEN(TRIM('7807'!E59&amp;'7807'!F59))&gt;0),1,0)</f>
        <v/>
      </c>
      <c r="E217" s="0">
        <f>IF(D217=1,MAX(E$1:E216)+1,"")</f>
        <v/>
      </c>
      <c r="F217" s="0">
        <f>IF(D217=1,IFERROR(CHOOSE(MATCH("X",'7807'!G59:L59,0),"①","②","③","④","⑤","⑥"),""),"")</f>
        <v/>
      </c>
      <c r="G217" s="0">
        <f>IF(D217=1,IF('7807'!B59="","",'7807'!B59),"")</f>
        <v/>
      </c>
      <c r="H217" s="0">
        <f>IF(D217=1,'7807'!N59&amp;"","")</f>
        <v/>
      </c>
      <c r="I217" s="0">
        <f>IF(D217=1,'7807'!C59&amp;"","")</f>
        <v/>
      </c>
      <c r="J217" s="0">
        <f>IF(D217=1,'7807'!E59&amp;"","")</f>
        <v/>
      </c>
      <c r="K217" s="0">
        <f>IF(D217=1,'7807'!D59&amp;"","")</f>
        <v/>
      </c>
      <c r="L217" s="0">
        <f>IF(D217=1,IF('7807'!F59="","",'7807'!F59),"")</f>
        <v/>
      </c>
    </row>
    <row r="218">
      <c r="A218" s="0" t="inlineStr">
        <is>
          <t>7810 – School Law &amp; Policy</t>
        </is>
      </c>
      <c r="B218" s="0" t="inlineStr">
        <is>
          <t>7810</t>
        </is>
      </c>
      <c r="C218" s="0" t="n">
        <v>6</v>
      </c>
      <c r="D218" s="0">
        <f>IF(AND(UPPER(TRIM('7810'!A6))="CHOICE",LEN(TRIM('7810'!E6&amp;'7810'!F6))&gt;0),1,0)</f>
        <v/>
      </c>
      <c r="E218" s="0">
        <f>IF(D218=1,MAX(E$1:E217)+1,"")</f>
        <v/>
      </c>
      <c r="F218" s="0">
        <f>IF(D218=1,IFERROR(CHOOSE(MATCH("X",'7810'!G6:L6,0),"①","②","③","④","⑤","⑥"),""),"")</f>
        <v/>
      </c>
      <c r="G218" s="0">
        <f>IF(D218=1,IF('7810'!B6="","",'7810'!B6),"")</f>
        <v/>
      </c>
      <c r="H218" s="0">
        <f>IF(D218=1,'7810'!N6&amp;"","")</f>
        <v/>
      </c>
      <c r="I218" s="0">
        <f>IF(D218=1,'7810'!C6&amp;"","")</f>
        <v/>
      </c>
      <c r="J218" s="0">
        <f>IF(D218=1,'7810'!E6&amp;"","")</f>
        <v/>
      </c>
      <c r="K218" s="0">
        <f>IF(D218=1,'7810'!D6&amp;"","")</f>
        <v/>
      </c>
      <c r="L218" s="0">
        <f>IF(D218=1,IF('7810'!F6="","",'7810'!F6),"")</f>
        <v/>
      </c>
    </row>
    <row r="219">
      <c r="A219" s="0" t="inlineStr">
        <is>
          <t>7810 – School Law &amp; Policy</t>
        </is>
      </c>
      <c r="B219" s="0" t="inlineStr">
        <is>
          <t>7810</t>
        </is>
      </c>
      <c r="C219" s="0" t="n">
        <v>7</v>
      </c>
      <c r="D219" s="0">
        <f>IF(AND(UPPER(TRIM('7810'!A7))="CHOICE",LEN(TRIM('7810'!E7&amp;'7810'!F7))&gt;0),1,0)</f>
        <v/>
      </c>
      <c r="E219" s="0">
        <f>IF(D219=1,MAX(E$1:E218)+1,"")</f>
        <v/>
      </c>
      <c r="F219" s="0">
        <f>IF(D219=1,IFERROR(CHOOSE(MATCH("X",'7810'!G7:L7,0),"①","②","③","④","⑤","⑥"),""),"")</f>
        <v/>
      </c>
      <c r="G219" s="0">
        <f>IF(D219=1,IF('7810'!B7="","",'7810'!B7),"")</f>
        <v/>
      </c>
      <c r="H219" s="0">
        <f>IF(D219=1,'7810'!N7&amp;"","")</f>
        <v/>
      </c>
      <c r="I219" s="0">
        <f>IF(D219=1,'7810'!C7&amp;"","")</f>
        <v/>
      </c>
      <c r="J219" s="0">
        <f>IF(D219=1,'7810'!E7&amp;"","")</f>
        <v/>
      </c>
      <c r="K219" s="0">
        <f>IF(D219=1,'7810'!D7&amp;"","")</f>
        <v/>
      </c>
      <c r="L219" s="0">
        <f>IF(D219=1,IF('7810'!F7="","",'7810'!F7),"")</f>
        <v/>
      </c>
    </row>
    <row r="220">
      <c r="A220" s="0" t="inlineStr">
        <is>
          <t>7810 – School Law &amp; Policy</t>
        </is>
      </c>
      <c r="B220" s="0" t="inlineStr">
        <is>
          <t>7810</t>
        </is>
      </c>
      <c r="C220" s="0" t="n">
        <v>8</v>
      </c>
      <c r="D220" s="0">
        <f>IF(AND(UPPER(TRIM('7810'!A8))="CHOICE",LEN(TRIM('7810'!E8&amp;'7810'!F8))&gt;0),1,0)</f>
        <v/>
      </c>
      <c r="E220" s="0">
        <f>IF(D220=1,MAX(E$1:E219)+1,"")</f>
        <v/>
      </c>
      <c r="F220" s="0">
        <f>IF(D220=1,IFERROR(CHOOSE(MATCH("X",'7810'!G8:L8,0),"①","②","③","④","⑤","⑥"),""),"")</f>
        <v/>
      </c>
      <c r="G220" s="0">
        <f>IF(D220=1,IF('7810'!B8="","",'7810'!B8),"")</f>
        <v/>
      </c>
      <c r="H220" s="0">
        <f>IF(D220=1,'7810'!N8&amp;"","")</f>
        <v/>
      </c>
      <c r="I220" s="0">
        <f>IF(D220=1,'7810'!C8&amp;"","")</f>
        <v/>
      </c>
      <c r="J220" s="0">
        <f>IF(D220=1,'7810'!E8&amp;"","")</f>
        <v/>
      </c>
      <c r="K220" s="0">
        <f>IF(D220=1,'7810'!D8&amp;"","")</f>
        <v/>
      </c>
      <c r="L220" s="0">
        <f>IF(D220=1,IF('7810'!F8="","",'7810'!F8),"")</f>
        <v/>
      </c>
    </row>
    <row r="221">
      <c r="A221" s="0" t="inlineStr">
        <is>
          <t>7810 – School Law &amp; Policy</t>
        </is>
      </c>
      <c r="B221" s="0" t="inlineStr">
        <is>
          <t>7810</t>
        </is>
      </c>
      <c r="C221" s="0" t="n">
        <v>9</v>
      </c>
      <c r="D221" s="0">
        <f>IF(AND(UPPER(TRIM('7810'!A9))="CHOICE",LEN(TRIM('7810'!E9&amp;'7810'!F9))&gt;0),1,0)</f>
        <v/>
      </c>
      <c r="E221" s="0">
        <f>IF(D221=1,MAX(E$1:E220)+1,"")</f>
        <v/>
      </c>
      <c r="F221" s="0">
        <f>IF(D221=1,IFERROR(CHOOSE(MATCH("X",'7810'!G9:L9,0),"①","②","③","④","⑤","⑥"),""),"")</f>
        <v/>
      </c>
      <c r="G221" s="0">
        <f>IF(D221=1,IF('7810'!B9="","",'7810'!B9),"")</f>
        <v/>
      </c>
      <c r="H221" s="0">
        <f>IF(D221=1,'7810'!N9&amp;"","")</f>
        <v/>
      </c>
      <c r="I221" s="0">
        <f>IF(D221=1,'7810'!C9&amp;"","")</f>
        <v/>
      </c>
      <c r="J221" s="0">
        <f>IF(D221=1,'7810'!E9&amp;"","")</f>
        <v/>
      </c>
      <c r="K221" s="0">
        <f>IF(D221=1,'7810'!D9&amp;"","")</f>
        <v/>
      </c>
      <c r="L221" s="0">
        <f>IF(D221=1,IF('7810'!F9="","",'7810'!F9),"")</f>
        <v/>
      </c>
    </row>
    <row r="222">
      <c r="A222" s="0" t="inlineStr">
        <is>
          <t>7810 – School Law &amp; Policy</t>
        </is>
      </c>
      <c r="B222" s="0" t="inlineStr">
        <is>
          <t>7810</t>
        </is>
      </c>
      <c r="C222" s="0" t="n">
        <v>10</v>
      </c>
      <c r="D222" s="0">
        <f>IF(AND(UPPER(TRIM('7810'!A10))="CHOICE",LEN(TRIM('7810'!E10&amp;'7810'!F10))&gt;0),1,0)</f>
        <v/>
      </c>
      <c r="E222" s="0">
        <f>IF(D222=1,MAX(E$1:E221)+1,"")</f>
        <v/>
      </c>
      <c r="F222" s="0">
        <f>IF(D222=1,IFERROR(CHOOSE(MATCH("X",'7810'!G10:L10,0),"①","②","③","④","⑤","⑥"),""),"")</f>
        <v/>
      </c>
      <c r="G222" s="0">
        <f>IF(D222=1,IF('7810'!B10="","",'7810'!B10),"")</f>
        <v/>
      </c>
      <c r="H222" s="0">
        <f>IF(D222=1,'7810'!N10&amp;"","")</f>
        <v/>
      </c>
      <c r="I222" s="0">
        <f>IF(D222=1,'7810'!C10&amp;"","")</f>
        <v/>
      </c>
      <c r="J222" s="0">
        <f>IF(D222=1,'7810'!E10&amp;"","")</f>
        <v/>
      </c>
      <c r="K222" s="0">
        <f>IF(D222=1,'7810'!D10&amp;"","")</f>
        <v/>
      </c>
      <c r="L222" s="0">
        <f>IF(D222=1,IF('7810'!F10="","",'7810'!F10),"")</f>
        <v/>
      </c>
    </row>
    <row r="223">
      <c r="A223" s="0" t="inlineStr">
        <is>
          <t>7810 – School Law &amp; Policy</t>
        </is>
      </c>
      <c r="B223" s="0" t="inlineStr">
        <is>
          <t>7810</t>
        </is>
      </c>
      <c r="C223" s="0" t="n">
        <v>11</v>
      </c>
      <c r="D223" s="0">
        <f>IF(AND(UPPER(TRIM('7810'!A11))="CHOICE",LEN(TRIM('7810'!E11&amp;'7810'!F11))&gt;0),1,0)</f>
        <v/>
      </c>
      <c r="E223" s="0">
        <f>IF(D223=1,MAX(E$1:E222)+1,"")</f>
        <v/>
      </c>
      <c r="F223" s="0">
        <f>IF(D223=1,IFERROR(CHOOSE(MATCH("X",'7810'!G11:L11,0),"①","②","③","④","⑤","⑥"),""),"")</f>
        <v/>
      </c>
      <c r="G223" s="0">
        <f>IF(D223=1,IF('7810'!B11="","",'7810'!B11),"")</f>
        <v/>
      </c>
      <c r="H223" s="0">
        <f>IF(D223=1,'7810'!N11&amp;"","")</f>
        <v/>
      </c>
      <c r="I223" s="0">
        <f>IF(D223=1,'7810'!C11&amp;"","")</f>
        <v/>
      </c>
      <c r="J223" s="0">
        <f>IF(D223=1,'7810'!E11&amp;"","")</f>
        <v/>
      </c>
      <c r="K223" s="0">
        <f>IF(D223=1,'7810'!D11&amp;"","")</f>
        <v/>
      </c>
      <c r="L223" s="0">
        <f>IF(D223=1,IF('7810'!F11="","",'7810'!F11),"")</f>
        <v/>
      </c>
    </row>
    <row r="224">
      <c r="A224" s="0" t="inlineStr">
        <is>
          <t>7810 – School Law &amp; Policy</t>
        </is>
      </c>
      <c r="B224" s="0" t="inlineStr">
        <is>
          <t>7810</t>
        </is>
      </c>
      <c r="C224" s="0" t="n">
        <v>12</v>
      </c>
      <c r="D224" s="0">
        <f>IF(AND(UPPER(TRIM('7810'!A12))="CHOICE",LEN(TRIM('7810'!E12&amp;'7810'!F12))&gt;0),1,0)</f>
        <v/>
      </c>
      <c r="E224" s="0">
        <f>IF(D224=1,MAX(E$1:E223)+1,"")</f>
        <v/>
      </c>
      <c r="F224" s="0">
        <f>IF(D224=1,IFERROR(CHOOSE(MATCH("X",'7810'!G12:L12,0),"①","②","③","④","⑤","⑥"),""),"")</f>
        <v/>
      </c>
      <c r="G224" s="0">
        <f>IF(D224=1,IF('7810'!B12="","",'7810'!B12),"")</f>
        <v/>
      </c>
      <c r="H224" s="0">
        <f>IF(D224=1,'7810'!N12&amp;"","")</f>
        <v/>
      </c>
      <c r="I224" s="0">
        <f>IF(D224=1,'7810'!C12&amp;"","")</f>
        <v/>
      </c>
      <c r="J224" s="0">
        <f>IF(D224=1,'7810'!E12&amp;"","")</f>
        <v/>
      </c>
      <c r="K224" s="0">
        <f>IF(D224=1,'7810'!D12&amp;"","")</f>
        <v/>
      </c>
      <c r="L224" s="0">
        <f>IF(D224=1,IF('7810'!F12="","",'7810'!F12),"")</f>
        <v/>
      </c>
    </row>
    <row r="225">
      <c r="A225" s="0" t="inlineStr">
        <is>
          <t>7810 – School Law &amp; Policy</t>
        </is>
      </c>
      <c r="B225" s="0" t="inlineStr">
        <is>
          <t>7810</t>
        </is>
      </c>
      <c r="C225" s="0" t="n">
        <v>13</v>
      </c>
      <c r="D225" s="0">
        <f>IF(AND(UPPER(TRIM('7810'!A13))="CHOICE",LEN(TRIM('7810'!E13&amp;'7810'!F13))&gt;0),1,0)</f>
        <v/>
      </c>
      <c r="E225" s="0">
        <f>IF(D225=1,MAX(E$1:E224)+1,"")</f>
        <v/>
      </c>
      <c r="F225" s="0">
        <f>IF(D225=1,IFERROR(CHOOSE(MATCH("X",'7810'!G13:L13,0),"①","②","③","④","⑤","⑥"),""),"")</f>
        <v/>
      </c>
      <c r="G225" s="0">
        <f>IF(D225=1,IF('7810'!B13="","",'7810'!B13),"")</f>
        <v/>
      </c>
      <c r="H225" s="0">
        <f>IF(D225=1,'7810'!N13&amp;"","")</f>
        <v/>
      </c>
      <c r="I225" s="0">
        <f>IF(D225=1,'7810'!C13&amp;"","")</f>
        <v/>
      </c>
      <c r="J225" s="0">
        <f>IF(D225=1,'7810'!E13&amp;"","")</f>
        <v/>
      </c>
      <c r="K225" s="0">
        <f>IF(D225=1,'7810'!D13&amp;"","")</f>
        <v/>
      </c>
      <c r="L225" s="0">
        <f>IF(D225=1,IF('7810'!F13="","",'7810'!F13),"")</f>
        <v/>
      </c>
    </row>
    <row r="226">
      <c r="A226" s="0" t="inlineStr">
        <is>
          <t>7810 – School Law &amp; Policy</t>
        </is>
      </c>
      <c r="B226" s="0" t="inlineStr">
        <is>
          <t>7810</t>
        </is>
      </c>
      <c r="C226" s="0" t="n">
        <v>14</v>
      </c>
      <c r="D226" s="0">
        <f>IF(AND(UPPER(TRIM('7810'!A14))="CHOICE",LEN(TRIM('7810'!E14&amp;'7810'!F14))&gt;0),1,0)</f>
        <v/>
      </c>
      <c r="E226" s="0">
        <f>IF(D226=1,MAX(E$1:E225)+1,"")</f>
        <v/>
      </c>
      <c r="F226" s="0">
        <f>IF(D226=1,IFERROR(CHOOSE(MATCH("X",'7810'!G14:L14,0),"①","②","③","④","⑤","⑥"),""),"")</f>
        <v/>
      </c>
      <c r="G226" s="0">
        <f>IF(D226=1,IF('7810'!B14="","",'7810'!B14),"")</f>
        <v/>
      </c>
      <c r="H226" s="0">
        <f>IF(D226=1,'7810'!N14&amp;"","")</f>
        <v/>
      </c>
      <c r="I226" s="0">
        <f>IF(D226=1,'7810'!C14&amp;"","")</f>
        <v/>
      </c>
      <c r="J226" s="0">
        <f>IF(D226=1,'7810'!E14&amp;"","")</f>
        <v/>
      </c>
      <c r="K226" s="0">
        <f>IF(D226=1,'7810'!D14&amp;"","")</f>
        <v/>
      </c>
      <c r="L226" s="0">
        <f>IF(D226=1,IF('7810'!F14="","",'7810'!F14),"")</f>
        <v/>
      </c>
    </row>
    <row r="227">
      <c r="A227" s="0" t="inlineStr">
        <is>
          <t>7810 – School Law &amp; Policy</t>
        </is>
      </c>
      <c r="B227" s="0" t="inlineStr">
        <is>
          <t>7810</t>
        </is>
      </c>
      <c r="C227" s="0" t="n">
        <v>15</v>
      </c>
      <c r="D227" s="0">
        <f>IF(AND(UPPER(TRIM('7810'!A15))="CHOICE",LEN(TRIM('7810'!E15&amp;'7810'!F15))&gt;0),1,0)</f>
        <v/>
      </c>
      <c r="E227" s="0">
        <f>IF(D227=1,MAX(E$1:E226)+1,"")</f>
        <v/>
      </c>
      <c r="F227" s="0">
        <f>IF(D227=1,IFERROR(CHOOSE(MATCH("X",'7810'!G15:L15,0),"①","②","③","④","⑤","⑥"),""),"")</f>
        <v/>
      </c>
      <c r="G227" s="0">
        <f>IF(D227=1,IF('7810'!B15="","",'7810'!B15),"")</f>
        <v/>
      </c>
      <c r="H227" s="0">
        <f>IF(D227=1,'7810'!N15&amp;"","")</f>
        <v/>
      </c>
      <c r="I227" s="0">
        <f>IF(D227=1,'7810'!C15&amp;"","")</f>
        <v/>
      </c>
      <c r="J227" s="0">
        <f>IF(D227=1,'7810'!E15&amp;"","")</f>
        <v/>
      </c>
      <c r="K227" s="0">
        <f>IF(D227=1,'7810'!D15&amp;"","")</f>
        <v/>
      </c>
      <c r="L227" s="0">
        <f>IF(D227=1,IF('7810'!F15="","",'7810'!F15),"")</f>
        <v/>
      </c>
    </row>
    <row r="228">
      <c r="A228" s="0" t="inlineStr">
        <is>
          <t>7810 – School Law &amp; Policy</t>
        </is>
      </c>
      <c r="B228" s="0" t="inlineStr">
        <is>
          <t>7810</t>
        </is>
      </c>
      <c r="C228" s="0" t="n">
        <v>16</v>
      </c>
      <c r="D228" s="0">
        <f>IF(AND(UPPER(TRIM('7810'!A16))="CHOICE",LEN(TRIM('7810'!E16&amp;'7810'!F16))&gt;0),1,0)</f>
        <v/>
      </c>
      <c r="E228" s="0">
        <f>IF(D228=1,MAX(E$1:E227)+1,"")</f>
        <v/>
      </c>
      <c r="F228" s="0">
        <f>IF(D228=1,IFERROR(CHOOSE(MATCH("X",'7810'!G16:L16,0),"①","②","③","④","⑤","⑥"),""),"")</f>
        <v/>
      </c>
      <c r="G228" s="0">
        <f>IF(D228=1,IF('7810'!B16="","",'7810'!B16),"")</f>
        <v/>
      </c>
      <c r="H228" s="0">
        <f>IF(D228=1,'7810'!N16&amp;"","")</f>
        <v/>
      </c>
      <c r="I228" s="0">
        <f>IF(D228=1,'7810'!C16&amp;"","")</f>
        <v/>
      </c>
      <c r="J228" s="0">
        <f>IF(D228=1,'7810'!E16&amp;"","")</f>
        <v/>
      </c>
      <c r="K228" s="0">
        <f>IF(D228=1,'7810'!D16&amp;"","")</f>
        <v/>
      </c>
      <c r="L228" s="0">
        <f>IF(D228=1,IF('7810'!F16="","",'7810'!F16),"")</f>
        <v/>
      </c>
    </row>
    <row r="229">
      <c r="A229" s="0" t="inlineStr">
        <is>
          <t>7810 – School Law &amp; Policy</t>
        </is>
      </c>
      <c r="B229" s="0" t="inlineStr">
        <is>
          <t>7810</t>
        </is>
      </c>
      <c r="C229" s="0" t="n">
        <v>17</v>
      </c>
      <c r="D229" s="0">
        <f>IF(AND(UPPER(TRIM('7810'!A17))="CHOICE",LEN(TRIM('7810'!E17&amp;'7810'!F17))&gt;0),1,0)</f>
        <v/>
      </c>
      <c r="E229" s="0">
        <f>IF(D229=1,MAX(E$1:E228)+1,"")</f>
        <v/>
      </c>
      <c r="F229" s="0">
        <f>IF(D229=1,IFERROR(CHOOSE(MATCH("X",'7810'!G17:L17,0),"①","②","③","④","⑤","⑥"),""),"")</f>
        <v/>
      </c>
      <c r="G229" s="0">
        <f>IF(D229=1,IF('7810'!B17="","",'7810'!B17),"")</f>
        <v/>
      </c>
      <c r="H229" s="0">
        <f>IF(D229=1,'7810'!N17&amp;"","")</f>
        <v/>
      </c>
      <c r="I229" s="0">
        <f>IF(D229=1,'7810'!C17&amp;"","")</f>
        <v/>
      </c>
      <c r="J229" s="0">
        <f>IF(D229=1,'7810'!E17&amp;"","")</f>
        <v/>
      </c>
      <c r="K229" s="0">
        <f>IF(D229=1,'7810'!D17&amp;"","")</f>
        <v/>
      </c>
      <c r="L229" s="0">
        <f>IF(D229=1,IF('7810'!F17="","",'7810'!F17),"")</f>
        <v/>
      </c>
    </row>
    <row r="230">
      <c r="A230" s="0" t="inlineStr">
        <is>
          <t>7810 – School Law &amp; Policy</t>
        </is>
      </c>
      <c r="B230" s="0" t="inlineStr">
        <is>
          <t>7810</t>
        </is>
      </c>
      <c r="C230" s="0" t="n">
        <v>18</v>
      </c>
      <c r="D230" s="0">
        <f>IF(AND(UPPER(TRIM('7810'!A18))="CHOICE",LEN(TRIM('7810'!E18&amp;'7810'!F18))&gt;0),1,0)</f>
        <v/>
      </c>
      <c r="E230" s="0">
        <f>IF(D230=1,MAX(E$1:E229)+1,"")</f>
        <v/>
      </c>
      <c r="F230" s="0">
        <f>IF(D230=1,IFERROR(CHOOSE(MATCH("X",'7810'!G18:L18,0),"①","②","③","④","⑤","⑥"),""),"")</f>
        <v/>
      </c>
      <c r="G230" s="0">
        <f>IF(D230=1,IF('7810'!B18="","",'7810'!B18),"")</f>
        <v/>
      </c>
      <c r="H230" s="0">
        <f>IF(D230=1,'7810'!N18&amp;"","")</f>
        <v/>
      </c>
      <c r="I230" s="0">
        <f>IF(D230=1,'7810'!C18&amp;"","")</f>
        <v/>
      </c>
      <c r="J230" s="0">
        <f>IF(D230=1,'7810'!E18&amp;"","")</f>
        <v/>
      </c>
      <c r="K230" s="0">
        <f>IF(D230=1,'7810'!D18&amp;"","")</f>
        <v/>
      </c>
      <c r="L230" s="0">
        <f>IF(D230=1,IF('7810'!F18="","",'7810'!F18),"")</f>
        <v/>
      </c>
    </row>
    <row r="231">
      <c r="A231" s="0" t="inlineStr">
        <is>
          <t>7810 – School Law &amp; Policy</t>
        </is>
      </c>
      <c r="B231" s="0" t="inlineStr">
        <is>
          <t>7810</t>
        </is>
      </c>
      <c r="C231" s="0" t="n">
        <v>19</v>
      </c>
      <c r="D231" s="0">
        <f>IF(AND(UPPER(TRIM('7810'!A19))="CHOICE",LEN(TRIM('7810'!E19&amp;'7810'!F19))&gt;0),1,0)</f>
        <v/>
      </c>
      <c r="E231" s="0">
        <f>IF(D231=1,MAX(E$1:E230)+1,"")</f>
        <v/>
      </c>
      <c r="F231" s="0">
        <f>IF(D231=1,IFERROR(CHOOSE(MATCH("X",'7810'!G19:L19,0),"①","②","③","④","⑤","⑥"),""),"")</f>
        <v/>
      </c>
      <c r="G231" s="0">
        <f>IF(D231=1,IF('7810'!B19="","",'7810'!B19),"")</f>
        <v/>
      </c>
      <c r="H231" s="0">
        <f>IF(D231=1,'7810'!N19&amp;"","")</f>
        <v/>
      </c>
      <c r="I231" s="0">
        <f>IF(D231=1,'7810'!C19&amp;"","")</f>
        <v/>
      </c>
      <c r="J231" s="0">
        <f>IF(D231=1,'7810'!E19&amp;"","")</f>
        <v/>
      </c>
      <c r="K231" s="0">
        <f>IF(D231=1,'7810'!D19&amp;"","")</f>
        <v/>
      </c>
      <c r="L231" s="0">
        <f>IF(D231=1,IF('7810'!F19="","",'7810'!F19),"")</f>
        <v/>
      </c>
    </row>
    <row r="232">
      <c r="A232" s="0" t="inlineStr">
        <is>
          <t>7810 – School Law &amp; Policy</t>
        </is>
      </c>
      <c r="B232" s="0" t="inlineStr">
        <is>
          <t>7810</t>
        </is>
      </c>
      <c r="C232" s="0" t="n">
        <v>20</v>
      </c>
      <c r="D232" s="0">
        <f>IF(AND(UPPER(TRIM('7810'!A20))="CHOICE",LEN(TRIM('7810'!E20&amp;'7810'!F20))&gt;0),1,0)</f>
        <v/>
      </c>
      <c r="E232" s="0">
        <f>IF(D232=1,MAX(E$1:E231)+1,"")</f>
        <v/>
      </c>
      <c r="F232" s="0">
        <f>IF(D232=1,IFERROR(CHOOSE(MATCH("X",'7810'!G20:L20,0),"①","②","③","④","⑤","⑥"),""),"")</f>
        <v/>
      </c>
      <c r="G232" s="0">
        <f>IF(D232=1,IF('7810'!B20="","",'7810'!B20),"")</f>
        <v/>
      </c>
      <c r="H232" s="0">
        <f>IF(D232=1,'7810'!N20&amp;"","")</f>
        <v/>
      </c>
      <c r="I232" s="0">
        <f>IF(D232=1,'7810'!C20&amp;"","")</f>
        <v/>
      </c>
      <c r="J232" s="0">
        <f>IF(D232=1,'7810'!E20&amp;"","")</f>
        <v/>
      </c>
      <c r="K232" s="0">
        <f>IF(D232=1,'7810'!D20&amp;"","")</f>
        <v/>
      </c>
      <c r="L232" s="0">
        <f>IF(D232=1,IF('7810'!F20="","",'7810'!F20),"")</f>
        <v/>
      </c>
    </row>
    <row r="233">
      <c r="A233" s="0" t="inlineStr">
        <is>
          <t>7810 – School Law &amp; Policy</t>
        </is>
      </c>
      <c r="B233" s="0" t="inlineStr">
        <is>
          <t>7810</t>
        </is>
      </c>
      <c r="C233" s="0" t="n">
        <v>21</v>
      </c>
      <c r="D233" s="0">
        <f>IF(AND(UPPER(TRIM('7810'!A21))="CHOICE",LEN(TRIM('7810'!E21&amp;'7810'!F21))&gt;0),1,0)</f>
        <v/>
      </c>
      <c r="E233" s="0">
        <f>IF(D233=1,MAX(E$1:E232)+1,"")</f>
        <v/>
      </c>
      <c r="F233" s="0">
        <f>IF(D233=1,IFERROR(CHOOSE(MATCH("X",'7810'!G21:L21,0),"①","②","③","④","⑤","⑥"),""),"")</f>
        <v/>
      </c>
      <c r="G233" s="0">
        <f>IF(D233=1,IF('7810'!B21="","",'7810'!B21),"")</f>
        <v/>
      </c>
      <c r="H233" s="0">
        <f>IF(D233=1,'7810'!N21&amp;"","")</f>
        <v/>
      </c>
      <c r="I233" s="0">
        <f>IF(D233=1,'7810'!C21&amp;"","")</f>
        <v/>
      </c>
      <c r="J233" s="0">
        <f>IF(D233=1,'7810'!E21&amp;"","")</f>
        <v/>
      </c>
      <c r="K233" s="0">
        <f>IF(D233=1,'7810'!D21&amp;"","")</f>
        <v/>
      </c>
      <c r="L233" s="0">
        <f>IF(D233=1,IF('7810'!F21="","",'7810'!F21),"")</f>
        <v/>
      </c>
    </row>
    <row r="234">
      <c r="A234" s="0" t="inlineStr">
        <is>
          <t>7810 – School Law &amp; Policy</t>
        </is>
      </c>
      <c r="B234" s="0" t="inlineStr">
        <is>
          <t>7810</t>
        </is>
      </c>
      <c r="C234" s="0" t="n">
        <v>22</v>
      </c>
      <c r="D234" s="0">
        <f>IF(AND(UPPER(TRIM('7810'!A22))="CHOICE",LEN(TRIM('7810'!E22&amp;'7810'!F22))&gt;0),1,0)</f>
        <v/>
      </c>
      <c r="E234" s="0">
        <f>IF(D234=1,MAX(E$1:E233)+1,"")</f>
        <v/>
      </c>
      <c r="F234" s="0">
        <f>IF(D234=1,IFERROR(CHOOSE(MATCH("X",'7810'!G22:L22,0),"①","②","③","④","⑤","⑥"),""),"")</f>
        <v/>
      </c>
      <c r="G234" s="0">
        <f>IF(D234=1,IF('7810'!B22="","",'7810'!B22),"")</f>
        <v/>
      </c>
      <c r="H234" s="0">
        <f>IF(D234=1,'7810'!N22&amp;"","")</f>
        <v/>
      </c>
      <c r="I234" s="0">
        <f>IF(D234=1,'7810'!C22&amp;"","")</f>
        <v/>
      </c>
      <c r="J234" s="0">
        <f>IF(D234=1,'7810'!E22&amp;"","")</f>
        <v/>
      </c>
      <c r="K234" s="0">
        <f>IF(D234=1,'7810'!D22&amp;"","")</f>
        <v/>
      </c>
      <c r="L234" s="0">
        <f>IF(D234=1,IF('7810'!F22="","",'7810'!F22),"")</f>
        <v/>
      </c>
    </row>
    <row r="235">
      <c r="A235" s="0" t="inlineStr">
        <is>
          <t>7810 – School Law &amp; Policy</t>
        </is>
      </c>
      <c r="B235" s="0" t="inlineStr">
        <is>
          <t>7810</t>
        </is>
      </c>
      <c r="C235" s="0" t="n">
        <v>23</v>
      </c>
      <c r="D235" s="0">
        <f>IF(AND(UPPER(TRIM('7810'!A23))="CHOICE",LEN(TRIM('7810'!E23&amp;'7810'!F23))&gt;0),1,0)</f>
        <v/>
      </c>
      <c r="E235" s="0">
        <f>IF(D235=1,MAX(E$1:E234)+1,"")</f>
        <v/>
      </c>
      <c r="F235" s="0">
        <f>IF(D235=1,IFERROR(CHOOSE(MATCH("X",'7810'!G23:L23,0),"①","②","③","④","⑤","⑥"),""),"")</f>
        <v/>
      </c>
      <c r="G235" s="0">
        <f>IF(D235=1,IF('7810'!B23="","",'7810'!B23),"")</f>
        <v/>
      </c>
      <c r="H235" s="0">
        <f>IF(D235=1,'7810'!N23&amp;"","")</f>
        <v/>
      </c>
      <c r="I235" s="0">
        <f>IF(D235=1,'7810'!C23&amp;"","")</f>
        <v/>
      </c>
      <c r="J235" s="0">
        <f>IF(D235=1,'7810'!E23&amp;"","")</f>
        <v/>
      </c>
      <c r="K235" s="0">
        <f>IF(D235=1,'7810'!D23&amp;"","")</f>
        <v/>
      </c>
      <c r="L235" s="0">
        <f>IF(D235=1,IF('7810'!F23="","",'7810'!F23),"")</f>
        <v/>
      </c>
    </row>
    <row r="236">
      <c r="A236" s="0" t="inlineStr">
        <is>
          <t>7810 – School Law &amp; Policy</t>
        </is>
      </c>
      <c r="B236" s="0" t="inlineStr">
        <is>
          <t>7810</t>
        </is>
      </c>
      <c r="C236" s="0" t="n">
        <v>24</v>
      </c>
      <c r="D236" s="0">
        <f>IF(AND(UPPER(TRIM('7810'!A24))="CHOICE",LEN(TRIM('7810'!E24&amp;'7810'!F24))&gt;0),1,0)</f>
        <v/>
      </c>
      <c r="E236" s="0">
        <f>IF(D236=1,MAX(E$1:E235)+1,"")</f>
        <v/>
      </c>
      <c r="F236" s="0">
        <f>IF(D236=1,IFERROR(CHOOSE(MATCH("X",'7810'!G24:L24,0),"①","②","③","④","⑤","⑥"),""),"")</f>
        <v/>
      </c>
      <c r="G236" s="0">
        <f>IF(D236=1,IF('7810'!B24="","",'7810'!B24),"")</f>
        <v/>
      </c>
      <c r="H236" s="0">
        <f>IF(D236=1,'7810'!N24&amp;"","")</f>
        <v/>
      </c>
      <c r="I236" s="0">
        <f>IF(D236=1,'7810'!C24&amp;"","")</f>
        <v/>
      </c>
      <c r="J236" s="0">
        <f>IF(D236=1,'7810'!E24&amp;"","")</f>
        <v/>
      </c>
      <c r="K236" s="0">
        <f>IF(D236=1,'7810'!D24&amp;"","")</f>
        <v/>
      </c>
      <c r="L236" s="0">
        <f>IF(D236=1,IF('7810'!F24="","",'7810'!F24),"")</f>
        <v/>
      </c>
    </row>
    <row r="237">
      <c r="A237" s="0" t="inlineStr">
        <is>
          <t>7810 – School Law &amp; Policy</t>
        </is>
      </c>
      <c r="B237" s="0" t="inlineStr">
        <is>
          <t>7810</t>
        </is>
      </c>
      <c r="C237" s="0" t="n">
        <v>25</v>
      </c>
      <c r="D237" s="0">
        <f>IF(AND(UPPER(TRIM('7810'!A25))="CHOICE",LEN(TRIM('7810'!E25&amp;'7810'!F25))&gt;0),1,0)</f>
        <v/>
      </c>
      <c r="E237" s="0">
        <f>IF(D237=1,MAX(E$1:E236)+1,"")</f>
        <v/>
      </c>
      <c r="F237" s="0">
        <f>IF(D237=1,IFERROR(CHOOSE(MATCH("X",'7810'!G25:L25,0),"①","②","③","④","⑤","⑥"),""),"")</f>
        <v/>
      </c>
      <c r="G237" s="0">
        <f>IF(D237=1,IF('7810'!B25="","",'7810'!B25),"")</f>
        <v/>
      </c>
      <c r="H237" s="0">
        <f>IF(D237=1,'7810'!N25&amp;"","")</f>
        <v/>
      </c>
      <c r="I237" s="0">
        <f>IF(D237=1,'7810'!C25&amp;"","")</f>
        <v/>
      </c>
      <c r="J237" s="0">
        <f>IF(D237=1,'7810'!E25&amp;"","")</f>
        <v/>
      </c>
      <c r="K237" s="0">
        <f>IF(D237=1,'7810'!D25&amp;"","")</f>
        <v/>
      </c>
      <c r="L237" s="0">
        <f>IF(D237=1,IF('7810'!F25="","",'7810'!F25),"")</f>
        <v/>
      </c>
    </row>
    <row r="238">
      <c r="A238" s="0" t="inlineStr">
        <is>
          <t>7810 – School Law &amp; Policy</t>
        </is>
      </c>
      <c r="B238" s="0" t="inlineStr">
        <is>
          <t>7810</t>
        </is>
      </c>
      <c r="C238" s="0" t="n">
        <v>26</v>
      </c>
      <c r="D238" s="0">
        <f>IF(AND(UPPER(TRIM('7810'!A26))="CHOICE",LEN(TRIM('7810'!E26&amp;'7810'!F26))&gt;0),1,0)</f>
        <v/>
      </c>
      <c r="E238" s="0">
        <f>IF(D238=1,MAX(E$1:E237)+1,"")</f>
        <v/>
      </c>
      <c r="F238" s="0">
        <f>IF(D238=1,IFERROR(CHOOSE(MATCH("X",'7810'!G26:L26,0),"①","②","③","④","⑤","⑥"),""),"")</f>
        <v/>
      </c>
      <c r="G238" s="0">
        <f>IF(D238=1,IF('7810'!B26="","",'7810'!B26),"")</f>
        <v/>
      </c>
      <c r="H238" s="0">
        <f>IF(D238=1,'7810'!N26&amp;"","")</f>
        <v/>
      </c>
      <c r="I238" s="0">
        <f>IF(D238=1,'7810'!C26&amp;"","")</f>
        <v/>
      </c>
      <c r="J238" s="0">
        <f>IF(D238=1,'7810'!E26&amp;"","")</f>
        <v/>
      </c>
      <c r="K238" s="0">
        <f>IF(D238=1,'7810'!D26&amp;"","")</f>
        <v/>
      </c>
      <c r="L238" s="0">
        <f>IF(D238=1,IF('7810'!F26="","",'7810'!F26),"")</f>
        <v/>
      </c>
    </row>
    <row r="239">
      <c r="A239" s="0" t="inlineStr">
        <is>
          <t>7810 – School Law &amp; Policy</t>
        </is>
      </c>
      <c r="B239" s="0" t="inlineStr">
        <is>
          <t>7810</t>
        </is>
      </c>
      <c r="C239" s="0" t="n">
        <v>27</v>
      </c>
      <c r="D239" s="0">
        <f>IF(AND(UPPER(TRIM('7810'!A27))="CHOICE",LEN(TRIM('7810'!E27&amp;'7810'!F27))&gt;0),1,0)</f>
        <v/>
      </c>
      <c r="E239" s="0">
        <f>IF(D239=1,MAX(E$1:E238)+1,"")</f>
        <v/>
      </c>
      <c r="F239" s="0">
        <f>IF(D239=1,IFERROR(CHOOSE(MATCH("X",'7810'!G27:L27,0),"①","②","③","④","⑤","⑥"),""),"")</f>
        <v/>
      </c>
      <c r="G239" s="0">
        <f>IF(D239=1,IF('7810'!B27="","",'7810'!B27),"")</f>
        <v/>
      </c>
      <c r="H239" s="0">
        <f>IF(D239=1,'7810'!N27&amp;"","")</f>
        <v/>
      </c>
      <c r="I239" s="0">
        <f>IF(D239=1,'7810'!C27&amp;"","")</f>
        <v/>
      </c>
      <c r="J239" s="0">
        <f>IF(D239=1,'7810'!E27&amp;"","")</f>
        <v/>
      </c>
      <c r="K239" s="0">
        <f>IF(D239=1,'7810'!D27&amp;"","")</f>
        <v/>
      </c>
      <c r="L239" s="0">
        <f>IF(D239=1,IF('7810'!F27="","",'7810'!F27),"")</f>
        <v/>
      </c>
    </row>
    <row r="240">
      <c r="A240" s="0" t="inlineStr">
        <is>
          <t>7810 – School Law &amp; Policy</t>
        </is>
      </c>
      <c r="B240" s="0" t="inlineStr">
        <is>
          <t>7810</t>
        </is>
      </c>
      <c r="C240" s="0" t="n">
        <v>28</v>
      </c>
      <c r="D240" s="0">
        <f>IF(AND(UPPER(TRIM('7810'!A28))="CHOICE",LEN(TRIM('7810'!E28&amp;'7810'!F28))&gt;0),1,0)</f>
        <v/>
      </c>
      <c r="E240" s="0">
        <f>IF(D240=1,MAX(E$1:E239)+1,"")</f>
        <v/>
      </c>
      <c r="F240" s="0">
        <f>IF(D240=1,IFERROR(CHOOSE(MATCH("X",'7810'!G28:L28,0),"①","②","③","④","⑤","⑥"),""),"")</f>
        <v/>
      </c>
      <c r="G240" s="0">
        <f>IF(D240=1,IF('7810'!B28="","",'7810'!B28),"")</f>
        <v/>
      </c>
      <c r="H240" s="0">
        <f>IF(D240=1,'7810'!N28&amp;"","")</f>
        <v/>
      </c>
      <c r="I240" s="0">
        <f>IF(D240=1,'7810'!C28&amp;"","")</f>
        <v/>
      </c>
      <c r="J240" s="0">
        <f>IF(D240=1,'7810'!E28&amp;"","")</f>
        <v/>
      </c>
      <c r="K240" s="0">
        <f>IF(D240=1,'7810'!D28&amp;"","")</f>
        <v/>
      </c>
      <c r="L240" s="0">
        <f>IF(D240=1,IF('7810'!F28="","",'7810'!F28),"")</f>
        <v/>
      </c>
    </row>
    <row r="241">
      <c r="A241" s="0" t="inlineStr">
        <is>
          <t>7810 – School Law &amp; Policy</t>
        </is>
      </c>
      <c r="B241" s="0" t="inlineStr">
        <is>
          <t>7810</t>
        </is>
      </c>
      <c r="C241" s="0" t="n">
        <v>29</v>
      </c>
      <c r="D241" s="0">
        <f>IF(AND(UPPER(TRIM('7810'!A29))="CHOICE",LEN(TRIM('7810'!E29&amp;'7810'!F29))&gt;0),1,0)</f>
        <v/>
      </c>
      <c r="E241" s="0">
        <f>IF(D241=1,MAX(E$1:E240)+1,"")</f>
        <v/>
      </c>
      <c r="F241" s="0">
        <f>IF(D241=1,IFERROR(CHOOSE(MATCH("X",'7810'!G29:L29,0),"①","②","③","④","⑤","⑥"),""),"")</f>
        <v/>
      </c>
      <c r="G241" s="0">
        <f>IF(D241=1,IF('7810'!B29="","",'7810'!B29),"")</f>
        <v/>
      </c>
      <c r="H241" s="0">
        <f>IF(D241=1,'7810'!N29&amp;"","")</f>
        <v/>
      </c>
      <c r="I241" s="0">
        <f>IF(D241=1,'7810'!C29&amp;"","")</f>
        <v/>
      </c>
      <c r="J241" s="0">
        <f>IF(D241=1,'7810'!E29&amp;"","")</f>
        <v/>
      </c>
      <c r="K241" s="0">
        <f>IF(D241=1,'7810'!D29&amp;"","")</f>
        <v/>
      </c>
      <c r="L241" s="0">
        <f>IF(D241=1,IF('7810'!F29="","",'7810'!F29),"")</f>
        <v/>
      </c>
    </row>
    <row r="242">
      <c r="A242" s="0" t="inlineStr">
        <is>
          <t>7810 – School Law &amp; Policy</t>
        </is>
      </c>
      <c r="B242" s="0" t="inlineStr">
        <is>
          <t>7810</t>
        </is>
      </c>
      <c r="C242" s="0" t="n">
        <v>30</v>
      </c>
      <c r="D242" s="0">
        <f>IF(AND(UPPER(TRIM('7810'!A30))="CHOICE",LEN(TRIM('7810'!E30&amp;'7810'!F30))&gt;0),1,0)</f>
        <v/>
      </c>
      <c r="E242" s="0">
        <f>IF(D242=1,MAX(E$1:E241)+1,"")</f>
        <v/>
      </c>
      <c r="F242" s="0">
        <f>IF(D242=1,IFERROR(CHOOSE(MATCH("X",'7810'!G30:L30,0),"①","②","③","④","⑤","⑥"),""),"")</f>
        <v/>
      </c>
      <c r="G242" s="0">
        <f>IF(D242=1,IF('7810'!B30="","",'7810'!B30),"")</f>
        <v/>
      </c>
      <c r="H242" s="0">
        <f>IF(D242=1,'7810'!N30&amp;"","")</f>
        <v/>
      </c>
      <c r="I242" s="0">
        <f>IF(D242=1,'7810'!C30&amp;"","")</f>
        <v/>
      </c>
      <c r="J242" s="0">
        <f>IF(D242=1,'7810'!E30&amp;"","")</f>
        <v/>
      </c>
      <c r="K242" s="0">
        <f>IF(D242=1,'7810'!D30&amp;"","")</f>
        <v/>
      </c>
      <c r="L242" s="0">
        <f>IF(D242=1,IF('7810'!F30="","",'7810'!F30),"")</f>
        <v/>
      </c>
    </row>
    <row r="243">
      <c r="A243" s="0" t="inlineStr">
        <is>
          <t>7810 – School Law &amp; Policy</t>
        </is>
      </c>
      <c r="B243" s="0" t="inlineStr">
        <is>
          <t>7810</t>
        </is>
      </c>
      <c r="C243" s="0" t="n">
        <v>31</v>
      </c>
      <c r="D243" s="0">
        <f>IF(AND(UPPER(TRIM('7810'!A31))="CHOICE",LEN(TRIM('7810'!E31&amp;'7810'!F31))&gt;0),1,0)</f>
        <v/>
      </c>
      <c r="E243" s="0">
        <f>IF(D243=1,MAX(E$1:E242)+1,"")</f>
        <v/>
      </c>
      <c r="F243" s="0">
        <f>IF(D243=1,IFERROR(CHOOSE(MATCH("X",'7810'!G31:L31,0),"①","②","③","④","⑤","⑥"),""),"")</f>
        <v/>
      </c>
      <c r="G243" s="0">
        <f>IF(D243=1,IF('7810'!B31="","",'7810'!B31),"")</f>
        <v/>
      </c>
      <c r="H243" s="0">
        <f>IF(D243=1,'7810'!N31&amp;"","")</f>
        <v/>
      </c>
      <c r="I243" s="0">
        <f>IF(D243=1,'7810'!C31&amp;"","")</f>
        <v/>
      </c>
      <c r="J243" s="0">
        <f>IF(D243=1,'7810'!E31&amp;"","")</f>
        <v/>
      </c>
      <c r="K243" s="0">
        <f>IF(D243=1,'7810'!D31&amp;"","")</f>
        <v/>
      </c>
      <c r="L243" s="0">
        <f>IF(D243=1,IF('7810'!F31="","",'7810'!F31),"")</f>
        <v/>
      </c>
    </row>
    <row r="244">
      <c r="A244" s="0" t="inlineStr">
        <is>
          <t>7810 – School Law &amp; Policy</t>
        </is>
      </c>
      <c r="B244" s="0" t="inlineStr">
        <is>
          <t>7810</t>
        </is>
      </c>
      <c r="C244" s="0" t="n">
        <v>32</v>
      </c>
      <c r="D244" s="0">
        <f>IF(AND(UPPER(TRIM('7810'!A32))="CHOICE",LEN(TRIM('7810'!E32&amp;'7810'!F32))&gt;0),1,0)</f>
        <v/>
      </c>
      <c r="E244" s="0">
        <f>IF(D244=1,MAX(E$1:E243)+1,"")</f>
        <v/>
      </c>
      <c r="F244" s="0">
        <f>IF(D244=1,IFERROR(CHOOSE(MATCH("X",'7810'!G32:L32,0),"①","②","③","④","⑤","⑥"),""),"")</f>
        <v/>
      </c>
      <c r="G244" s="0">
        <f>IF(D244=1,IF('7810'!B32="","",'7810'!B32),"")</f>
        <v/>
      </c>
      <c r="H244" s="0">
        <f>IF(D244=1,'7810'!N32&amp;"","")</f>
        <v/>
      </c>
      <c r="I244" s="0">
        <f>IF(D244=1,'7810'!C32&amp;"","")</f>
        <v/>
      </c>
      <c r="J244" s="0">
        <f>IF(D244=1,'7810'!E32&amp;"","")</f>
        <v/>
      </c>
      <c r="K244" s="0">
        <f>IF(D244=1,'7810'!D32&amp;"","")</f>
        <v/>
      </c>
      <c r="L244" s="0">
        <f>IF(D244=1,IF('7810'!F32="","",'7810'!F32),"")</f>
        <v/>
      </c>
    </row>
    <row r="245">
      <c r="A245" s="0" t="inlineStr">
        <is>
          <t>7810 – School Law &amp; Policy</t>
        </is>
      </c>
      <c r="B245" s="0" t="inlineStr">
        <is>
          <t>7810</t>
        </is>
      </c>
      <c r="C245" s="0" t="n">
        <v>33</v>
      </c>
      <c r="D245" s="0">
        <f>IF(AND(UPPER(TRIM('7810'!A33))="CHOICE",LEN(TRIM('7810'!E33&amp;'7810'!F33))&gt;0),1,0)</f>
        <v/>
      </c>
      <c r="E245" s="0">
        <f>IF(D245=1,MAX(E$1:E244)+1,"")</f>
        <v/>
      </c>
      <c r="F245" s="0">
        <f>IF(D245=1,IFERROR(CHOOSE(MATCH("X",'7810'!G33:L33,0),"①","②","③","④","⑤","⑥"),""),"")</f>
        <v/>
      </c>
      <c r="G245" s="0">
        <f>IF(D245=1,IF('7810'!B33="","",'7810'!B33),"")</f>
        <v/>
      </c>
      <c r="H245" s="0">
        <f>IF(D245=1,'7810'!N33&amp;"","")</f>
        <v/>
      </c>
      <c r="I245" s="0">
        <f>IF(D245=1,'7810'!C33&amp;"","")</f>
        <v/>
      </c>
      <c r="J245" s="0">
        <f>IF(D245=1,'7810'!E33&amp;"","")</f>
        <v/>
      </c>
      <c r="K245" s="0">
        <f>IF(D245=1,'7810'!D33&amp;"","")</f>
        <v/>
      </c>
      <c r="L245" s="0">
        <f>IF(D245=1,IF('7810'!F33="","",'7810'!F33),"")</f>
        <v/>
      </c>
    </row>
    <row r="246">
      <c r="A246" s="0" t="inlineStr">
        <is>
          <t>7810 – School Law &amp; Policy</t>
        </is>
      </c>
      <c r="B246" s="0" t="inlineStr">
        <is>
          <t>7810</t>
        </is>
      </c>
      <c r="C246" s="0" t="n">
        <v>34</v>
      </c>
      <c r="D246" s="0">
        <f>IF(AND(UPPER(TRIM('7810'!A34))="CHOICE",LEN(TRIM('7810'!E34&amp;'7810'!F34))&gt;0),1,0)</f>
        <v/>
      </c>
      <c r="E246" s="0">
        <f>IF(D246=1,MAX(E$1:E245)+1,"")</f>
        <v/>
      </c>
      <c r="F246" s="0">
        <f>IF(D246=1,IFERROR(CHOOSE(MATCH("X",'7810'!G34:L34,0),"①","②","③","④","⑤","⑥"),""),"")</f>
        <v/>
      </c>
      <c r="G246" s="0">
        <f>IF(D246=1,IF('7810'!B34="","",'7810'!B34),"")</f>
        <v/>
      </c>
      <c r="H246" s="0">
        <f>IF(D246=1,'7810'!N34&amp;"","")</f>
        <v/>
      </c>
      <c r="I246" s="0">
        <f>IF(D246=1,'7810'!C34&amp;"","")</f>
        <v/>
      </c>
      <c r="J246" s="0">
        <f>IF(D246=1,'7810'!E34&amp;"","")</f>
        <v/>
      </c>
      <c r="K246" s="0">
        <f>IF(D246=1,'7810'!D34&amp;"","")</f>
        <v/>
      </c>
      <c r="L246" s="0">
        <f>IF(D246=1,IF('7810'!F34="","",'7810'!F34),"")</f>
        <v/>
      </c>
    </row>
    <row r="247">
      <c r="A247" s="0" t="inlineStr">
        <is>
          <t>7810 – School Law &amp; Policy</t>
        </is>
      </c>
      <c r="B247" s="0" t="inlineStr">
        <is>
          <t>7810</t>
        </is>
      </c>
      <c r="C247" s="0" t="n">
        <v>35</v>
      </c>
      <c r="D247" s="0">
        <f>IF(AND(UPPER(TRIM('7810'!A35))="CHOICE",LEN(TRIM('7810'!E35&amp;'7810'!F35))&gt;0),1,0)</f>
        <v/>
      </c>
      <c r="E247" s="0">
        <f>IF(D247=1,MAX(E$1:E246)+1,"")</f>
        <v/>
      </c>
      <c r="F247" s="0">
        <f>IF(D247=1,IFERROR(CHOOSE(MATCH("X",'7810'!G35:L35,0),"①","②","③","④","⑤","⑥"),""),"")</f>
        <v/>
      </c>
      <c r="G247" s="0">
        <f>IF(D247=1,IF('7810'!B35="","",'7810'!B35),"")</f>
        <v/>
      </c>
      <c r="H247" s="0">
        <f>IF(D247=1,'7810'!N35&amp;"","")</f>
        <v/>
      </c>
      <c r="I247" s="0">
        <f>IF(D247=1,'7810'!C35&amp;"","")</f>
        <v/>
      </c>
      <c r="J247" s="0">
        <f>IF(D247=1,'7810'!E35&amp;"","")</f>
        <v/>
      </c>
      <c r="K247" s="0">
        <f>IF(D247=1,'7810'!D35&amp;"","")</f>
        <v/>
      </c>
      <c r="L247" s="0">
        <f>IF(D247=1,IF('7810'!F35="","",'7810'!F35),"")</f>
        <v/>
      </c>
    </row>
    <row r="248">
      <c r="A248" s="0" t="inlineStr">
        <is>
          <t>7810 – School Law &amp; Policy</t>
        </is>
      </c>
      <c r="B248" s="0" t="inlineStr">
        <is>
          <t>7810</t>
        </is>
      </c>
      <c r="C248" s="0" t="n">
        <v>36</v>
      </c>
      <c r="D248" s="0">
        <f>IF(AND(UPPER(TRIM('7810'!A36))="CHOICE",LEN(TRIM('7810'!E36&amp;'7810'!F36))&gt;0),1,0)</f>
        <v/>
      </c>
      <c r="E248" s="0">
        <f>IF(D248=1,MAX(E$1:E247)+1,"")</f>
        <v/>
      </c>
      <c r="F248" s="0">
        <f>IF(D248=1,IFERROR(CHOOSE(MATCH("X",'7810'!G36:L36,0),"①","②","③","④","⑤","⑥"),""),"")</f>
        <v/>
      </c>
      <c r="G248" s="0">
        <f>IF(D248=1,IF('7810'!B36="","",'7810'!B36),"")</f>
        <v/>
      </c>
      <c r="H248" s="0">
        <f>IF(D248=1,'7810'!N36&amp;"","")</f>
        <v/>
      </c>
      <c r="I248" s="0">
        <f>IF(D248=1,'7810'!C36&amp;"","")</f>
        <v/>
      </c>
      <c r="J248" s="0">
        <f>IF(D248=1,'7810'!E36&amp;"","")</f>
        <v/>
      </c>
      <c r="K248" s="0">
        <f>IF(D248=1,'7810'!D36&amp;"","")</f>
        <v/>
      </c>
      <c r="L248" s="0">
        <f>IF(D248=1,IF('7810'!F36="","",'7810'!F36),"")</f>
        <v/>
      </c>
    </row>
    <row r="249">
      <c r="A249" s="0" t="inlineStr">
        <is>
          <t>7810 – School Law &amp; Policy</t>
        </is>
      </c>
      <c r="B249" s="0" t="inlineStr">
        <is>
          <t>7810</t>
        </is>
      </c>
      <c r="C249" s="0" t="n">
        <v>37</v>
      </c>
      <c r="D249" s="0">
        <f>IF(AND(UPPER(TRIM('7810'!A37))="CHOICE",LEN(TRIM('7810'!E37&amp;'7810'!F37))&gt;0),1,0)</f>
        <v/>
      </c>
      <c r="E249" s="0">
        <f>IF(D249=1,MAX(E$1:E248)+1,"")</f>
        <v/>
      </c>
      <c r="F249" s="0">
        <f>IF(D249=1,IFERROR(CHOOSE(MATCH("X",'7810'!G37:L37,0),"①","②","③","④","⑤","⑥"),""),"")</f>
        <v/>
      </c>
      <c r="G249" s="0">
        <f>IF(D249=1,IF('7810'!B37="","",'7810'!B37),"")</f>
        <v/>
      </c>
      <c r="H249" s="0">
        <f>IF(D249=1,'7810'!N37&amp;"","")</f>
        <v/>
      </c>
      <c r="I249" s="0">
        <f>IF(D249=1,'7810'!C37&amp;"","")</f>
        <v/>
      </c>
      <c r="J249" s="0">
        <f>IF(D249=1,'7810'!E37&amp;"","")</f>
        <v/>
      </c>
      <c r="K249" s="0">
        <f>IF(D249=1,'7810'!D37&amp;"","")</f>
        <v/>
      </c>
      <c r="L249" s="0">
        <f>IF(D249=1,IF('7810'!F37="","",'7810'!F37),"")</f>
        <v/>
      </c>
    </row>
    <row r="250">
      <c r="A250" s="0" t="inlineStr">
        <is>
          <t>7810 – School Law &amp; Policy</t>
        </is>
      </c>
      <c r="B250" s="0" t="inlineStr">
        <is>
          <t>7810</t>
        </is>
      </c>
      <c r="C250" s="0" t="n">
        <v>38</v>
      </c>
      <c r="D250" s="0">
        <f>IF(AND(UPPER(TRIM('7810'!A38))="CHOICE",LEN(TRIM('7810'!E38&amp;'7810'!F38))&gt;0),1,0)</f>
        <v/>
      </c>
      <c r="E250" s="0">
        <f>IF(D250=1,MAX(E$1:E249)+1,"")</f>
        <v/>
      </c>
      <c r="F250" s="0">
        <f>IF(D250=1,IFERROR(CHOOSE(MATCH("X",'7810'!G38:L38,0),"①","②","③","④","⑤","⑥"),""),"")</f>
        <v/>
      </c>
      <c r="G250" s="0">
        <f>IF(D250=1,IF('7810'!B38="","",'7810'!B38),"")</f>
        <v/>
      </c>
      <c r="H250" s="0">
        <f>IF(D250=1,'7810'!N38&amp;"","")</f>
        <v/>
      </c>
      <c r="I250" s="0">
        <f>IF(D250=1,'7810'!C38&amp;"","")</f>
        <v/>
      </c>
      <c r="J250" s="0">
        <f>IF(D250=1,'7810'!E38&amp;"","")</f>
        <v/>
      </c>
      <c r="K250" s="0">
        <f>IF(D250=1,'7810'!D38&amp;"","")</f>
        <v/>
      </c>
      <c r="L250" s="0">
        <f>IF(D250=1,IF('7810'!F38="","",'7810'!F38),"")</f>
        <v/>
      </c>
    </row>
    <row r="251">
      <c r="A251" s="0" t="inlineStr">
        <is>
          <t>7810 – School Law &amp; Policy</t>
        </is>
      </c>
      <c r="B251" s="0" t="inlineStr">
        <is>
          <t>7810</t>
        </is>
      </c>
      <c r="C251" s="0" t="n">
        <v>39</v>
      </c>
      <c r="D251" s="0">
        <f>IF(AND(UPPER(TRIM('7810'!A39))="CHOICE",LEN(TRIM('7810'!E39&amp;'7810'!F39))&gt;0),1,0)</f>
        <v/>
      </c>
      <c r="E251" s="0">
        <f>IF(D251=1,MAX(E$1:E250)+1,"")</f>
        <v/>
      </c>
      <c r="F251" s="0">
        <f>IF(D251=1,IFERROR(CHOOSE(MATCH("X",'7810'!G39:L39,0),"①","②","③","④","⑤","⑥"),""),"")</f>
        <v/>
      </c>
      <c r="G251" s="0">
        <f>IF(D251=1,IF('7810'!B39="","",'7810'!B39),"")</f>
        <v/>
      </c>
      <c r="H251" s="0">
        <f>IF(D251=1,'7810'!N39&amp;"","")</f>
        <v/>
      </c>
      <c r="I251" s="0">
        <f>IF(D251=1,'7810'!C39&amp;"","")</f>
        <v/>
      </c>
      <c r="J251" s="0">
        <f>IF(D251=1,'7810'!E39&amp;"","")</f>
        <v/>
      </c>
      <c r="K251" s="0">
        <f>IF(D251=1,'7810'!D39&amp;"","")</f>
        <v/>
      </c>
      <c r="L251" s="0">
        <f>IF(D251=1,IF('7810'!F39="","",'7810'!F39),"")</f>
        <v/>
      </c>
    </row>
    <row r="252">
      <c r="A252" s="0" t="inlineStr">
        <is>
          <t>7810 – School Law &amp; Policy</t>
        </is>
      </c>
      <c r="B252" s="0" t="inlineStr">
        <is>
          <t>7810</t>
        </is>
      </c>
      <c r="C252" s="0" t="n">
        <v>40</v>
      </c>
      <c r="D252" s="0">
        <f>IF(AND(UPPER(TRIM('7810'!A40))="CHOICE",LEN(TRIM('7810'!E40&amp;'7810'!F40))&gt;0),1,0)</f>
        <v/>
      </c>
      <c r="E252" s="0">
        <f>IF(D252=1,MAX(E$1:E251)+1,"")</f>
        <v/>
      </c>
      <c r="F252" s="0">
        <f>IF(D252=1,IFERROR(CHOOSE(MATCH("X",'7810'!G40:L40,0),"①","②","③","④","⑤","⑥"),""),"")</f>
        <v/>
      </c>
      <c r="G252" s="0">
        <f>IF(D252=1,IF('7810'!B40="","",'7810'!B40),"")</f>
        <v/>
      </c>
      <c r="H252" s="0">
        <f>IF(D252=1,'7810'!N40&amp;"","")</f>
        <v/>
      </c>
      <c r="I252" s="0">
        <f>IF(D252=1,'7810'!C40&amp;"","")</f>
        <v/>
      </c>
      <c r="J252" s="0">
        <f>IF(D252=1,'7810'!E40&amp;"","")</f>
        <v/>
      </c>
      <c r="K252" s="0">
        <f>IF(D252=1,'7810'!D40&amp;"","")</f>
        <v/>
      </c>
      <c r="L252" s="0">
        <f>IF(D252=1,IF('7810'!F40="","",'7810'!F40),"")</f>
        <v/>
      </c>
    </row>
    <row r="253">
      <c r="A253" s="0" t="inlineStr">
        <is>
          <t>7810 – School Law &amp; Policy</t>
        </is>
      </c>
      <c r="B253" s="0" t="inlineStr">
        <is>
          <t>7810</t>
        </is>
      </c>
      <c r="C253" s="0" t="n">
        <v>41</v>
      </c>
      <c r="D253" s="0">
        <f>IF(AND(UPPER(TRIM('7810'!A41))="CHOICE",LEN(TRIM('7810'!E41&amp;'7810'!F41))&gt;0),1,0)</f>
        <v/>
      </c>
      <c r="E253" s="0">
        <f>IF(D253=1,MAX(E$1:E252)+1,"")</f>
        <v/>
      </c>
      <c r="F253" s="0">
        <f>IF(D253=1,IFERROR(CHOOSE(MATCH("X",'7810'!G41:L41,0),"①","②","③","④","⑤","⑥"),""),"")</f>
        <v/>
      </c>
      <c r="G253" s="0">
        <f>IF(D253=1,IF('7810'!B41="","",'7810'!B41),"")</f>
        <v/>
      </c>
      <c r="H253" s="0">
        <f>IF(D253=1,'7810'!N41&amp;"","")</f>
        <v/>
      </c>
      <c r="I253" s="0">
        <f>IF(D253=1,'7810'!C41&amp;"","")</f>
        <v/>
      </c>
      <c r="J253" s="0">
        <f>IF(D253=1,'7810'!E41&amp;"","")</f>
        <v/>
      </c>
      <c r="K253" s="0">
        <f>IF(D253=1,'7810'!D41&amp;"","")</f>
        <v/>
      </c>
      <c r="L253" s="0">
        <f>IF(D253=1,IF('7810'!F41="","",'7810'!F41),"")</f>
        <v/>
      </c>
    </row>
    <row r="254">
      <c r="A254" s="0" t="inlineStr">
        <is>
          <t>7810 – School Law &amp; Policy</t>
        </is>
      </c>
      <c r="B254" s="0" t="inlineStr">
        <is>
          <t>7810</t>
        </is>
      </c>
      <c r="C254" s="0" t="n">
        <v>42</v>
      </c>
      <c r="D254" s="0">
        <f>IF(AND(UPPER(TRIM('7810'!A42))="CHOICE",LEN(TRIM('7810'!E42&amp;'7810'!F42))&gt;0),1,0)</f>
        <v/>
      </c>
      <c r="E254" s="0">
        <f>IF(D254=1,MAX(E$1:E253)+1,"")</f>
        <v/>
      </c>
      <c r="F254" s="0">
        <f>IF(D254=1,IFERROR(CHOOSE(MATCH("X",'7810'!G42:L42,0),"①","②","③","④","⑤","⑥"),""),"")</f>
        <v/>
      </c>
      <c r="G254" s="0">
        <f>IF(D254=1,IF('7810'!B42="","",'7810'!B42),"")</f>
        <v/>
      </c>
      <c r="H254" s="0">
        <f>IF(D254=1,'7810'!N42&amp;"","")</f>
        <v/>
      </c>
      <c r="I254" s="0">
        <f>IF(D254=1,'7810'!C42&amp;"","")</f>
        <v/>
      </c>
      <c r="J254" s="0">
        <f>IF(D254=1,'7810'!E42&amp;"","")</f>
        <v/>
      </c>
      <c r="K254" s="0">
        <f>IF(D254=1,'7810'!D42&amp;"","")</f>
        <v/>
      </c>
      <c r="L254" s="0">
        <f>IF(D254=1,IF('7810'!F42="","",'7810'!F42),"")</f>
        <v/>
      </c>
    </row>
    <row r="255">
      <c r="A255" s="0" t="inlineStr">
        <is>
          <t>7810 – School Law &amp; Policy</t>
        </is>
      </c>
      <c r="B255" s="0" t="inlineStr">
        <is>
          <t>7810</t>
        </is>
      </c>
      <c r="C255" s="0" t="n">
        <v>43</v>
      </c>
      <c r="D255" s="0">
        <f>IF(AND(UPPER(TRIM('7810'!A43))="CHOICE",LEN(TRIM('7810'!E43&amp;'7810'!F43))&gt;0),1,0)</f>
        <v/>
      </c>
      <c r="E255" s="0">
        <f>IF(D255=1,MAX(E$1:E254)+1,"")</f>
        <v/>
      </c>
      <c r="F255" s="0">
        <f>IF(D255=1,IFERROR(CHOOSE(MATCH("X",'7810'!G43:L43,0),"①","②","③","④","⑤","⑥"),""),"")</f>
        <v/>
      </c>
      <c r="G255" s="0">
        <f>IF(D255=1,IF('7810'!B43="","",'7810'!B43),"")</f>
        <v/>
      </c>
      <c r="H255" s="0">
        <f>IF(D255=1,'7810'!N43&amp;"","")</f>
        <v/>
      </c>
      <c r="I255" s="0">
        <f>IF(D255=1,'7810'!C43&amp;"","")</f>
        <v/>
      </c>
      <c r="J255" s="0">
        <f>IF(D255=1,'7810'!E43&amp;"","")</f>
        <v/>
      </c>
      <c r="K255" s="0">
        <f>IF(D255=1,'7810'!D43&amp;"","")</f>
        <v/>
      </c>
      <c r="L255" s="0">
        <f>IF(D255=1,IF('7810'!F43="","",'7810'!F43),"")</f>
        <v/>
      </c>
    </row>
    <row r="256">
      <c r="A256" s="0" t="inlineStr">
        <is>
          <t>7810 – School Law &amp; Policy</t>
        </is>
      </c>
      <c r="B256" s="0" t="inlineStr">
        <is>
          <t>7810</t>
        </is>
      </c>
      <c r="C256" s="0" t="n">
        <v>44</v>
      </c>
      <c r="D256" s="0">
        <f>IF(AND(UPPER(TRIM('7810'!A44))="CHOICE",LEN(TRIM('7810'!E44&amp;'7810'!F44))&gt;0),1,0)</f>
        <v/>
      </c>
      <c r="E256" s="0">
        <f>IF(D256=1,MAX(E$1:E255)+1,"")</f>
        <v/>
      </c>
      <c r="F256" s="0">
        <f>IF(D256=1,IFERROR(CHOOSE(MATCH("X",'7810'!G44:L44,0),"①","②","③","④","⑤","⑥"),""),"")</f>
        <v/>
      </c>
      <c r="G256" s="0">
        <f>IF(D256=1,IF('7810'!B44="","",'7810'!B44),"")</f>
        <v/>
      </c>
      <c r="H256" s="0">
        <f>IF(D256=1,'7810'!N44&amp;"","")</f>
        <v/>
      </c>
      <c r="I256" s="0">
        <f>IF(D256=1,'7810'!C44&amp;"","")</f>
        <v/>
      </c>
      <c r="J256" s="0">
        <f>IF(D256=1,'7810'!E44&amp;"","")</f>
        <v/>
      </c>
      <c r="K256" s="0">
        <f>IF(D256=1,'7810'!D44&amp;"","")</f>
        <v/>
      </c>
      <c r="L256" s="0">
        <f>IF(D256=1,IF('7810'!F44="","",'7810'!F44),"")</f>
        <v/>
      </c>
    </row>
    <row r="257">
      <c r="A257" s="0" t="inlineStr">
        <is>
          <t>7810 – School Law &amp; Policy</t>
        </is>
      </c>
      <c r="B257" s="0" t="inlineStr">
        <is>
          <t>7810</t>
        </is>
      </c>
      <c r="C257" s="0" t="n">
        <v>45</v>
      </c>
      <c r="D257" s="0">
        <f>IF(AND(UPPER(TRIM('7810'!A45))="CHOICE",LEN(TRIM('7810'!E45&amp;'7810'!F45))&gt;0),1,0)</f>
        <v/>
      </c>
      <c r="E257" s="0">
        <f>IF(D257=1,MAX(E$1:E256)+1,"")</f>
        <v/>
      </c>
      <c r="F257" s="0">
        <f>IF(D257=1,IFERROR(CHOOSE(MATCH("X",'7810'!G45:L45,0),"①","②","③","④","⑤","⑥"),""),"")</f>
        <v/>
      </c>
      <c r="G257" s="0">
        <f>IF(D257=1,IF('7810'!B45="","",'7810'!B45),"")</f>
        <v/>
      </c>
      <c r="H257" s="0">
        <f>IF(D257=1,'7810'!N45&amp;"","")</f>
        <v/>
      </c>
      <c r="I257" s="0">
        <f>IF(D257=1,'7810'!C45&amp;"","")</f>
        <v/>
      </c>
      <c r="J257" s="0">
        <f>IF(D257=1,'7810'!E45&amp;"","")</f>
        <v/>
      </c>
      <c r="K257" s="0">
        <f>IF(D257=1,'7810'!D45&amp;"","")</f>
        <v/>
      </c>
      <c r="L257" s="0">
        <f>IF(D257=1,IF('7810'!F45="","",'7810'!F45),"")</f>
        <v/>
      </c>
    </row>
    <row r="258">
      <c r="A258" s="0" t="inlineStr">
        <is>
          <t>7810 – School Law &amp; Policy</t>
        </is>
      </c>
      <c r="B258" s="0" t="inlineStr">
        <is>
          <t>7810</t>
        </is>
      </c>
      <c r="C258" s="0" t="n">
        <v>46</v>
      </c>
      <c r="D258" s="0">
        <f>IF(AND(UPPER(TRIM('7810'!A46))="CHOICE",LEN(TRIM('7810'!E46&amp;'7810'!F46))&gt;0),1,0)</f>
        <v/>
      </c>
      <c r="E258" s="0">
        <f>IF(D258=1,MAX(E$1:E257)+1,"")</f>
        <v/>
      </c>
      <c r="F258" s="0">
        <f>IF(D258=1,IFERROR(CHOOSE(MATCH("X",'7810'!G46:L46,0),"①","②","③","④","⑤","⑥"),""),"")</f>
        <v/>
      </c>
      <c r="G258" s="0">
        <f>IF(D258=1,IF('7810'!B46="","",'7810'!B46),"")</f>
        <v/>
      </c>
      <c r="H258" s="0">
        <f>IF(D258=1,'7810'!N46&amp;"","")</f>
        <v/>
      </c>
      <c r="I258" s="0">
        <f>IF(D258=1,'7810'!C46&amp;"","")</f>
        <v/>
      </c>
      <c r="J258" s="0">
        <f>IF(D258=1,'7810'!E46&amp;"","")</f>
        <v/>
      </c>
      <c r="K258" s="0">
        <f>IF(D258=1,'7810'!D46&amp;"","")</f>
        <v/>
      </c>
      <c r="L258" s="0">
        <f>IF(D258=1,IF('7810'!F46="","",'7810'!F46),"")</f>
        <v/>
      </c>
    </row>
    <row r="259">
      <c r="A259" s="0" t="inlineStr">
        <is>
          <t>7810 – School Law &amp; Policy</t>
        </is>
      </c>
      <c r="B259" s="0" t="inlineStr">
        <is>
          <t>7810</t>
        </is>
      </c>
      <c r="C259" s="0" t="n">
        <v>47</v>
      </c>
      <c r="D259" s="0">
        <f>IF(AND(UPPER(TRIM('7810'!A47))="CHOICE",LEN(TRIM('7810'!E47&amp;'7810'!F47))&gt;0),1,0)</f>
        <v/>
      </c>
      <c r="E259" s="0">
        <f>IF(D259=1,MAX(E$1:E258)+1,"")</f>
        <v/>
      </c>
      <c r="F259" s="0">
        <f>IF(D259=1,IFERROR(CHOOSE(MATCH("X",'7810'!G47:L47,0),"①","②","③","④","⑤","⑥"),""),"")</f>
        <v/>
      </c>
      <c r="G259" s="0">
        <f>IF(D259=1,IF('7810'!B47="","",'7810'!B47),"")</f>
        <v/>
      </c>
      <c r="H259" s="0">
        <f>IF(D259=1,'7810'!N47&amp;"","")</f>
        <v/>
      </c>
      <c r="I259" s="0">
        <f>IF(D259=1,'7810'!C47&amp;"","")</f>
        <v/>
      </c>
      <c r="J259" s="0">
        <f>IF(D259=1,'7810'!E47&amp;"","")</f>
        <v/>
      </c>
      <c r="K259" s="0">
        <f>IF(D259=1,'7810'!D47&amp;"","")</f>
        <v/>
      </c>
      <c r="L259" s="0">
        <f>IF(D259=1,IF('7810'!F47="","",'7810'!F47),"")</f>
        <v/>
      </c>
    </row>
    <row r="260">
      <c r="A260" s="0" t="inlineStr">
        <is>
          <t>7810 – School Law &amp; Policy</t>
        </is>
      </c>
      <c r="B260" s="0" t="inlineStr">
        <is>
          <t>7810</t>
        </is>
      </c>
      <c r="C260" s="0" t="n">
        <v>48</v>
      </c>
      <c r="D260" s="0">
        <f>IF(AND(UPPER(TRIM('7810'!A48))="CHOICE",LEN(TRIM('7810'!E48&amp;'7810'!F48))&gt;0),1,0)</f>
        <v/>
      </c>
      <c r="E260" s="0">
        <f>IF(D260=1,MAX(E$1:E259)+1,"")</f>
        <v/>
      </c>
      <c r="F260" s="0">
        <f>IF(D260=1,IFERROR(CHOOSE(MATCH("X",'7810'!G48:L48,0),"①","②","③","④","⑤","⑥"),""),"")</f>
        <v/>
      </c>
      <c r="G260" s="0">
        <f>IF(D260=1,IF('7810'!B48="","",'7810'!B48),"")</f>
        <v/>
      </c>
      <c r="H260" s="0">
        <f>IF(D260=1,'7810'!N48&amp;"","")</f>
        <v/>
      </c>
      <c r="I260" s="0">
        <f>IF(D260=1,'7810'!C48&amp;"","")</f>
        <v/>
      </c>
      <c r="J260" s="0">
        <f>IF(D260=1,'7810'!E48&amp;"","")</f>
        <v/>
      </c>
      <c r="K260" s="0">
        <f>IF(D260=1,'7810'!D48&amp;"","")</f>
        <v/>
      </c>
      <c r="L260" s="0">
        <f>IF(D260=1,IF('7810'!F48="","",'7810'!F48),"")</f>
        <v/>
      </c>
    </row>
    <row r="261">
      <c r="A261" s="0" t="inlineStr">
        <is>
          <t>7810 – School Law &amp; Policy</t>
        </is>
      </c>
      <c r="B261" s="0" t="inlineStr">
        <is>
          <t>7810</t>
        </is>
      </c>
      <c r="C261" s="0" t="n">
        <v>49</v>
      </c>
      <c r="D261" s="0">
        <f>IF(AND(UPPER(TRIM('7810'!A49))="CHOICE",LEN(TRIM('7810'!E49&amp;'7810'!F49))&gt;0),1,0)</f>
        <v/>
      </c>
      <c r="E261" s="0">
        <f>IF(D261=1,MAX(E$1:E260)+1,"")</f>
        <v/>
      </c>
      <c r="F261" s="0">
        <f>IF(D261=1,IFERROR(CHOOSE(MATCH("X",'7810'!G49:L49,0),"①","②","③","④","⑤","⑥"),""),"")</f>
        <v/>
      </c>
      <c r="G261" s="0">
        <f>IF(D261=1,IF('7810'!B49="","",'7810'!B49),"")</f>
        <v/>
      </c>
      <c r="H261" s="0">
        <f>IF(D261=1,'7810'!N49&amp;"","")</f>
        <v/>
      </c>
      <c r="I261" s="0">
        <f>IF(D261=1,'7810'!C49&amp;"","")</f>
        <v/>
      </c>
      <c r="J261" s="0">
        <f>IF(D261=1,'7810'!E49&amp;"","")</f>
        <v/>
      </c>
      <c r="K261" s="0">
        <f>IF(D261=1,'7810'!D49&amp;"","")</f>
        <v/>
      </c>
      <c r="L261" s="0">
        <f>IF(D261=1,IF('7810'!F49="","",'7810'!F49),"")</f>
        <v/>
      </c>
    </row>
    <row r="262">
      <c r="A262" s="0" t="inlineStr">
        <is>
          <t>7810 – School Law &amp; Policy</t>
        </is>
      </c>
      <c r="B262" s="0" t="inlineStr">
        <is>
          <t>7810</t>
        </is>
      </c>
      <c r="C262" s="0" t="n">
        <v>50</v>
      </c>
      <c r="D262" s="0">
        <f>IF(AND(UPPER(TRIM('7810'!A50))="CHOICE",LEN(TRIM('7810'!E50&amp;'7810'!F50))&gt;0),1,0)</f>
        <v/>
      </c>
      <c r="E262" s="0">
        <f>IF(D262=1,MAX(E$1:E261)+1,"")</f>
        <v/>
      </c>
      <c r="F262" s="0">
        <f>IF(D262=1,IFERROR(CHOOSE(MATCH("X",'7810'!G50:L50,0),"①","②","③","④","⑤","⑥"),""),"")</f>
        <v/>
      </c>
      <c r="G262" s="0">
        <f>IF(D262=1,IF('7810'!B50="","",'7810'!B50),"")</f>
        <v/>
      </c>
      <c r="H262" s="0">
        <f>IF(D262=1,'7810'!N50&amp;"","")</f>
        <v/>
      </c>
      <c r="I262" s="0">
        <f>IF(D262=1,'7810'!C50&amp;"","")</f>
        <v/>
      </c>
      <c r="J262" s="0">
        <f>IF(D262=1,'7810'!E50&amp;"","")</f>
        <v/>
      </c>
      <c r="K262" s="0">
        <f>IF(D262=1,'7810'!D50&amp;"","")</f>
        <v/>
      </c>
      <c r="L262" s="0">
        <f>IF(D262=1,IF('7810'!F50="","",'7810'!F50),"")</f>
        <v/>
      </c>
    </row>
    <row r="263">
      <c r="A263" s="0" t="inlineStr">
        <is>
          <t>7810 – School Law &amp; Policy</t>
        </is>
      </c>
      <c r="B263" s="0" t="inlineStr">
        <is>
          <t>7810</t>
        </is>
      </c>
      <c r="C263" s="0" t="n">
        <v>51</v>
      </c>
      <c r="D263" s="0">
        <f>IF(AND(UPPER(TRIM('7810'!A51))="CHOICE",LEN(TRIM('7810'!E51&amp;'7810'!F51))&gt;0),1,0)</f>
        <v/>
      </c>
      <c r="E263" s="0">
        <f>IF(D263=1,MAX(E$1:E262)+1,"")</f>
        <v/>
      </c>
      <c r="F263" s="0">
        <f>IF(D263=1,IFERROR(CHOOSE(MATCH("X",'7810'!G51:L51,0),"①","②","③","④","⑤","⑥"),""),"")</f>
        <v/>
      </c>
      <c r="G263" s="0">
        <f>IF(D263=1,IF('7810'!B51="","",'7810'!B51),"")</f>
        <v/>
      </c>
      <c r="H263" s="0">
        <f>IF(D263=1,'7810'!N51&amp;"","")</f>
        <v/>
      </c>
      <c r="I263" s="0">
        <f>IF(D263=1,'7810'!C51&amp;"","")</f>
        <v/>
      </c>
      <c r="J263" s="0">
        <f>IF(D263=1,'7810'!E51&amp;"","")</f>
        <v/>
      </c>
      <c r="K263" s="0">
        <f>IF(D263=1,'7810'!D51&amp;"","")</f>
        <v/>
      </c>
      <c r="L263" s="0">
        <f>IF(D263=1,IF('7810'!F51="","",'7810'!F51),"")</f>
        <v/>
      </c>
    </row>
    <row r="264">
      <c r="A264" s="0" t="inlineStr">
        <is>
          <t>7810 – School Law &amp; Policy</t>
        </is>
      </c>
      <c r="B264" s="0" t="inlineStr">
        <is>
          <t>7810</t>
        </is>
      </c>
      <c r="C264" s="0" t="n">
        <v>52</v>
      </c>
      <c r="D264" s="0">
        <f>IF(AND(UPPER(TRIM('7810'!A52))="CHOICE",LEN(TRIM('7810'!E52&amp;'7810'!F52))&gt;0),1,0)</f>
        <v/>
      </c>
      <c r="E264" s="0">
        <f>IF(D264=1,MAX(E$1:E263)+1,"")</f>
        <v/>
      </c>
      <c r="F264" s="0">
        <f>IF(D264=1,IFERROR(CHOOSE(MATCH("X",'7810'!G52:L52,0),"①","②","③","④","⑤","⑥"),""),"")</f>
        <v/>
      </c>
      <c r="G264" s="0">
        <f>IF(D264=1,IF('7810'!B52="","",'7810'!B52),"")</f>
        <v/>
      </c>
      <c r="H264" s="0">
        <f>IF(D264=1,'7810'!N52&amp;"","")</f>
        <v/>
      </c>
      <c r="I264" s="0">
        <f>IF(D264=1,'7810'!C52&amp;"","")</f>
        <v/>
      </c>
      <c r="J264" s="0">
        <f>IF(D264=1,'7810'!E52&amp;"","")</f>
        <v/>
      </c>
      <c r="K264" s="0">
        <f>IF(D264=1,'7810'!D52&amp;"","")</f>
        <v/>
      </c>
      <c r="L264" s="0">
        <f>IF(D264=1,IF('7810'!F52="","",'7810'!F52),"")</f>
        <v/>
      </c>
    </row>
    <row r="265">
      <c r="A265" s="0" t="inlineStr">
        <is>
          <t>7810 – School Law &amp; Policy</t>
        </is>
      </c>
      <c r="B265" s="0" t="inlineStr">
        <is>
          <t>7810</t>
        </is>
      </c>
      <c r="C265" s="0" t="n">
        <v>53</v>
      </c>
      <c r="D265" s="0">
        <f>IF(AND(UPPER(TRIM('7810'!A53))="CHOICE",LEN(TRIM('7810'!E53&amp;'7810'!F53))&gt;0),1,0)</f>
        <v/>
      </c>
      <c r="E265" s="0">
        <f>IF(D265=1,MAX(E$1:E264)+1,"")</f>
        <v/>
      </c>
      <c r="F265" s="0">
        <f>IF(D265=1,IFERROR(CHOOSE(MATCH("X",'7810'!G53:L53,0),"①","②","③","④","⑤","⑥"),""),"")</f>
        <v/>
      </c>
      <c r="G265" s="0">
        <f>IF(D265=1,IF('7810'!B53="","",'7810'!B53),"")</f>
        <v/>
      </c>
      <c r="H265" s="0">
        <f>IF(D265=1,'7810'!N53&amp;"","")</f>
        <v/>
      </c>
      <c r="I265" s="0">
        <f>IF(D265=1,'7810'!C53&amp;"","")</f>
        <v/>
      </c>
      <c r="J265" s="0">
        <f>IF(D265=1,'7810'!E53&amp;"","")</f>
        <v/>
      </c>
      <c r="K265" s="0">
        <f>IF(D265=1,'7810'!D53&amp;"","")</f>
        <v/>
      </c>
      <c r="L265" s="0">
        <f>IF(D265=1,IF('7810'!F53="","",'7810'!F53),"")</f>
        <v/>
      </c>
    </row>
    <row r="266">
      <c r="A266" s="0" t="inlineStr">
        <is>
          <t>7810 – School Law &amp; Policy</t>
        </is>
      </c>
      <c r="B266" s="0" t="inlineStr">
        <is>
          <t>7810</t>
        </is>
      </c>
      <c r="C266" s="0" t="n">
        <v>54</v>
      </c>
      <c r="D266" s="0">
        <f>IF(AND(UPPER(TRIM('7810'!A54))="CHOICE",LEN(TRIM('7810'!E54&amp;'7810'!F54))&gt;0),1,0)</f>
        <v/>
      </c>
      <c r="E266" s="0">
        <f>IF(D266=1,MAX(E$1:E265)+1,"")</f>
        <v/>
      </c>
      <c r="F266" s="0">
        <f>IF(D266=1,IFERROR(CHOOSE(MATCH("X",'7810'!G54:L54,0),"①","②","③","④","⑤","⑥"),""),"")</f>
        <v/>
      </c>
      <c r="G266" s="0">
        <f>IF(D266=1,IF('7810'!B54="","",'7810'!B54),"")</f>
        <v/>
      </c>
      <c r="H266" s="0">
        <f>IF(D266=1,'7810'!N54&amp;"","")</f>
        <v/>
      </c>
      <c r="I266" s="0">
        <f>IF(D266=1,'7810'!C54&amp;"","")</f>
        <v/>
      </c>
      <c r="J266" s="0">
        <f>IF(D266=1,'7810'!E54&amp;"","")</f>
        <v/>
      </c>
      <c r="K266" s="0">
        <f>IF(D266=1,'7810'!D54&amp;"","")</f>
        <v/>
      </c>
      <c r="L266" s="0">
        <f>IF(D266=1,IF('7810'!F54="","",'7810'!F54),"")</f>
        <v/>
      </c>
    </row>
    <row r="267">
      <c r="A267" s="0" t="inlineStr">
        <is>
          <t>7810 – School Law &amp; Policy</t>
        </is>
      </c>
      <c r="B267" s="0" t="inlineStr">
        <is>
          <t>7810</t>
        </is>
      </c>
      <c r="C267" s="0" t="n">
        <v>55</v>
      </c>
      <c r="D267" s="0">
        <f>IF(AND(UPPER(TRIM('7810'!A55))="CHOICE",LEN(TRIM('7810'!E55&amp;'7810'!F55))&gt;0),1,0)</f>
        <v/>
      </c>
      <c r="E267" s="0">
        <f>IF(D267=1,MAX(E$1:E266)+1,"")</f>
        <v/>
      </c>
      <c r="F267" s="0">
        <f>IF(D267=1,IFERROR(CHOOSE(MATCH("X",'7810'!G55:L55,0),"①","②","③","④","⑤","⑥"),""),"")</f>
        <v/>
      </c>
      <c r="G267" s="0">
        <f>IF(D267=1,IF('7810'!B55="","",'7810'!B55),"")</f>
        <v/>
      </c>
      <c r="H267" s="0">
        <f>IF(D267=1,'7810'!N55&amp;"","")</f>
        <v/>
      </c>
      <c r="I267" s="0">
        <f>IF(D267=1,'7810'!C55&amp;"","")</f>
        <v/>
      </c>
      <c r="J267" s="0">
        <f>IF(D267=1,'7810'!E55&amp;"","")</f>
        <v/>
      </c>
      <c r="K267" s="0">
        <f>IF(D267=1,'7810'!D55&amp;"","")</f>
        <v/>
      </c>
      <c r="L267" s="0">
        <f>IF(D267=1,IF('7810'!F55="","",'7810'!F55),"")</f>
        <v/>
      </c>
    </row>
    <row r="268">
      <c r="A268" s="0" t="inlineStr">
        <is>
          <t>7810 – School Law &amp; Policy</t>
        </is>
      </c>
      <c r="B268" s="0" t="inlineStr">
        <is>
          <t>7810</t>
        </is>
      </c>
      <c r="C268" s="0" t="n">
        <v>56</v>
      </c>
      <c r="D268" s="0">
        <f>IF(AND(UPPER(TRIM('7810'!A56))="CHOICE",LEN(TRIM('7810'!E56&amp;'7810'!F56))&gt;0),1,0)</f>
        <v/>
      </c>
      <c r="E268" s="0">
        <f>IF(D268=1,MAX(E$1:E267)+1,"")</f>
        <v/>
      </c>
      <c r="F268" s="0">
        <f>IF(D268=1,IFERROR(CHOOSE(MATCH("X",'7810'!G56:L56,0),"①","②","③","④","⑤","⑥"),""),"")</f>
        <v/>
      </c>
      <c r="G268" s="0">
        <f>IF(D268=1,IF('7810'!B56="","",'7810'!B56),"")</f>
        <v/>
      </c>
      <c r="H268" s="0">
        <f>IF(D268=1,'7810'!N56&amp;"","")</f>
        <v/>
      </c>
      <c r="I268" s="0">
        <f>IF(D268=1,'7810'!C56&amp;"","")</f>
        <v/>
      </c>
      <c r="J268" s="0">
        <f>IF(D268=1,'7810'!E56&amp;"","")</f>
        <v/>
      </c>
      <c r="K268" s="0">
        <f>IF(D268=1,'7810'!D56&amp;"","")</f>
        <v/>
      </c>
      <c r="L268" s="0">
        <f>IF(D268=1,IF('7810'!F56="","",'7810'!F56),"")</f>
        <v/>
      </c>
    </row>
    <row r="269">
      <c r="A269" s="0" t="inlineStr">
        <is>
          <t>7810 – School Law &amp; Policy</t>
        </is>
      </c>
      <c r="B269" s="0" t="inlineStr">
        <is>
          <t>7810</t>
        </is>
      </c>
      <c r="C269" s="0" t="n">
        <v>57</v>
      </c>
      <c r="D269" s="0">
        <f>IF(AND(UPPER(TRIM('7810'!A57))="CHOICE",LEN(TRIM('7810'!E57&amp;'7810'!F57))&gt;0),1,0)</f>
        <v/>
      </c>
      <c r="E269" s="0">
        <f>IF(D269=1,MAX(E$1:E268)+1,"")</f>
        <v/>
      </c>
      <c r="F269" s="0">
        <f>IF(D269=1,IFERROR(CHOOSE(MATCH("X",'7810'!G57:L57,0),"①","②","③","④","⑤","⑥"),""),"")</f>
        <v/>
      </c>
      <c r="G269" s="0">
        <f>IF(D269=1,IF('7810'!B57="","",'7810'!B57),"")</f>
        <v/>
      </c>
      <c r="H269" s="0">
        <f>IF(D269=1,'7810'!N57&amp;"","")</f>
        <v/>
      </c>
      <c r="I269" s="0">
        <f>IF(D269=1,'7810'!C57&amp;"","")</f>
        <v/>
      </c>
      <c r="J269" s="0">
        <f>IF(D269=1,'7810'!E57&amp;"","")</f>
        <v/>
      </c>
      <c r="K269" s="0">
        <f>IF(D269=1,'7810'!D57&amp;"","")</f>
        <v/>
      </c>
      <c r="L269" s="0">
        <f>IF(D269=1,IF('7810'!F57="","",'7810'!F57),"")</f>
        <v/>
      </c>
    </row>
    <row r="270">
      <c r="A270" s="0" t="inlineStr">
        <is>
          <t>7810 – School Law &amp; Policy</t>
        </is>
      </c>
      <c r="B270" s="0" t="inlineStr">
        <is>
          <t>7810</t>
        </is>
      </c>
      <c r="C270" s="0" t="n">
        <v>58</v>
      </c>
      <c r="D270" s="0">
        <f>IF(AND(UPPER(TRIM('7810'!A58))="CHOICE",LEN(TRIM('7810'!E58&amp;'7810'!F58))&gt;0),1,0)</f>
        <v/>
      </c>
      <c r="E270" s="0">
        <f>IF(D270=1,MAX(E$1:E269)+1,"")</f>
        <v/>
      </c>
      <c r="F270" s="0">
        <f>IF(D270=1,IFERROR(CHOOSE(MATCH("X",'7810'!G58:L58,0),"①","②","③","④","⑤","⑥"),""),"")</f>
        <v/>
      </c>
      <c r="G270" s="0">
        <f>IF(D270=1,IF('7810'!B58="","",'7810'!B58),"")</f>
        <v/>
      </c>
      <c r="H270" s="0">
        <f>IF(D270=1,'7810'!N58&amp;"","")</f>
        <v/>
      </c>
      <c r="I270" s="0">
        <f>IF(D270=1,'7810'!C58&amp;"","")</f>
        <v/>
      </c>
      <c r="J270" s="0">
        <f>IF(D270=1,'7810'!E58&amp;"","")</f>
        <v/>
      </c>
      <c r="K270" s="0">
        <f>IF(D270=1,'7810'!D58&amp;"","")</f>
        <v/>
      </c>
      <c r="L270" s="0">
        <f>IF(D270=1,IF('7810'!F58="","",'7810'!F58),"")</f>
        <v/>
      </c>
    </row>
    <row r="271">
      <c r="A271" s="0" t="inlineStr">
        <is>
          <t>7810 – School Law &amp; Policy</t>
        </is>
      </c>
      <c r="B271" s="0" t="inlineStr">
        <is>
          <t>7810</t>
        </is>
      </c>
      <c r="C271" s="0" t="n">
        <v>59</v>
      </c>
      <c r="D271" s="0">
        <f>IF(AND(UPPER(TRIM('7810'!A59))="CHOICE",LEN(TRIM('7810'!E59&amp;'7810'!F59))&gt;0),1,0)</f>
        <v/>
      </c>
      <c r="E271" s="0">
        <f>IF(D271=1,MAX(E$1:E270)+1,"")</f>
        <v/>
      </c>
      <c r="F271" s="0">
        <f>IF(D271=1,IFERROR(CHOOSE(MATCH("X",'7810'!G59:L59,0),"①","②","③","④","⑤","⑥"),""),"")</f>
        <v/>
      </c>
      <c r="G271" s="0">
        <f>IF(D271=1,IF('7810'!B59="","",'7810'!B59),"")</f>
        <v/>
      </c>
      <c r="H271" s="0">
        <f>IF(D271=1,'7810'!N59&amp;"","")</f>
        <v/>
      </c>
      <c r="I271" s="0">
        <f>IF(D271=1,'7810'!C59&amp;"","")</f>
        <v/>
      </c>
      <c r="J271" s="0">
        <f>IF(D271=1,'7810'!E59&amp;"","")</f>
        <v/>
      </c>
      <c r="K271" s="0">
        <f>IF(D271=1,'7810'!D59&amp;"","")</f>
        <v/>
      </c>
      <c r="L271" s="0">
        <f>IF(D271=1,IF('7810'!F59="","",'7810'!F59),"")</f>
        <v/>
      </c>
    </row>
    <row r="272">
      <c r="A272" s="0" t="inlineStr">
        <is>
          <t>7140 – Leadership II (LEAD II)</t>
        </is>
      </c>
      <c r="B272" s="0" t="inlineStr">
        <is>
          <t>7140</t>
        </is>
      </c>
      <c r="C272" s="0" t="n">
        <v>6</v>
      </c>
      <c r="D272" s="0">
        <f>IF(AND(UPPER(TRIM('7140'!A6))="CHOICE",LEN(TRIM('7140'!E6&amp;'7140'!F6))&gt;0),1,0)</f>
        <v/>
      </c>
      <c r="E272" s="0">
        <f>IF(D272=1,MAX(E$1:E271)+1,"")</f>
        <v/>
      </c>
      <c r="F272" s="0">
        <f>IF(D272=1,IFERROR(CHOOSE(MATCH("X",'7140'!G6:L6,0),"①","②","③","④","⑤","⑥"),""),"")</f>
        <v/>
      </c>
      <c r="G272" s="0">
        <f>IF(D272=1,IF('7140'!B6="","",'7140'!B6),"")</f>
        <v/>
      </c>
      <c r="H272" s="0">
        <f>IF(D272=1,'7140'!N6&amp;"","")</f>
        <v/>
      </c>
      <c r="I272" s="0">
        <f>IF(D272=1,'7140'!C6&amp;"","")</f>
        <v/>
      </c>
      <c r="J272" s="0">
        <f>IF(D272=1,'7140'!E6&amp;"","")</f>
        <v/>
      </c>
      <c r="K272" s="0">
        <f>IF(D272=1,'7140'!D6&amp;"","")</f>
        <v/>
      </c>
      <c r="L272" s="0">
        <f>IF(D272=1,IF('7140'!F6="","",'7140'!F6),"")</f>
        <v/>
      </c>
    </row>
    <row r="273">
      <c r="A273" s="0" t="inlineStr">
        <is>
          <t>7140 – Leadership II (LEAD II)</t>
        </is>
      </c>
      <c r="B273" s="0" t="inlineStr">
        <is>
          <t>7140</t>
        </is>
      </c>
      <c r="C273" s="0" t="n">
        <v>7</v>
      </c>
      <c r="D273" s="0">
        <f>IF(AND(UPPER(TRIM('7140'!A7))="CHOICE",LEN(TRIM('7140'!E7&amp;'7140'!F7))&gt;0),1,0)</f>
        <v/>
      </c>
      <c r="E273" s="0">
        <f>IF(D273=1,MAX(E$1:E272)+1,"")</f>
        <v/>
      </c>
      <c r="F273" s="0">
        <f>IF(D273=1,IFERROR(CHOOSE(MATCH("X",'7140'!G7:L7,0),"①","②","③","④","⑤","⑥"),""),"")</f>
        <v/>
      </c>
      <c r="G273" s="0">
        <f>IF(D273=1,IF('7140'!B7="","",'7140'!B7),"")</f>
        <v/>
      </c>
      <c r="H273" s="0">
        <f>IF(D273=1,'7140'!N7&amp;"","")</f>
        <v/>
      </c>
      <c r="I273" s="0">
        <f>IF(D273=1,'7140'!C7&amp;"","")</f>
        <v/>
      </c>
      <c r="J273" s="0">
        <f>IF(D273=1,'7140'!E7&amp;"","")</f>
        <v/>
      </c>
      <c r="K273" s="0">
        <f>IF(D273=1,'7140'!D7&amp;"","")</f>
        <v/>
      </c>
      <c r="L273" s="0">
        <f>IF(D273=1,IF('7140'!F7="","",'7140'!F7),"")</f>
        <v/>
      </c>
    </row>
    <row r="274">
      <c r="A274" s="0" t="inlineStr">
        <is>
          <t>7140 – Leadership II (LEAD II)</t>
        </is>
      </c>
      <c r="B274" s="0" t="inlineStr">
        <is>
          <t>7140</t>
        </is>
      </c>
      <c r="C274" s="0" t="n">
        <v>8</v>
      </c>
      <c r="D274" s="0">
        <f>IF(AND(UPPER(TRIM('7140'!A8))="CHOICE",LEN(TRIM('7140'!E8&amp;'7140'!F8))&gt;0),1,0)</f>
        <v/>
      </c>
      <c r="E274" s="0">
        <f>IF(D274=1,MAX(E$1:E273)+1,"")</f>
        <v/>
      </c>
      <c r="F274" s="0">
        <f>IF(D274=1,IFERROR(CHOOSE(MATCH("X",'7140'!G8:L8,0),"①","②","③","④","⑤","⑥"),""),"")</f>
        <v/>
      </c>
      <c r="G274" s="0">
        <f>IF(D274=1,IF('7140'!B8="","",'7140'!B8),"")</f>
        <v/>
      </c>
      <c r="H274" s="0">
        <f>IF(D274=1,'7140'!N8&amp;"","")</f>
        <v/>
      </c>
      <c r="I274" s="0">
        <f>IF(D274=1,'7140'!C8&amp;"","")</f>
        <v/>
      </c>
      <c r="J274" s="0">
        <f>IF(D274=1,'7140'!E8&amp;"","")</f>
        <v/>
      </c>
      <c r="K274" s="0">
        <f>IF(D274=1,'7140'!D8&amp;"","")</f>
        <v/>
      </c>
      <c r="L274" s="0">
        <f>IF(D274=1,IF('7140'!F8="","",'7140'!F8),"")</f>
        <v/>
      </c>
    </row>
    <row r="275">
      <c r="A275" s="0" t="inlineStr">
        <is>
          <t>7140 – Leadership II (LEAD II)</t>
        </is>
      </c>
      <c r="B275" s="0" t="inlineStr">
        <is>
          <t>7140</t>
        </is>
      </c>
      <c r="C275" s="0" t="n">
        <v>9</v>
      </c>
      <c r="D275" s="0">
        <f>IF(AND(UPPER(TRIM('7140'!A9))="CHOICE",LEN(TRIM('7140'!E9&amp;'7140'!F9))&gt;0),1,0)</f>
        <v/>
      </c>
      <c r="E275" s="0">
        <f>IF(D275=1,MAX(E$1:E274)+1,"")</f>
        <v/>
      </c>
      <c r="F275" s="0">
        <f>IF(D275=1,IFERROR(CHOOSE(MATCH("X",'7140'!G9:L9,0),"①","②","③","④","⑤","⑥"),""),"")</f>
        <v/>
      </c>
      <c r="G275" s="0">
        <f>IF(D275=1,IF('7140'!B9="","",'7140'!B9),"")</f>
        <v/>
      </c>
      <c r="H275" s="0">
        <f>IF(D275=1,'7140'!N9&amp;"","")</f>
        <v/>
      </c>
      <c r="I275" s="0">
        <f>IF(D275=1,'7140'!C9&amp;"","")</f>
        <v/>
      </c>
      <c r="J275" s="0">
        <f>IF(D275=1,'7140'!E9&amp;"","")</f>
        <v/>
      </c>
      <c r="K275" s="0">
        <f>IF(D275=1,'7140'!D9&amp;"","")</f>
        <v/>
      </c>
      <c r="L275" s="0">
        <f>IF(D275=1,IF('7140'!F9="","",'7140'!F9),"")</f>
        <v/>
      </c>
    </row>
    <row r="276">
      <c r="A276" s="0" t="inlineStr">
        <is>
          <t>7140 – Leadership II (LEAD II)</t>
        </is>
      </c>
      <c r="B276" s="0" t="inlineStr">
        <is>
          <t>7140</t>
        </is>
      </c>
      <c r="C276" s="0" t="n">
        <v>10</v>
      </c>
      <c r="D276" s="0">
        <f>IF(AND(UPPER(TRIM('7140'!A10))="CHOICE",LEN(TRIM('7140'!E10&amp;'7140'!F10))&gt;0),1,0)</f>
        <v/>
      </c>
      <c r="E276" s="0">
        <f>IF(D276=1,MAX(E$1:E275)+1,"")</f>
        <v/>
      </c>
      <c r="F276" s="0">
        <f>IF(D276=1,IFERROR(CHOOSE(MATCH("X",'7140'!G10:L10,0),"①","②","③","④","⑤","⑥"),""),"")</f>
        <v/>
      </c>
      <c r="G276" s="0">
        <f>IF(D276=1,IF('7140'!B10="","",'7140'!B10),"")</f>
        <v/>
      </c>
      <c r="H276" s="0">
        <f>IF(D276=1,'7140'!N10&amp;"","")</f>
        <v/>
      </c>
      <c r="I276" s="0">
        <f>IF(D276=1,'7140'!C10&amp;"","")</f>
        <v/>
      </c>
      <c r="J276" s="0">
        <f>IF(D276=1,'7140'!E10&amp;"","")</f>
        <v/>
      </c>
      <c r="K276" s="0">
        <f>IF(D276=1,'7140'!D10&amp;"","")</f>
        <v/>
      </c>
      <c r="L276" s="0">
        <f>IF(D276=1,IF('7140'!F10="","",'7140'!F10),"")</f>
        <v/>
      </c>
    </row>
    <row r="277">
      <c r="A277" s="0" t="inlineStr">
        <is>
          <t>7140 – Leadership II (LEAD II)</t>
        </is>
      </c>
      <c r="B277" s="0" t="inlineStr">
        <is>
          <t>7140</t>
        </is>
      </c>
      <c r="C277" s="0" t="n">
        <v>11</v>
      </c>
      <c r="D277" s="0">
        <f>IF(AND(UPPER(TRIM('7140'!A11))="CHOICE",LEN(TRIM('7140'!E11&amp;'7140'!F11))&gt;0),1,0)</f>
        <v/>
      </c>
      <c r="E277" s="0">
        <f>IF(D277=1,MAX(E$1:E276)+1,"")</f>
        <v/>
      </c>
      <c r="F277" s="0">
        <f>IF(D277=1,IFERROR(CHOOSE(MATCH("X",'7140'!G11:L11,0),"①","②","③","④","⑤","⑥"),""),"")</f>
        <v/>
      </c>
      <c r="G277" s="0">
        <f>IF(D277=1,IF('7140'!B11="","",'7140'!B11),"")</f>
        <v/>
      </c>
      <c r="H277" s="0">
        <f>IF(D277=1,'7140'!N11&amp;"","")</f>
        <v/>
      </c>
      <c r="I277" s="0">
        <f>IF(D277=1,'7140'!C11&amp;"","")</f>
        <v/>
      </c>
      <c r="J277" s="0">
        <f>IF(D277=1,'7140'!E11&amp;"","")</f>
        <v/>
      </c>
      <c r="K277" s="0">
        <f>IF(D277=1,'7140'!D11&amp;"","")</f>
        <v/>
      </c>
      <c r="L277" s="0">
        <f>IF(D277=1,IF('7140'!F11="","",'7140'!F11),"")</f>
        <v/>
      </c>
    </row>
    <row r="278">
      <c r="A278" s="0" t="inlineStr">
        <is>
          <t>7140 – Leadership II (LEAD II)</t>
        </is>
      </c>
      <c r="B278" s="0" t="inlineStr">
        <is>
          <t>7140</t>
        </is>
      </c>
      <c r="C278" s="0" t="n">
        <v>12</v>
      </c>
      <c r="D278" s="0">
        <f>IF(AND(UPPER(TRIM('7140'!A12))="CHOICE",LEN(TRIM('7140'!E12&amp;'7140'!F12))&gt;0),1,0)</f>
        <v/>
      </c>
      <c r="E278" s="0">
        <f>IF(D278=1,MAX(E$1:E277)+1,"")</f>
        <v/>
      </c>
      <c r="F278" s="0">
        <f>IF(D278=1,IFERROR(CHOOSE(MATCH("X",'7140'!G12:L12,0),"①","②","③","④","⑤","⑥"),""),"")</f>
        <v/>
      </c>
      <c r="G278" s="0">
        <f>IF(D278=1,IF('7140'!B12="","",'7140'!B12),"")</f>
        <v/>
      </c>
      <c r="H278" s="0">
        <f>IF(D278=1,'7140'!N12&amp;"","")</f>
        <v/>
      </c>
      <c r="I278" s="0">
        <f>IF(D278=1,'7140'!C12&amp;"","")</f>
        <v/>
      </c>
      <c r="J278" s="0">
        <f>IF(D278=1,'7140'!E12&amp;"","")</f>
        <v/>
      </c>
      <c r="K278" s="0">
        <f>IF(D278=1,'7140'!D12&amp;"","")</f>
        <v/>
      </c>
      <c r="L278" s="0">
        <f>IF(D278=1,IF('7140'!F12="","",'7140'!F12),"")</f>
        <v/>
      </c>
    </row>
    <row r="279">
      <c r="A279" s="0" t="inlineStr">
        <is>
          <t>7140 – Leadership II (LEAD II)</t>
        </is>
      </c>
      <c r="B279" s="0" t="inlineStr">
        <is>
          <t>7140</t>
        </is>
      </c>
      <c r="C279" s="0" t="n">
        <v>13</v>
      </c>
      <c r="D279" s="0">
        <f>IF(AND(UPPER(TRIM('7140'!A13))="CHOICE",LEN(TRIM('7140'!E13&amp;'7140'!F13))&gt;0),1,0)</f>
        <v/>
      </c>
      <c r="E279" s="0">
        <f>IF(D279=1,MAX(E$1:E278)+1,"")</f>
        <v/>
      </c>
      <c r="F279" s="0">
        <f>IF(D279=1,IFERROR(CHOOSE(MATCH("X",'7140'!G13:L13,0),"①","②","③","④","⑤","⑥"),""),"")</f>
        <v/>
      </c>
      <c r="G279" s="0">
        <f>IF(D279=1,IF('7140'!B13="","",'7140'!B13),"")</f>
        <v/>
      </c>
      <c r="H279" s="0">
        <f>IF(D279=1,'7140'!N13&amp;"","")</f>
        <v/>
      </c>
      <c r="I279" s="0">
        <f>IF(D279=1,'7140'!C13&amp;"","")</f>
        <v/>
      </c>
      <c r="J279" s="0">
        <f>IF(D279=1,'7140'!E13&amp;"","")</f>
        <v/>
      </c>
      <c r="K279" s="0">
        <f>IF(D279=1,'7140'!D13&amp;"","")</f>
        <v/>
      </c>
      <c r="L279" s="0">
        <f>IF(D279=1,IF('7140'!F13="","",'7140'!F13),"")</f>
        <v/>
      </c>
    </row>
    <row r="280">
      <c r="A280" s="0" t="inlineStr">
        <is>
          <t>7140 – Leadership II (LEAD II)</t>
        </is>
      </c>
      <c r="B280" s="0" t="inlineStr">
        <is>
          <t>7140</t>
        </is>
      </c>
      <c r="C280" s="0" t="n">
        <v>14</v>
      </c>
      <c r="D280" s="0">
        <f>IF(AND(UPPER(TRIM('7140'!A14))="CHOICE",LEN(TRIM('7140'!E14&amp;'7140'!F14))&gt;0),1,0)</f>
        <v/>
      </c>
      <c r="E280" s="0">
        <f>IF(D280=1,MAX(E$1:E279)+1,"")</f>
        <v/>
      </c>
      <c r="F280" s="0">
        <f>IF(D280=1,IFERROR(CHOOSE(MATCH("X",'7140'!G14:L14,0),"①","②","③","④","⑤","⑥"),""),"")</f>
        <v/>
      </c>
      <c r="G280" s="0">
        <f>IF(D280=1,IF('7140'!B14="","",'7140'!B14),"")</f>
        <v/>
      </c>
      <c r="H280" s="0">
        <f>IF(D280=1,'7140'!N14&amp;"","")</f>
        <v/>
      </c>
      <c r="I280" s="0">
        <f>IF(D280=1,'7140'!C14&amp;"","")</f>
        <v/>
      </c>
      <c r="J280" s="0">
        <f>IF(D280=1,'7140'!E14&amp;"","")</f>
        <v/>
      </c>
      <c r="K280" s="0">
        <f>IF(D280=1,'7140'!D14&amp;"","")</f>
        <v/>
      </c>
      <c r="L280" s="0">
        <f>IF(D280=1,IF('7140'!F14="","",'7140'!F14),"")</f>
        <v/>
      </c>
    </row>
    <row r="281">
      <c r="A281" s="0" t="inlineStr">
        <is>
          <t>7140 – Leadership II (LEAD II)</t>
        </is>
      </c>
      <c r="B281" s="0" t="inlineStr">
        <is>
          <t>7140</t>
        </is>
      </c>
      <c r="C281" s="0" t="n">
        <v>15</v>
      </c>
      <c r="D281" s="0">
        <f>IF(AND(UPPER(TRIM('7140'!A15))="CHOICE",LEN(TRIM('7140'!E15&amp;'7140'!F15))&gt;0),1,0)</f>
        <v/>
      </c>
      <c r="E281" s="0">
        <f>IF(D281=1,MAX(E$1:E280)+1,"")</f>
        <v/>
      </c>
      <c r="F281" s="0">
        <f>IF(D281=1,IFERROR(CHOOSE(MATCH("X",'7140'!G15:L15,0),"①","②","③","④","⑤","⑥"),""),"")</f>
        <v/>
      </c>
      <c r="G281" s="0">
        <f>IF(D281=1,IF('7140'!B15="","",'7140'!B15),"")</f>
        <v/>
      </c>
      <c r="H281" s="0">
        <f>IF(D281=1,'7140'!N15&amp;"","")</f>
        <v/>
      </c>
      <c r="I281" s="0">
        <f>IF(D281=1,'7140'!C15&amp;"","")</f>
        <v/>
      </c>
      <c r="J281" s="0">
        <f>IF(D281=1,'7140'!E15&amp;"","")</f>
        <v/>
      </c>
      <c r="K281" s="0">
        <f>IF(D281=1,'7140'!D15&amp;"","")</f>
        <v/>
      </c>
      <c r="L281" s="0">
        <f>IF(D281=1,IF('7140'!F15="","",'7140'!F15),"")</f>
        <v/>
      </c>
    </row>
    <row r="282">
      <c r="A282" s="0" t="inlineStr">
        <is>
          <t>7140 – Leadership II (LEAD II)</t>
        </is>
      </c>
      <c r="B282" s="0" t="inlineStr">
        <is>
          <t>7140</t>
        </is>
      </c>
      <c r="C282" s="0" t="n">
        <v>16</v>
      </c>
      <c r="D282" s="0">
        <f>IF(AND(UPPER(TRIM('7140'!A16))="CHOICE",LEN(TRIM('7140'!E16&amp;'7140'!F16))&gt;0),1,0)</f>
        <v/>
      </c>
      <c r="E282" s="0">
        <f>IF(D282=1,MAX(E$1:E281)+1,"")</f>
        <v/>
      </c>
      <c r="F282" s="0">
        <f>IF(D282=1,IFERROR(CHOOSE(MATCH("X",'7140'!G16:L16,0),"①","②","③","④","⑤","⑥"),""),"")</f>
        <v/>
      </c>
      <c r="G282" s="0">
        <f>IF(D282=1,IF('7140'!B16="","",'7140'!B16),"")</f>
        <v/>
      </c>
      <c r="H282" s="0">
        <f>IF(D282=1,'7140'!N16&amp;"","")</f>
        <v/>
      </c>
      <c r="I282" s="0">
        <f>IF(D282=1,'7140'!C16&amp;"","")</f>
        <v/>
      </c>
      <c r="J282" s="0">
        <f>IF(D282=1,'7140'!E16&amp;"","")</f>
        <v/>
      </c>
      <c r="K282" s="0">
        <f>IF(D282=1,'7140'!D16&amp;"","")</f>
        <v/>
      </c>
      <c r="L282" s="0">
        <f>IF(D282=1,IF('7140'!F16="","",'7140'!F16),"")</f>
        <v/>
      </c>
    </row>
    <row r="283">
      <c r="A283" s="0" t="inlineStr">
        <is>
          <t>7140 – Leadership II (LEAD II)</t>
        </is>
      </c>
      <c r="B283" s="0" t="inlineStr">
        <is>
          <t>7140</t>
        </is>
      </c>
      <c r="C283" s="0" t="n">
        <v>17</v>
      </c>
      <c r="D283" s="0">
        <f>IF(AND(UPPER(TRIM('7140'!A17))="CHOICE",LEN(TRIM('7140'!E17&amp;'7140'!F17))&gt;0),1,0)</f>
        <v/>
      </c>
      <c r="E283" s="0">
        <f>IF(D283=1,MAX(E$1:E282)+1,"")</f>
        <v/>
      </c>
      <c r="F283" s="0">
        <f>IF(D283=1,IFERROR(CHOOSE(MATCH("X",'7140'!G17:L17,0),"①","②","③","④","⑤","⑥"),""),"")</f>
        <v/>
      </c>
      <c r="G283" s="0">
        <f>IF(D283=1,IF('7140'!B17="","",'7140'!B17),"")</f>
        <v/>
      </c>
      <c r="H283" s="0">
        <f>IF(D283=1,'7140'!N17&amp;"","")</f>
        <v/>
      </c>
      <c r="I283" s="0">
        <f>IF(D283=1,'7140'!C17&amp;"","")</f>
        <v/>
      </c>
      <c r="J283" s="0">
        <f>IF(D283=1,'7140'!E17&amp;"","")</f>
        <v/>
      </c>
      <c r="K283" s="0">
        <f>IF(D283=1,'7140'!D17&amp;"","")</f>
        <v/>
      </c>
      <c r="L283" s="0">
        <f>IF(D283=1,IF('7140'!F17="","",'7140'!F17),"")</f>
        <v/>
      </c>
    </row>
    <row r="284">
      <c r="A284" s="0" t="inlineStr">
        <is>
          <t>7140 – Leadership II (LEAD II)</t>
        </is>
      </c>
      <c r="B284" s="0" t="inlineStr">
        <is>
          <t>7140</t>
        </is>
      </c>
      <c r="C284" s="0" t="n">
        <v>18</v>
      </c>
      <c r="D284" s="0">
        <f>IF(AND(UPPER(TRIM('7140'!A18))="CHOICE",LEN(TRIM('7140'!E18&amp;'7140'!F18))&gt;0),1,0)</f>
        <v/>
      </c>
      <c r="E284" s="0">
        <f>IF(D284=1,MAX(E$1:E283)+1,"")</f>
        <v/>
      </c>
      <c r="F284" s="0">
        <f>IF(D284=1,IFERROR(CHOOSE(MATCH("X",'7140'!G18:L18,0),"①","②","③","④","⑤","⑥"),""),"")</f>
        <v/>
      </c>
      <c r="G284" s="0">
        <f>IF(D284=1,IF('7140'!B18="","",'7140'!B18),"")</f>
        <v/>
      </c>
      <c r="H284" s="0">
        <f>IF(D284=1,'7140'!N18&amp;"","")</f>
        <v/>
      </c>
      <c r="I284" s="0">
        <f>IF(D284=1,'7140'!C18&amp;"","")</f>
        <v/>
      </c>
      <c r="J284" s="0">
        <f>IF(D284=1,'7140'!E18&amp;"","")</f>
        <v/>
      </c>
      <c r="K284" s="0">
        <f>IF(D284=1,'7140'!D18&amp;"","")</f>
        <v/>
      </c>
      <c r="L284" s="0">
        <f>IF(D284=1,IF('7140'!F18="","",'7140'!F18),"")</f>
        <v/>
      </c>
    </row>
    <row r="285">
      <c r="A285" s="0" t="inlineStr">
        <is>
          <t>7140 – Leadership II (LEAD II)</t>
        </is>
      </c>
      <c r="B285" s="0" t="inlineStr">
        <is>
          <t>7140</t>
        </is>
      </c>
      <c r="C285" s="0" t="n">
        <v>19</v>
      </c>
      <c r="D285" s="0">
        <f>IF(AND(UPPER(TRIM('7140'!A19))="CHOICE",LEN(TRIM('7140'!E19&amp;'7140'!F19))&gt;0),1,0)</f>
        <v/>
      </c>
      <c r="E285" s="0">
        <f>IF(D285=1,MAX(E$1:E284)+1,"")</f>
        <v/>
      </c>
      <c r="F285" s="0">
        <f>IF(D285=1,IFERROR(CHOOSE(MATCH("X",'7140'!G19:L19,0),"①","②","③","④","⑤","⑥"),""),"")</f>
        <v/>
      </c>
      <c r="G285" s="0">
        <f>IF(D285=1,IF('7140'!B19="","",'7140'!B19),"")</f>
        <v/>
      </c>
      <c r="H285" s="0">
        <f>IF(D285=1,'7140'!N19&amp;"","")</f>
        <v/>
      </c>
      <c r="I285" s="0">
        <f>IF(D285=1,'7140'!C19&amp;"","")</f>
        <v/>
      </c>
      <c r="J285" s="0">
        <f>IF(D285=1,'7140'!E19&amp;"","")</f>
        <v/>
      </c>
      <c r="K285" s="0">
        <f>IF(D285=1,'7140'!D19&amp;"","")</f>
        <v/>
      </c>
      <c r="L285" s="0">
        <f>IF(D285=1,IF('7140'!F19="","",'7140'!F19),"")</f>
        <v/>
      </c>
    </row>
    <row r="286">
      <c r="A286" s="0" t="inlineStr">
        <is>
          <t>7140 – Leadership II (LEAD II)</t>
        </is>
      </c>
      <c r="B286" s="0" t="inlineStr">
        <is>
          <t>7140</t>
        </is>
      </c>
      <c r="C286" s="0" t="n">
        <v>20</v>
      </c>
      <c r="D286" s="0">
        <f>IF(AND(UPPER(TRIM('7140'!A20))="CHOICE",LEN(TRIM('7140'!E20&amp;'7140'!F20))&gt;0),1,0)</f>
        <v/>
      </c>
      <c r="E286" s="0">
        <f>IF(D286=1,MAX(E$1:E285)+1,"")</f>
        <v/>
      </c>
      <c r="F286" s="0">
        <f>IF(D286=1,IFERROR(CHOOSE(MATCH("X",'7140'!G20:L20,0),"①","②","③","④","⑤","⑥"),""),"")</f>
        <v/>
      </c>
      <c r="G286" s="0">
        <f>IF(D286=1,IF('7140'!B20="","",'7140'!B20),"")</f>
        <v/>
      </c>
      <c r="H286" s="0">
        <f>IF(D286=1,'7140'!N20&amp;"","")</f>
        <v/>
      </c>
      <c r="I286" s="0">
        <f>IF(D286=1,'7140'!C20&amp;"","")</f>
        <v/>
      </c>
      <c r="J286" s="0">
        <f>IF(D286=1,'7140'!E20&amp;"","")</f>
        <v/>
      </c>
      <c r="K286" s="0">
        <f>IF(D286=1,'7140'!D20&amp;"","")</f>
        <v/>
      </c>
      <c r="L286" s="0">
        <f>IF(D286=1,IF('7140'!F20="","",'7140'!F20),"")</f>
        <v/>
      </c>
    </row>
    <row r="287">
      <c r="A287" s="0" t="inlineStr">
        <is>
          <t>7140 – Leadership II (LEAD II)</t>
        </is>
      </c>
      <c r="B287" s="0" t="inlineStr">
        <is>
          <t>7140</t>
        </is>
      </c>
      <c r="C287" s="0" t="n">
        <v>21</v>
      </c>
      <c r="D287" s="0">
        <f>IF(AND(UPPER(TRIM('7140'!A21))="CHOICE",LEN(TRIM('7140'!E21&amp;'7140'!F21))&gt;0),1,0)</f>
        <v/>
      </c>
      <c r="E287" s="0">
        <f>IF(D287=1,MAX(E$1:E286)+1,"")</f>
        <v/>
      </c>
      <c r="F287" s="0">
        <f>IF(D287=1,IFERROR(CHOOSE(MATCH("X",'7140'!G21:L21,0),"①","②","③","④","⑤","⑥"),""),"")</f>
        <v/>
      </c>
      <c r="G287" s="0">
        <f>IF(D287=1,IF('7140'!B21="","",'7140'!B21),"")</f>
        <v/>
      </c>
      <c r="H287" s="0">
        <f>IF(D287=1,'7140'!N21&amp;"","")</f>
        <v/>
      </c>
      <c r="I287" s="0">
        <f>IF(D287=1,'7140'!C21&amp;"","")</f>
        <v/>
      </c>
      <c r="J287" s="0">
        <f>IF(D287=1,'7140'!E21&amp;"","")</f>
        <v/>
      </c>
      <c r="K287" s="0">
        <f>IF(D287=1,'7140'!D21&amp;"","")</f>
        <v/>
      </c>
      <c r="L287" s="0">
        <f>IF(D287=1,IF('7140'!F21="","",'7140'!F21),"")</f>
        <v/>
      </c>
    </row>
    <row r="288">
      <c r="A288" s="0" t="inlineStr">
        <is>
          <t>7140 – Leadership II (LEAD II)</t>
        </is>
      </c>
      <c r="B288" s="0" t="inlineStr">
        <is>
          <t>7140</t>
        </is>
      </c>
      <c r="C288" s="0" t="n">
        <v>22</v>
      </c>
      <c r="D288" s="0">
        <f>IF(AND(UPPER(TRIM('7140'!A22))="CHOICE",LEN(TRIM('7140'!E22&amp;'7140'!F22))&gt;0),1,0)</f>
        <v/>
      </c>
      <c r="E288" s="0">
        <f>IF(D288=1,MAX(E$1:E287)+1,"")</f>
        <v/>
      </c>
      <c r="F288" s="0">
        <f>IF(D288=1,IFERROR(CHOOSE(MATCH("X",'7140'!G22:L22,0),"①","②","③","④","⑤","⑥"),""),"")</f>
        <v/>
      </c>
      <c r="G288" s="0">
        <f>IF(D288=1,IF('7140'!B22="","",'7140'!B22),"")</f>
        <v/>
      </c>
      <c r="H288" s="0">
        <f>IF(D288=1,'7140'!N22&amp;"","")</f>
        <v/>
      </c>
      <c r="I288" s="0">
        <f>IF(D288=1,'7140'!C22&amp;"","")</f>
        <v/>
      </c>
      <c r="J288" s="0">
        <f>IF(D288=1,'7140'!E22&amp;"","")</f>
        <v/>
      </c>
      <c r="K288" s="0">
        <f>IF(D288=1,'7140'!D22&amp;"","")</f>
        <v/>
      </c>
      <c r="L288" s="0">
        <f>IF(D288=1,IF('7140'!F22="","",'7140'!F22),"")</f>
        <v/>
      </c>
    </row>
    <row r="289">
      <c r="A289" s="0" t="inlineStr">
        <is>
          <t>7140 – Leadership II (LEAD II)</t>
        </is>
      </c>
      <c r="B289" s="0" t="inlineStr">
        <is>
          <t>7140</t>
        </is>
      </c>
      <c r="C289" s="0" t="n">
        <v>23</v>
      </c>
      <c r="D289" s="0">
        <f>IF(AND(UPPER(TRIM('7140'!A23))="CHOICE",LEN(TRIM('7140'!E23&amp;'7140'!F23))&gt;0),1,0)</f>
        <v/>
      </c>
      <c r="E289" s="0">
        <f>IF(D289=1,MAX(E$1:E288)+1,"")</f>
        <v/>
      </c>
      <c r="F289" s="0">
        <f>IF(D289=1,IFERROR(CHOOSE(MATCH("X",'7140'!G23:L23,0),"①","②","③","④","⑤","⑥"),""),"")</f>
        <v/>
      </c>
      <c r="G289" s="0">
        <f>IF(D289=1,IF('7140'!B23="","",'7140'!B23),"")</f>
        <v/>
      </c>
      <c r="H289" s="0">
        <f>IF(D289=1,'7140'!N23&amp;"","")</f>
        <v/>
      </c>
      <c r="I289" s="0">
        <f>IF(D289=1,'7140'!C23&amp;"","")</f>
        <v/>
      </c>
      <c r="J289" s="0">
        <f>IF(D289=1,'7140'!E23&amp;"","")</f>
        <v/>
      </c>
      <c r="K289" s="0">
        <f>IF(D289=1,'7140'!D23&amp;"","")</f>
        <v/>
      </c>
      <c r="L289" s="0">
        <f>IF(D289=1,IF('7140'!F23="","",'7140'!F23),"")</f>
        <v/>
      </c>
    </row>
    <row r="290">
      <c r="A290" s="0" t="inlineStr">
        <is>
          <t>7140 – Leadership II (LEAD II)</t>
        </is>
      </c>
      <c r="B290" s="0" t="inlineStr">
        <is>
          <t>7140</t>
        </is>
      </c>
      <c r="C290" s="0" t="n">
        <v>24</v>
      </c>
      <c r="D290" s="0">
        <f>IF(AND(UPPER(TRIM('7140'!A24))="CHOICE",LEN(TRIM('7140'!E24&amp;'7140'!F24))&gt;0),1,0)</f>
        <v/>
      </c>
      <c r="E290" s="0">
        <f>IF(D290=1,MAX(E$1:E289)+1,"")</f>
        <v/>
      </c>
      <c r="F290" s="0">
        <f>IF(D290=1,IFERROR(CHOOSE(MATCH("X",'7140'!G24:L24,0),"①","②","③","④","⑤","⑥"),""),"")</f>
        <v/>
      </c>
      <c r="G290" s="0">
        <f>IF(D290=1,IF('7140'!B24="","",'7140'!B24),"")</f>
        <v/>
      </c>
      <c r="H290" s="0">
        <f>IF(D290=1,'7140'!N24&amp;"","")</f>
        <v/>
      </c>
      <c r="I290" s="0">
        <f>IF(D290=1,'7140'!C24&amp;"","")</f>
        <v/>
      </c>
      <c r="J290" s="0">
        <f>IF(D290=1,'7140'!E24&amp;"","")</f>
        <v/>
      </c>
      <c r="K290" s="0">
        <f>IF(D290=1,'7140'!D24&amp;"","")</f>
        <v/>
      </c>
      <c r="L290" s="0">
        <f>IF(D290=1,IF('7140'!F24="","",'7140'!F24),"")</f>
        <v/>
      </c>
    </row>
    <row r="291">
      <c r="A291" s="0" t="inlineStr">
        <is>
          <t>7140 – Leadership II (LEAD II)</t>
        </is>
      </c>
      <c r="B291" s="0" t="inlineStr">
        <is>
          <t>7140</t>
        </is>
      </c>
      <c r="C291" s="0" t="n">
        <v>25</v>
      </c>
      <c r="D291" s="0">
        <f>IF(AND(UPPER(TRIM('7140'!A25))="CHOICE",LEN(TRIM('7140'!E25&amp;'7140'!F25))&gt;0),1,0)</f>
        <v/>
      </c>
      <c r="E291" s="0">
        <f>IF(D291=1,MAX(E$1:E290)+1,"")</f>
        <v/>
      </c>
      <c r="F291" s="0">
        <f>IF(D291=1,IFERROR(CHOOSE(MATCH("X",'7140'!G25:L25,0),"①","②","③","④","⑤","⑥"),""),"")</f>
        <v/>
      </c>
      <c r="G291" s="0">
        <f>IF(D291=1,IF('7140'!B25="","",'7140'!B25),"")</f>
        <v/>
      </c>
      <c r="H291" s="0">
        <f>IF(D291=1,'7140'!N25&amp;"","")</f>
        <v/>
      </c>
      <c r="I291" s="0">
        <f>IF(D291=1,'7140'!C25&amp;"","")</f>
        <v/>
      </c>
      <c r="J291" s="0">
        <f>IF(D291=1,'7140'!E25&amp;"","")</f>
        <v/>
      </c>
      <c r="K291" s="0">
        <f>IF(D291=1,'7140'!D25&amp;"","")</f>
        <v/>
      </c>
      <c r="L291" s="0">
        <f>IF(D291=1,IF('7140'!F25="","",'7140'!F25),"")</f>
        <v/>
      </c>
    </row>
    <row r="292">
      <c r="A292" s="0" t="inlineStr">
        <is>
          <t>7140 – Leadership II (LEAD II)</t>
        </is>
      </c>
      <c r="B292" s="0" t="inlineStr">
        <is>
          <t>7140</t>
        </is>
      </c>
      <c r="C292" s="0" t="n">
        <v>26</v>
      </c>
      <c r="D292" s="0">
        <f>IF(AND(UPPER(TRIM('7140'!A26))="CHOICE",LEN(TRIM('7140'!E26&amp;'7140'!F26))&gt;0),1,0)</f>
        <v/>
      </c>
      <c r="E292" s="0">
        <f>IF(D292=1,MAX(E$1:E291)+1,"")</f>
        <v/>
      </c>
      <c r="F292" s="0">
        <f>IF(D292=1,IFERROR(CHOOSE(MATCH("X",'7140'!G26:L26,0),"①","②","③","④","⑤","⑥"),""),"")</f>
        <v/>
      </c>
      <c r="G292" s="0">
        <f>IF(D292=1,IF('7140'!B26="","",'7140'!B26),"")</f>
        <v/>
      </c>
      <c r="H292" s="0">
        <f>IF(D292=1,'7140'!N26&amp;"","")</f>
        <v/>
      </c>
      <c r="I292" s="0">
        <f>IF(D292=1,'7140'!C26&amp;"","")</f>
        <v/>
      </c>
      <c r="J292" s="0">
        <f>IF(D292=1,'7140'!E26&amp;"","")</f>
        <v/>
      </c>
      <c r="K292" s="0">
        <f>IF(D292=1,'7140'!D26&amp;"","")</f>
        <v/>
      </c>
      <c r="L292" s="0">
        <f>IF(D292=1,IF('7140'!F26="","",'7140'!F26),"")</f>
        <v/>
      </c>
    </row>
    <row r="293">
      <c r="A293" s="0" t="inlineStr">
        <is>
          <t>7140 – Leadership II (LEAD II)</t>
        </is>
      </c>
      <c r="B293" s="0" t="inlineStr">
        <is>
          <t>7140</t>
        </is>
      </c>
      <c r="C293" s="0" t="n">
        <v>27</v>
      </c>
      <c r="D293" s="0">
        <f>IF(AND(UPPER(TRIM('7140'!A27))="CHOICE",LEN(TRIM('7140'!E27&amp;'7140'!F27))&gt;0),1,0)</f>
        <v/>
      </c>
      <c r="E293" s="0">
        <f>IF(D293=1,MAX(E$1:E292)+1,"")</f>
        <v/>
      </c>
      <c r="F293" s="0">
        <f>IF(D293=1,IFERROR(CHOOSE(MATCH("X",'7140'!G27:L27,0),"①","②","③","④","⑤","⑥"),""),"")</f>
        <v/>
      </c>
      <c r="G293" s="0">
        <f>IF(D293=1,IF('7140'!B27="","",'7140'!B27),"")</f>
        <v/>
      </c>
      <c r="H293" s="0">
        <f>IF(D293=1,'7140'!N27&amp;"","")</f>
        <v/>
      </c>
      <c r="I293" s="0">
        <f>IF(D293=1,'7140'!C27&amp;"","")</f>
        <v/>
      </c>
      <c r="J293" s="0">
        <f>IF(D293=1,'7140'!E27&amp;"","")</f>
        <v/>
      </c>
      <c r="K293" s="0">
        <f>IF(D293=1,'7140'!D27&amp;"","")</f>
        <v/>
      </c>
      <c r="L293" s="0">
        <f>IF(D293=1,IF('7140'!F27="","",'7140'!F27),"")</f>
        <v/>
      </c>
    </row>
    <row r="294">
      <c r="A294" s="0" t="inlineStr">
        <is>
          <t>7140 – Leadership II (LEAD II)</t>
        </is>
      </c>
      <c r="B294" s="0" t="inlineStr">
        <is>
          <t>7140</t>
        </is>
      </c>
      <c r="C294" s="0" t="n">
        <v>28</v>
      </c>
      <c r="D294" s="0">
        <f>IF(AND(UPPER(TRIM('7140'!A28))="CHOICE",LEN(TRIM('7140'!E28&amp;'7140'!F28))&gt;0),1,0)</f>
        <v/>
      </c>
      <c r="E294" s="0">
        <f>IF(D294=1,MAX(E$1:E293)+1,"")</f>
        <v/>
      </c>
      <c r="F294" s="0">
        <f>IF(D294=1,IFERROR(CHOOSE(MATCH("X",'7140'!G28:L28,0),"①","②","③","④","⑤","⑥"),""),"")</f>
        <v/>
      </c>
      <c r="G294" s="0">
        <f>IF(D294=1,IF('7140'!B28="","",'7140'!B28),"")</f>
        <v/>
      </c>
      <c r="H294" s="0">
        <f>IF(D294=1,'7140'!N28&amp;"","")</f>
        <v/>
      </c>
      <c r="I294" s="0">
        <f>IF(D294=1,'7140'!C28&amp;"","")</f>
        <v/>
      </c>
      <c r="J294" s="0">
        <f>IF(D294=1,'7140'!E28&amp;"","")</f>
        <v/>
      </c>
      <c r="K294" s="0">
        <f>IF(D294=1,'7140'!D28&amp;"","")</f>
        <v/>
      </c>
      <c r="L294" s="0">
        <f>IF(D294=1,IF('7140'!F28="","",'7140'!F28),"")</f>
        <v/>
      </c>
    </row>
    <row r="295">
      <c r="A295" s="0" t="inlineStr">
        <is>
          <t>7140 – Leadership II (LEAD II)</t>
        </is>
      </c>
      <c r="B295" s="0" t="inlineStr">
        <is>
          <t>7140</t>
        </is>
      </c>
      <c r="C295" s="0" t="n">
        <v>29</v>
      </c>
      <c r="D295" s="0">
        <f>IF(AND(UPPER(TRIM('7140'!A29))="CHOICE",LEN(TRIM('7140'!E29&amp;'7140'!F29))&gt;0),1,0)</f>
        <v/>
      </c>
      <c r="E295" s="0">
        <f>IF(D295=1,MAX(E$1:E294)+1,"")</f>
        <v/>
      </c>
      <c r="F295" s="0">
        <f>IF(D295=1,IFERROR(CHOOSE(MATCH("X",'7140'!G29:L29,0),"①","②","③","④","⑤","⑥"),""),"")</f>
        <v/>
      </c>
      <c r="G295" s="0">
        <f>IF(D295=1,IF('7140'!B29="","",'7140'!B29),"")</f>
        <v/>
      </c>
      <c r="H295" s="0">
        <f>IF(D295=1,'7140'!N29&amp;"","")</f>
        <v/>
      </c>
      <c r="I295" s="0">
        <f>IF(D295=1,'7140'!C29&amp;"","")</f>
        <v/>
      </c>
      <c r="J295" s="0">
        <f>IF(D295=1,'7140'!E29&amp;"","")</f>
        <v/>
      </c>
      <c r="K295" s="0">
        <f>IF(D295=1,'7140'!D29&amp;"","")</f>
        <v/>
      </c>
      <c r="L295" s="0">
        <f>IF(D295=1,IF('7140'!F29="","",'7140'!F29),"")</f>
        <v/>
      </c>
    </row>
    <row r="296">
      <c r="A296" s="0" t="inlineStr">
        <is>
          <t>7140 – Leadership II (LEAD II)</t>
        </is>
      </c>
      <c r="B296" s="0" t="inlineStr">
        <is>
          <t>7140</t>
        </is>
      </c>
      <c r="C296" s="0" t="n">
        <v>30</v>
      </c>
      <c r="D296" s="0">
        <f>IF(AND(UPPER(TRIM('7140'!A30))="CHOICE",LEN(TRIM('7140'!E30&amp;'7140'!F30))&gt;0),1,0)</f>
        <v/>
      </c>
      <c r="E296" s="0">
        <f>IF(D296=1,MAX(E$1:E295)+1,"")</f>
        <v/>
      </c>
      <c r="F296" s="0">
        <f>IF(D296=1,IFERROR(CHOOSE(MATCH("X",'7140'!G30:L30,0),"①","②","③","④","⑤","⑥"),""),"")</f>
        <v/>
      </c>
      <c r="G296" s="0">
        <f>IF(D296=1,IF('7140'!B30="","",'7140'!B30),"")</f>
        <v/>
      </c>
      <c r="H296" s="0">
        <f>IF(D296=1,'7140'!N30&amp;"","")</f>
        <v/>
      </c>
      <c r="I296" s="0">
        <f>IF(D296=1,'7140'!C30&amp;"","")</f>
        <v/>
      </c>
      <c r="J296" s="0">
        <f>IF(D296=1,'7140'!E30&amp;"","")</f>
        <v/>
      </c>
      <c r="K296" s="0">
        <f>IF(D296=1,'7140'!D30&amp;"","")</f>
        <v/>
      </c>
      <c r="L296" s="0">
        <f>IF(D296=1,IF('7140'!F30="","",'7140'!F30),"")</f>
        <v/>
      </c>
    </row>
    <row r="297">
      <c r="A297" s="0" t="inlineStr">
        <is>
          <t>7140 – Leadership II (LEAD II)</t>
        </is>
      </c>
      <c r="B297" s="0" t="inlineStr">
        <is>
          <t>7140</t>
        </is>
      </c>
      <c r="C297" s="0" t="n">
        <v>31</v>
      </c>
      <c r="D297" s="0">
        <f>IF(AND(UPPER(TRIM('7140'!A31))="CHOICE",LEN(TRIM('7140'!E31&amp;'7140'!F31))&gt;0),1,0)</f>
        <v/>
      </c>
      <c r="E297" s="0">
        <f>IF(D297=1,MAX(E$1:E296)+1,"")</f>
        <v/>
      </c>
      <c r="F297" s="0">
        <f>IF(D297=1,IFERROR(CHOOSE(MATCH("X",'7140'!G31:L31,0),"①","②","③","④","⑤","⑥"),""),"")</f>
        <v/>
      </c>
      <c r="G297" s="0">
        <f>IF(D297=1,IF('7140'!B31="","",'7140'!B31),"")</f>
        <v/>
      </c>
      <c r="H297" s="0">
        <f>IF(D297=1,'7140'!N31&amp;"","")</f>
        <v/>
      </c>
      <c r="I297" s="0">
        <f>IF(D297=1,'7140'!C31&amp;"","")</f>
        <v/>
      </c>
      <c r="J297" s="0">
        <f>IF(D297=1,'7140'!E31&amp;"","")</f>
        <v/>
      </c>
      <c r="K297" s="0">
        <f>IF(D297=1,'7140'!D31&amp;"","")</f>
        <v/>
      </c>
      <c r="L297" s="0">
        <f>IF(D297=1,IF('7140'!F31="","",'7140'!F31),"")</f>
        <v/>
      </c>
    </row>
    <row r="298">
      <c r="A298" s="0" t="inlineStr">
        <is>
          <t>7140 – Leadership II (LEAD II)</t>
        </is>
      </c>
      <c r="B298" s="0" t="inlineStr">
        <is>
          <t>7140</t>
        </is>
      </c>
      <c r="C298" s="0" t="n">
        <v>32</v>
      </c>
      <c r="D298" s="0">
        <f>IF(AND(UPPER(TRIM('7140'!A32))="CHOICE",LEN(TRIM('7140'!E32&amp;'7140'!F32))&gt;0),1,0)</f>
        <v/>
      </c>
      <c r="E298" s="0">
        <f>IF(D298=1,MAX(E$1:E297)+1,"")</f>
        <v/>
      </c>
      <c r="F298" s="0">
        <f>IF(D298=1,IFERROR(CHOOSE(MATCH("X",'7140'!G32:L32,0),"①","②","③","④","⑤","⑥"),""),"")</f>
        <v/>
      </c>
      <c r="G298" s="0">
        <f>IF(D298=1,IF('7140'!B32="","",'7140'!B32),"")</f>
        <v/>
      </c>
      <c r="H298" s="0">
        <f>IF(D298=1,'7140'!N32&amp;"","")</f>
        <v/>
      </c>
      <c r="I298" s="0">
        <f>IF(D298=1,'7140'!C32&amp;"","")</f>
        <v/>
      </c>
      <c r="J298" s="0">
        <f>IF(D298=1,'7140'!E32&amp;"","")</f>
        <v/>
      </c>
      <c r="K298" s="0">
        <f>IF(D298=1,'7140'!D32&amp;"","")</f>
        <v/>
      </c>
      <c r="L298" s="0">
        <f>IF(D298=1,IF('7140'!F32="","",'7140'!F32),"")</f>
        <v/>
      </c>
    </row>
    <row r="299">
      <c r="A299" s="0" t="inlineStr">
        <is>
          <t>7140 – Leadership II (LEAD II)</t>
        </is>
      </c>
      <c r="B299" s="0" t="inlineStr">
        <is>
          <t>7140</t>
        </is>
      </c>
      <c r="C299" s="0" t="n">
        <v>33</v>
      </c>
      <c r="D299" s="0">
        <f>IF(AND(UPPER(TRIM('7140'!A33))="CHOICE",LEN(TRIM('7140'!E33&amp;'7140'!F33))&gt;0),1,0)</f>
        <v/>
      </c>
      <c r="E299" s="0">
        <f>IF(D299=1,MAX(E$1:E298)+1,"")</f>
        <v/>
      </c>
      <c r="F299" s="0">
        <f>IF(D299=1,IFERROR(CHOOSE(MATCH("X",'7140'!G33:L33,0),"①","②","③","④","⑤","⑥"),""),"")</f>
        <v/>
      </c>
      <c r="G299" s="0">
        <f>IF(D299=1,IF('7140'!B33="","",'7140'!B33),"")</f>
        <v/>
      </c>
      <c r="H299" s="0">
        <f>IF(D299=1,'7140'!N33&amp;"","")</f>
        <v/>
      </c>
      <c r="I299" s="0">
        <f>IF(D299=1,'7140'!C33&amp;"","")</f>
        <v/>
      </c>
      <c r="J299" s="0">
        <f>IF(D299=1,'7140'!E33&amp;"","")</f>
        <v/>
      </c>
      <c r="K299" s="0">
        <f>IF(D299=1,'7140'!D33&amp;"","")</f>
        <v/>
      </c>
      <c r="L299" s="0">
        <f>IF(D299=1,IF('7140'!F33="","",'7140'!F33),"")</f>
        <v/>
      </c>
    </row>
    <row r="300">
      <c r="A300" s="0" t="inlineStr">
        <is>
          <t>7140 – Leadership II (LEAD II)</t>
        </is>
      </c>
      <c r="B300" s="0" t="inlineStr">
        <is>
          <t>7140</t>
        </is>
      </c>
      <c r="C300" s="0" t="n">
        <v>34</v>
      </c>
      <c r="D300" s="0">
        <f>IF(AND(UPPER(TRIM('7140'!A34))="CHOICE",LEN(TRIM('7140'!E34&amp;'7140'!F34))&gt;0),1,0)</f>
        <v/>
      </c>
      <c r="E300" s="0">
        <f>IF(D300=1,MAX(E$1:E299)+1,"")</f>
        <v/>
      </c>
      <c r="F300" s="0">
        <f>IF(D300=1,IFERROR(CHOOSE(MATCH("X",'7140'!G34:L34,0),"①","②","③","④","⑤","⑥"),""),"")</f>
        <v/>
      </c>
      <c r="G300" s="0">
        <f>IF(D300=1,IF('7140'!B34="","",'7140'!B34),"")</f>
        <v/>
      </c>
      <c r="H300" s="0">
        <f>IF(D300=1,'7140'!N34&amp;"","")</f>
        <v/>
      </c>
      <c r="I300" s="0">
        <f>IF(D300=1,'7140'!C34&amp;"","")</f>
        <v/>
      </c>
      <c r="J300" s="0">
        <f>IF(D300=1,'7140'!E34&amp;"","")</f>
        <v/>
      </c>
      <c r="K300" s="0">
        <f>IF(D300=1,'7140'!D34&amp;"","")</f>
        <v/>
      </c>
      <c r="L300" s="0">
        <f>IF(D300=1,IF('7140'!F34="","",'7140'!F34),"")</f>
        <v/>
      </c>
    </row>
    <row r="301">
      <c r="A301" s="0" t="inlineStr">
        <is>
          <t>7140 – Leadership II (LEAD II)</t>
        </is>
      </c>
      <c r="B301" s="0" t="inlineStr">
        <is>
          <t>7140</t>
        </is>
      </c>
      <c r="C301" s="0" t="n">
        <v>35</v>
      </c>
      <c r="D301" s="0">
        <f>IF(AND(UPPER(TRIM('7140'!A35))="CHOICE",LEN(TRIM('7140'!E35&amp;'7140'!F35))&gt;0),1,0)</f>
        <v/>
      </c>
      <c r="E301" s="0">
        <f>IF(D301=1,MAX(E$1:E300)+1,"")</f>
        <v/>
      </c>
      <c r="F301" s="0">
        <f>IF(D301=1,IFERROR(CHOOSE(MATCH("X",'7140'!G35:L35,0),"①","②","③","④","⑤","⑥"),""),"")</f>
        <v/>
      </c>
      <c r="G301" s="0">
        <f>IF(D301=1,IF('7140'!B35="","",'7140'!B35),"")</f>
        <v/>
      </c>
      <c r="H301" s="0">
        <f>IF(D301=1,'7140'!N35&amp;"","")</f>
        <v/>
      </c>
      <c r="I301" s="0">
        <f>IF(D301=1,'7140'!C35&amp;"","")</f>
        <v/>
      </c>
      <c r="J301" s="0">
        <f>IF(D301=1,'7140'!E35&amp;"","")</f>
        <v/>
      </c>
      <c r="K301" s="0">
        <f>IF(D301=1,'7140'!D35&amp;"","")</f>
        <v/>
      </c>
      <c r="L301" s="0">
        <f>IF(D301=1,IF('7140'!F35="","",'7140'!F35),"")</f>
        <v/>
      </c>
    </row>
    <row r="302">
      <c r="A302" s="0" t="inlineStr">
        <is>
          <t>7140 – Leadership II (LEAD II)</t>
        </is>
      </c>
      <c r="B302" s="0" t="inlineStr">
        <is>
          <t>7140</t>
        </is>
      </c>
      <c r="C302" s="0" t="n">
        <v>36</v>
      </c>
      <c r="D302" s="0">
        <f>IF(AND(UPPER(TRIM('7140'!A36))="CHOICE",LEN(TRIM('7140'!E36&amp;'7140'!F36))&gt;0),1,0)</f>
        <v/>
      </c>
      <c r="E302" s="0">
        <f>IF(D302=1,MAX(E$1:E301)+1,"")</f>
        <v/>
      </c>
      <c r="F302" s="0">
        <f>IF(D302=1,IFERROR(CHOOSE(MATCH("X",'7140'!G36:L36,0),"①","②","③","④","⑤","⑥"),""),"")</f>
        <v/>
      </c>
      <c r="G302" s="0">
        <f>IF(D302=1,IF('7140'!B36="","",'7140'!B36),"")</f>
        <v/>
      </c>
      <c r="H302" s="0">
        <f>IF(D302=1,'7140'!N36&amp;"","")</f>
        <v/>
      </c>
      <c r="I302" s="0">
        <f>IF(D302=1,'7140'!C36&amp;"","")</f>
        <v/>
      </c>
      <c r="J302" s="0">
        <f>IF(D302=1,'7140'!E36&amp;"","")</f>
        <v/>
      </c>
      <c r="K302" s="0">
        <f>IF(D302=1,'7140'!D36&amp;"","")</f>
        <v/>
      </c>
      <c r="L302" s="0">
        <f>IF(D302=1,IF('7140'!F36="","",'7140'!F36),"")</f>
        <v/>
      </c>
    </row>
    <row r="303">
      <c r="A303" s="0" t="inlineStr">
        <is>
          <t>7140 – Leadership II (LEAD II)</t>
        </is>
      </c>
      <c r="B303" s="0" t="inlineStr">
        <is>
          <t>7140</t>
        </is>
      </c>
      <c r="C303" s="0" t="n">
        <v>37</v>
      </c>
      <c r="D303" s="0">
        <f>IF(AND(UPPER(TRIM('7140'!A37))="CHOICE",LEN(TRIM('7140'!E37&amp;'7140'!F37))&gt;0),1,0)</f>
        <v/>
      </c>
      <c r="E303" s="0">
        <f>IF(D303=1,MAX(E$1:E302)+1,"")</f>
        <v/>
      </c>
      <c r="F303" s="0">
        <f>IF(D303=1,IFERROR(CHOOSE(MATCH("X",'7140'!G37:L37,0),"①","②","③","④","⑤","⑥"),""),"")</f>
        <v/>
      </c>
      <c r="G303" s="0">
        <f>IF(D303=1,IF('7140'!B37="","",'7140'!B37),"")</f>
        <v/>
      </c>
      <c r="H303" s="0">
        <f>IF(D303=1,'7140'!N37&amp;"","")</f>
        <v/>
      </c>
      <c r="I303" s="0">
        <f>IF(D303=1,'7140'!C37&amp;"","")</f>
        <v/>
      </c>
      <c r="J303" s="0">
        <f>IF(D303=1,'7140'!E37&amp;"","")</f>
        <v/>
      </c>
      <c r="K303" s="0">
        <f>IF(D303=1,'7140'!D37&amp;"","")</f>
        <v/>
      </c>
      <c r="L303" s="0">
        <f>IF(D303=1,IF('7140'!F37="","",'7140'!F37),"")</f>
        <v/>
      </c>
    </row>
    <row r="304">
      <c r="A304" s="0" t="inlineStr">
        <is>
          <t>7140 – Leadership II (LEAD II)</t>
        </is>
      </c>
      <c r="B304" s="0" t="inlineStr">
        <is>
          <t>7140</t>
        </is>
      </c>
      <c r="C304" s="0" t="n">
        <v>38</v>
      </c>
      <c r="D304" s="0">
        <f>IF(AND(UPPER(TRIM('7140'!A38))="CHOICE",LEN(TRIM('7140'!E38&amp;'7140'!F38))&gt;0),1,0)</f>
        <v/>
      </c>
      <c r="E304" s="0">
        <f>IF(D304=1,MAX(E$1:E303)+1,"")</f>
        <v/>
      </c>
      <c r="F304" s="0">
        <f>IF(D304=1,IFERROR(CHOOSE(MATCH("X",'7140'!G38:L38,0),"①","②","③","④","⑤","⑥"),""),"")</f>
        <v/>
      </c>
      <c r="G304" s="0">
        <f>IF(D304=1,IF('7140'!B38="","",'7140'!B38),"")</f>
        <v/>
      </c>
      <c r="H304" s="0">
        <f>IF(D304=1,'7140'!N38&amp;"","")</f>
        <v/>
      </c>
      <c r="I304" s="0">
        <f>IF(D304=1,'7140'!C38&amp;"","")</f>
        <v/>
      </c>
      <c r="J304" s="0">
        <f>IF(D304=1,'7140'!E38&amp;"","")</f>
        <v/>
      </c>
      <c r="K304" s="0">
        <f>IF(D304=1,'7140'!D38&amp;"","")</f>
        <v/>
      </c>
      <c r="L304" s="0">
        <f>IF(D304=1,IF('7140'!F38="","",'7140'!F38),"")</f>
        <v/>
      </c>
    </row>
    <row r="305">
      <c r="A305" s="0" t="inlineStr">
        <is>
          <t>7140 – Leadership II (LEAD II)</t>
        </is>
      </c>
      <c r="B305" s="0" t="inlineStr">
        <is>
          <t>7140</t>
        </is>
      </c>
      <c r="C305" s="0" t="n">
        <v>39</v>
      </c>
      <c r="D305" s="0">
        <f>IF(AND(UPPER(TRIM('7140'!A39))="CHOICE",LEN(TRIM('7140'!E39&amp;'7140'!F39))&gt;0),1,0)</f>
        <v/>
      </c>
      <c r="E305" s="0">
        <f>IF(D305=1,MAX(E$1:E304)+1,"")</f>
        <v/>
      </c>
      <c r="F305" s="0">
        <f>IF(D305=1,IFERROR(CHOOSE(MATCH("X",'7140'!G39:L39,0),"①","②","③","④","⑤","⑥"),""),"")</f>
        <v/>
      </c>
      <c r="G305" s="0">
        <f>IF(D305=1,IF('7140'!B39="","",'7140'!B39),"")</f>
        <v/>
      </c>
      <c r="H305" s="0">
        <f>IF(D305=1,'7140'!N39&amp;"","")</f>
        <v/>
      </c>
      <c r="I305" s="0">
        <f>IF(D305=1,'7140'!C39&amp;"","")</f>
        <v/>
      </c>
      <c r="J305" s="0">
        <f>IF(D305=1,'7140'!E39&amp;"","")</f>
        <v/>
      </c>
      <c r="K305" s="0">
        <f>IF(D305=1,'7140'!D39&amp;"","")</f>
        <v/>
      </c>
      <c r="L305" s="0">
        <f>IF(D305=1,IF('7140'!F39="","",'7140'!F39),"")</f>
        <v/>
      </c>
    </row>
    <row r="306">
      <c r="A306" s="0" t="inlineStr">
        <is>
          <t>7140 – Leadership II (LEAD II)</t>
        </is>
      </c>
      <c r="B306" s="0" t="inlineStr">
        <is>
          <t>7140</t>
        </is>
      </c>
      <c r="C306" s="0" t="n">
        <v>40</v>
      </c>
      <c r="D306" s="0">
        <f>IF(AND(UPPER(TRIM('7140'!A40))="CHOICE",LEN(TRIM('7140'!E40&amp;'7140'!F40))&gt;0),1,0)</f>
        <v/>
      </c>
      <c r="E306" s="0">
        <f>IF(D306=1,MAX(E$1:E305)+1,"")</f>
        <v/>
      </c>
      <c r="F306" s="0">
        <f>IF(D306=1,IFERROR(CHOOSE(MATCH("X",'7140'!G40:L40,0),"①","②","③","④","⑤","⑥"),""),"")</f>
        <v/>
      </c>
      <c r="G306" s="0">
        <f>IF(D306=1,IF('7140'!B40="","",'7140'!B40),"")</f>
        <v/>
      </c>
      <c r="H306" s="0">
        <f>IF(D306=1,'7140'!N40&amp;"","")</f>
        <v/>
      </c>
      <c r="I306" s="0">
        <f>IF(D306=1,'7140'!C40&amp;"","")</f>
        <v/>
      </c>
      <c r="J306" s="0">
        <f>IF(D306=1,'7140'!E40&amp;"","")</f>
        <v/>
      </c>
      <c r="K306" s="0">
        <f>IF(D306=1,'7140'!D40&amp;"","")</f>
        <v/>
      </c>
      <c r="L306" s="0">
        <f>IF(D306=1,IF('7140'!F40="","",'7140'!F40),"")</f>
        <v/>
      </c>
    </row>
    <row r="307">
      <c r="A307" s="0" t="inlineStr">
        <is>
          <t>7140 – Leadership II (LEAD II)</t>
        </is>
      </c>
      <c r="B307" s="0" t="inlineStr">
        <is>
          <t>7140</t>
        </is>
      </c>
      <c r="C307" s="0" t="n">
        <v>41</v>
      </c>
      <c r="D307" s="0">
        <f>IF(AND(UPPER(TRIM('7140'!A41))="CHOICE",LEN(TRIM('7140'!E41&amp;'7140'!F41))&gt;0),1,0)</f>
        <v/>
      </c>
      <c r="E307" s="0">
        <f>IF(D307=1,MAX(E$1:E306)+1,"")</f>
        <v/>
      </c>
      <c r="F307" s="0">
        <f>IF(D307=1,IFERROR(CHOOSE(MATCH("X",'7140'!G41:L41,0),"①","②","③","④","⑤","⑥"),""),"")</f>
        <v/>
      </c>
      <c r="G307" s="0">
        <f>IF(D307=1,IF('7140'!B41="","",'7140'!B41),"")</f>
        <v/>
      </c>
      <c r="H307" s="0">
        <f>IF(D307=1,'7140'!N41&amp;"","")</f>
        <v/>
      </c>
      <c r="I307" s="0">
        <f>IF(D307=1,'7140'!C41&amp;"","")</f>
        <v/>
      </c>
      <c r="J307" s="0">
        <f>IF(D307=1,'7140'!E41&amp;"","")</f>
        <v/>
      </c>
      <c r="K307" s="0">
        <f>IF(D307=1,'7140'!D41&amp;"","")</f>
        <v/>
      </c>
      <c r="L307" s="0">
        <f>IF(D307=1,IF('7140'!F41="","",'7140'!F41),"")</f>
        <v/>
      </c>
    </row>
    <row r="308">
      <c r="A308" s="0" t="inlineStr">
        <is>
          <t>7140 – Leadership II (LEAD II)</t>
        </is>
      </c>
      <c r="B308" s="0" t="inlineStr">
        <is>
          <t>7140</t>
        </is>
      </c>
      <c r="C308" s="0" t="n">
        <v>42</v>
      </c>
      <c r="D308" s="0">
        <f>IF(AND(UPPER(TRIM('7140'!A42))="CHOICE",LEN(TRIM('7140'!E42&amp;'7140'!F42))&gt;0),1,0)</f>
        <v/>
      </c>
      <c r="E308" s="0">
        <f>IF(D308=1,MAX(E$1:E307)+1,"")</f>
        <v/>
      </c>
      <c r="F308" s="0">
        <f>IF(D308=1,IFERROR(CHOOSE(MATCH("X",'7140'!G42:L42,0),"①","②","③","④","⑤","⑥"),""),"")</f>
        <v/>
      </c>
      <c r="G308" s="0">
        <f>IF(D308=1,IF('7140'!B42="","",'7140'!B42),"")</f>
        <v/>
      </c>
      <c r="H308" s="0">
        <f>IF(D308=1,'7140'!N42&amp;"","")</f>
        <v/>
      </c>
      <c r="I308" s="0">
        <f>IF(D308=1,'7140'!C42&amp;"","")</f>
        <v/>
      </c>
      <c r="J308" s="0">
        <f>IF(D308=1,'7140'!E42&amp;"","")</f>
        <v/>
      </c>
      <c r="K308" s="0">
        <f>IF(D308=1,'7140'!D42&amp;"","")</f>
        <v/>
      </c>
      <c r="L308" s="0">
        <f>IF(D308=1,IF('7140'!F42="","",'7140'!F42),"")</f>
        <v/>
      </c>
    </row>
    <row r="309">
      <c r="A309" s="0" t="inlineStr">
        <is>
          <t>7140 – Leadership II (LEAD II)</t>
        </is>
      </c>
      <c r="B309" s="0" t="inlineStr">
        <is>
          <t>7140</t>
        </is>
      </c>
      <c r="C309" s="0" t="n">
        <v>43</v>
      </c>
      <c r="D309" s="0">
        <f>IF(AND(UPPER(TRIM('7140'!A43))="CHOICE",LEN(TRIM('7140'!E43&amp;'7140'!F43))&gt;0),1,0)</f>
        <v/>
      </c>
      <c r="E309" s="0">
        <f>IF(D309=1,MAX(E$1:E308)+1,"")</f>
        <v/>
      </c>
      <c r="F309" s="0">
        <f>IF(D309=1,IFERROR(CHOOSE(MATCH("X",'7140'!G43:L43,0),"①","②","③","④","⑤","⑥"),""),"")</f>
        <v/>
      </c>
      <c r="G309" s="0">
        <f>IF(D309=1,IF('7140'!B43="","",'7140'!B43),"")</f>
        <v/>
      </c>
      <c r="H309" s="0">
        <f>IF(D309=1,'7140'!N43&amp;"","")</f>
        <v/>
      </c>
      <c r="I309" s="0">
        <f>IF(D309=1,'7140'!C43&amp;"","")</f>
        <v/>
      </c>
      <c r="J309" s="0">
        <f>IF(D309=1,'7140'!E43&amp;"","")</f>
        <v/>
      </c>
      <c r="K309" s="0">
        <f>IF(D309=1,'7140'!D43&amp;"","")</f>
        <v/>
      </c>
      <c r="L309" s="0">
        <f>IF(D309=1,IF('7140'!F43="","",'7140'!F43),"")</f>
        <v/>
      </c>
    </row>
    <row r="310">
      <c r="A310" s="0" t="inlineStr">
        <is>
          <t>7140 – Leadership II (LEAD II)</t>
        </is>
      </c>
      <c r="B310" s="0" t="inlineStr">
        <is>
          <t>7140</t>
        </is>
      </c>
      <c r="C310" s="0" t="n">
        <v>44</v>
      </c>
      <c r="D310" s="0">
        <f>IF(AND(UPPER(TRIM('7140'!A44))="CHOICE",LEN(TRIM('7140'!E44&amp;'7140'!F44))&gt;0),1,0)</f>
        <v/>
      </c>
      <c r="E310" s="0">
        <f>IF(D310=1,MAX(E$1:E309)+1,"")</f>
        <v/>
      </c>
      <c r="F310" s="0">
        <f>IF(D310=1,IFERROR(CHOOSE(MATCH("X",'7140'!G44:L44,0),"①","②","③","④","⑤","⑥"),""),"")</f>
        <v/>
      </c>
      <c r="G310" s="0">
        <f>IF(D310=1,IF('7140'!B44="","",'7140'!B44),"")</f>
        <v/>
      </c>
      <c r="H310" s="0">
        <f>IF(D310=1,'7140'!N44&amp;"","")</f>
        <v/>
      </c>
      <c r="I310" s="0">
        <f>IF(D310=1,'7140'!C44&amp;"","")</f>
        <v/>
      </c>
      <c r="J310" s="0">
        <f>IF(D310=1,'7140'!E44&amp;"","")</f>
        <v/>
      </c>
      <c r="K310" s="0">
        <f>IF(D310=1,'7140'!D44&amp;"","")</f>
        <v/>
      </c>
      <c r="L310" s="0">
        <f>IF(D310=1,IF('7140'!F44="","",'7140'!F44),"")</f>
        <v/>
      </c>
    </row>
    <row r="311">
      <c r="A311" s="0" t="inlineStr">
        <is>
          <t>7140 – Leadership II (LEAD II)</t>
        </is>
      </c>
      <c r="B311" s="0" t="inlineStr">
        <is>
          <t>7140</t>
        </is>
      </c>
      <c r="C311" s="0" t="n">
        <v>45</v>
      </c>
      <c r="D311" s="0">
        <f>IF(AND(UPPER(TRIM('7140'!A45))="CHOICE",LEN(TRIM('7140'!E45&amp;'7140'!F45))&gt;0),1,0)</f>
        <v/>
      </c>
      <c r="E311" s="0">
        <f>IF(D311=1,MAX(E$1:E310)+1,"")</f>
        <v/>
      </c>
      <c r="F311" s="0">
        <f>IF(D311=1,IFERROR(CHOOSE(MATCH("X",'7140'!G45:L45,0),"①","②","③","④","⑤","⑥"),""),"")</f>
        <v/>
      </c>
      <c r="G311" s="0">
        <f>IF(D311=1,IF('7140'!B45="","",'7140'!B45),"")</f>
        <v/>
      </c>
      <c r="H311" s="0">
        <f>IF(D311=1,'7140'!N45&amp;"","")</f>
        <v/>
      </c>
      <c r="I311" s="0">
        <f>IF(D311=1,'7140'!C45&amp;"","")</f>
        <v/>
      </c>
      <c r="J311" s="0">
        <f>IF(D311=1,'7140'!E45&amp;"","")</f>
        <v/>
      </c>
      <c r="K311" s="0">
        <f>IF(D311=1,'7140'!D45&amp;"","")</f>
        <v/>
      </c>
      <c r="L311" s="0">
        <f>IF(D311=1,IF('7140'!F45="","",'7140'!F45),"")</f>
        <v/>
      </c>
    </row>
    <row r="312">
      <c r="A312" s="0" t="inlineStr">
        <is>
          <t>7140 – Leadership II (LEAD II)</t>
        </is>
      </c>
      <c r="B312" s="0" t="inlineStr">
        <is>
          <t>7140</t>
        </is>
      </c>
      <c r="C312" s="0" t="n">
        <v>46</v>
      </c>
      <c r="D312" s="0">
        <f>IF(AND(UPPER(TRIM('7140'!A46))="CHOICE",LEN(TRIM('7140'!E46&amp;'7140'!F46))&gt;0),1,0)</f>
        <v/>
      </c>
      <c r="E312" s="0">
        <f>IF(D312=1,MAX(E$1:E311)+1,"")</f>
        <v/>
      </c>
      <c r="F312" s="0">
        <f>IF(D312=1,IFERROR(CHOOSE(MATCH("X",'7140'!G46:L46,0),"①","②","③","④","⑤","⑥"),""),"")</f>
        <v/>
      </c>
      <c r="G312" s="0">
        <f>IF(D312=1,IF('7140'!B46="","",'7140'!B46),"")</f>
        <v/>
      </c>
      <c r="H312" s="0">
        <f>IF(D312=1,'7140'!N46&amp;"","")</f>
        <v/>
      </c>
      <c r="I312" s="0">
        <f>IF(D312=1,'7140'!C46&amp;"","")</f>
        <v/>
      </c>
      <c r="J312" s="0">
        <f>IF(D312=1,'7140'!E46&amp;"","")</f>
        <v/>
      </c>
      <c r="K312" s="0">
        <f>IF(D312=1,'7140'!D46&amp;"","")</f>
        <v/>
      </c>
      <c r="L312" s="0">
        <f>IF(D312=1,IF('7140'!F46="","",'7140'!F46),"")</f>
        <v/>
      </c>
    </row>
    <row r="313">
      <c r="A313" s="0" t="inlineStr">
        <is>
          <t>7140 – Leadership II (LEAD II)</t>
        </is>
      </c>
      <c r="B313" s="0" t="inlineStr">
        <is>
          <t>7140</t>
        </is>
      </c>
      <c r="C313" s="0" t="n">
        <v>47</v>
      </c>
      <c r="D313" s="0">
        <f>IF(AND(UPPER(TRIM('7140'!A47))="CHOICE",LEN(TRIM('7140'!E47&amp;'7140'!F47))&gt;0),1,0)</f>
        <v/>
      </c>
      <c r="E313" s="0">
        <f>IF(D313=1,MAX(E$1:E312)+1,"")</f>
        <v/>
      </c>
      <c r="F313" s="0">
        <f>IF(D313=1,IFERROR(CHOOSE(MATCH("X",'7140'!G47:L47,0),"①","②","③","④","⑤","⑥"),""),"")</f>
        <v/>
      </c>
      <c r="G313" s="0">
        <f>IF(D313=1,IF('7140'!B47="","",'7140'!B47),"")</f>
        <v/>
      </c>
      <c r="H313" s="0">
        <f>IF(D313=1,'7140'!N47&amp;"","")</f>
        <v/>
      </c>
      <c r="I313" s="0">
        <f>IF(D313=1,'7140'!C47&amp;"","")</f>
        <v/>
      </c>
      <c r="J313" s="0">
        <f>IF(D313=1,'7140'!E47&amp;"","")</f>
        <v/>
      </c>
      <c r="K313" s="0">
        <f>IF(D313=1,'7140'!D47&amp;"","")</f>
        <v/>
      </c>
      <c r="L313" s="0">
        <f>IF(D313=1,IF('7140'!F47="","",'7140'!F47),"")</f>
        <v/>
      </c>
    </row>
    <row r="314">
      <c r="A314" s="0" t="inlineStr">
        <is>
          <t>7140 – Leadership II (LEAD II)</t>
        </is>
      </c>
      <c r="B314" s="0" t="inlineStr">
        <is>
          <t>7140</t>
        </is>
      </c>
      <c r="C314" s="0" t="n">
        <v>48</v>
      </c>
      <c r="D314" s="0">
        <f>IF(AND(UPPER(TRIM('7140'!A48))="CHOICE",LEN(TRIM('7140'!E48&amp;'7140'!F48))&gt;0),1,0)</f>
        <v/>
      </c>
      <c r="E314" s="0">
        <f>IF(D314=1,MAX(E$1:E313)+1,"")</f>
        <v/>
      </c>
      <c r="F314" s="0">
        <f>IF(D314=1,IFERROR(CHOOSE(MATCH("X",'7140'!G48:L48,0),"①","②","③","④","⑤","⑥"),""),"")</f>
        <v/>
      </c>
      <c r="G314" s="0">
        <f>IF(D314=1,IF('7140'!B48="","",'7140'!B48),"")</f>
        <v/>
      </c>
      <c r="H314" s="0">
        <f>IF(D314=1,'7140'!N48&amp;"","")</f>
        <v/>
      </c>
      <c r="I314" s="0">
        <f>IF(D314=1,'7140'!C48&amp;"","")</f>
        <v/>
      </c>
      <c r="J314" s="0">
        <f>IF(D314=1,'7140'!E48&amp;"","")</f>
        <v/>
      </c>
      <c r="K314" s="0">
        <f>IF(D314=1,'7140'!D48&amp;"","")</f>
        <v/>
      </c>
      <c r="L314" s="0">
        <f>IF(D314=1,IF('7140'!F48="","",'7140'!F48),"")</f>
        <v/>
      </c>
    </row>
    <row r="315">
      <c r="A315" s="0" t="inlineStr">
        <is>
          <t>7140 – Leadership II (LEAD II)</t>
        </is>
      </c>
      <c r="B315" s="0" t="inlineStr">
        <is>
          <t>7140</t>
        </is>
      </c>
      <c r="C315" s="0" t="n">
        <v>49</v>
      </c>
      <c r="D315" s="0">
        <f>IF(AND(UPPER(TRIM('7140'!A49))="CHOICE",LEN(TRIM('7140'!E49&amp;'7140'!F49))&gt;0),1,0)</f>
        <v/>
      </c>
      <c r="E315" s="0">
        <f>IF(D315=1,MAX(E$1:E314)+1,"")</f>
        <v/>
      </c>
      <c r="F315" s="0">
        <f>IF(D315=1,IFERROR(CHOOSE(MATCH("X",'7140'!G49:L49,0),"①","②","③","④","⑤","⑥"),""),"")</f>
        <v/>
      </c>
      <c r="G315" s="0">
        <f>IF(D315=1,IF('7140'!B49="","",'7140'!B49),"")</f>
        <v/>
      </c>
      <c r="H315" s="0">
        <f>IF(D315=1,'7140'!N49&amp;"","")</f>
        <v/>
      </c>
      <c r="I315" s="0">
        <f>IF(D315=1,'7140'!C49&amp;"","")</f>
        <v/>
      </c>
      <c r="J315" s="0">
        <f>IF(D315=1,'7140'!E49&amp;"","")</f>
        <v/>
      </c>
      <c r="K315" s="0">
        <f>IF(D315=1,'7140'!D49&amp;"","")</f>
        <v/>
      </c>
      <c r="L315" s="0">
        <f>IF(D315=1,IF('7140'!F49="","",'7140'!F49),"")</f>
        <v/>
      </c>
    </row>
    <row r="316">
      <c r="A316" s="0" t="inlineStr">
        <is>
          <t>7140 – Leadership II (LEAD II)</t>
        </is>
      </c>
      <c r="B316" s="0" t="inlineStr">
        <is>
          <t>7140</t>
        </is>
      </c>
      <c r="C316" s="0" t="n">
        <v>50</v>
      </c>
      <c r="D316" s="0">
        <f>IF(AND(UPPER(TRIM('7140'!A50))="CHOICE",LEN(TRIM('7140'!E50&amp;'7140'!F50))&gt;0),1,0)</f>
        <v/>
      </c>
      <c r="E316" s="0">
        <f>IF(D316=1,MAX(E$1:E315)+1,"")</f>
        <v/>
      </c>
      <c r="F316" s="0">
        <f>IF(D316=1,IFERROR(CHOOSE(MATCH("X",'7140'!G50:L50,0),"①","②","③","④","⑤","⑥"),""),"")</f>
        <v/>
      </c>
      <c r="G316" s="0">
        <f>IF(D316=1,IF('7140'!B50="","",'7140'!B50),"")</f>
        <v/>
      </c>
      <c r="H316" s="0">
        <f>IF(D316=1,'7140'!N50&amp;"","")</f>
        <v/>
      </c>
      <c r="I316" s="0">
        <f>IF(D316=1,'7140'!C50&amp;"","")</f>
        <v/>
      </c>
      <c r="J316" s="0">
        <f>IF(D316=1,'7140'!E50&amp;"","")</f>
        <v/>
      </c>
      <c r="K316" s="0">
        <f>IF(D316=1,'7140'!D50&amp;"","")</f>
        <v/>
      </c>
      <c r="L316" s="0">
        <f>IF(D316=1,IF('7140'!F50="","",'7140'!F50),"")</f>
        <v/>
      </c>
    </row>
    <row r="317">
      <c r="A317" s="0" t="inlineStr">
        <is>
          <t>7140 – Leadership II (LEAD II)</t>
        </is>
      </c>
      <c r="B317" s="0" t="inlineStr">
        <is>
          <t>7140</t>
        </is>
      </c>
      <c r="C317" s="0" t="n">
        <v>51</v>
      </c>
      <c r="D317" s="0">
        <f>IF(AND(UPPER(TRIM('7140'!A51))="CHOICE",LEN(TRIM('7140'!E51&amp;'7140'!F51))&gt;0),1,0)</f>
        <v/>
      </c>
      <c r="E317" s="0">
        <f>IF(D317=1,MAX(E$1:E316)+1,"")</f>
        <v/>
      </c>
      <c r="F317" s="0">
        <f>IF(D317=1,IFERROR(CHOOSE(MATCH("X",'7140'!G51:L51,0),"①","②","③","④","⑤","⑥"),""),"")</f>
        <v/>
      </c>
      <c r="G317" s="0">
        <f>IF(D317=1,IF('7140'!B51="","",'7140'!B51),"")</f>
        <v/>
      </c>
      <c r="H317" s="0">
        <f>IF(D317=1,'7140'!N51&amp;"","")</f>
        <v/>
      </c>
      <c r="I317" s="0">
        <f>IF(D317=1,'7140'!C51&amp;"","")</f>
        <v/>
      </c>
      <c r="J317" s="0">
        <f>IF(D317=1,'7140'!E51&amp;"","")</f>
        <v/>
      </c>
      <c r="K317" s="0">
        <f>IF(D317=1,'7140'!D51&amp;"","")</f>
        <v/>
      </c>
      <c r="L317" s="0">
        <f>IF(D317=1,IF('7140'!F51="","",'7140'!F51),"")</f>
        <v/>
      </c>
    </row>
    <row r="318">
      <c r="A318" s="0" t="inlineStr">
        <is>
          <t>7140 – Leadership II (LEAD II)</t>
        </is>
      </c>
      <c r="B318" s="0" t="inlineStr">
        <is>
          <t>7140</t>
        </is>
      </c>
      <c r="C318" s="0" t="n">
        <v>52</v>
      </c>
      <c r="D318" s="0">
        <f>IF(AND(UPPER(TRIM('7140'!A52))="CHOICE",LEN(TRIM('7140'!E52&amp;'7140'!F52))&gt;0),1,0)</f>
        <v/>
      </c>
      <c r="E318" s="0">
        <f>IF(D318=1,MAX(E$1:E317)+1,"")</f>
        <v/>
      </c>
      <c r="F318" s="0">
        <f>IF(D318=1,IFERROR(CHOOSE(MATCH("X",'7140'!G52:L52,0),"①","②","③","④","⑤","⑥"),""),"")</f>
        <v/>
      </c>
      <c r="G318" s="0">
        <f>IF(D318=1,IF('7140'!B52="","",'7140'!B52),"")</f>
        <v/>
      </c>
      <c r="H318" s="0">
        <f>IF(D318=1,'7140'!N52&amp;"","")</f>
        <v/>
      </c>
      <c r="I318" s="0">
        <f>IF(D318=1,'7140'!C52&amp;"","")</f>
        <v/>
      </c>
      <c r="J318" s="0">
        <f>IF(D318=1,'7140'!E52&amp;"","")</f>
        <v/>
      </c>
      <c r="K318" s="0">
        <f>IF(D318=1,'7140'!D52&amp;"","")</f>
        <v/>
      </c>
      <c r="L318" s="0">
        <f>IF(D318=1,IF('7140'!F52="","",'7140'!F52),"")</f>
        <v/>
      </c>
    </row>
    <row r="319">
      <c r="A319" s="0" t="inlineStr">
        <is>
          <t>7140 – Leadership II (LEAD II)</t>
        </is>
      </c>
      <c r="B319" s="0" t="inlineStr">
        <is>
          <t>7140</t>
        </is>
      </c>
      <c r="C319" s="0" t="n">
        <v>53</v>
      </c>
      <c r="D319" s="0">
        <f>IF(AND(UPPER(TRIM('7140'!A53))="CHOICE",LEN(TRIM('7140'!E53&amp;'7140'!F53))&gt;0),1,0)</f>
        <v/>
      </c>
      <c r="E319" s="0">
        <f>IF(D319=1,MAX(E$1:E318)+1,"")</f>
        <v/>
      </c>
      <c r="F319" s="0">
        <f>IF(D319=1,IFERROR(CHOOSE(MATCH("X",'7140'!G53:L53,0),"①","②","③","④","⑤","⑥"),""),"")</f>
        <v/>
      </c>
      <c r="G319" s="0">
        <f>IF(D319=1,IF('7140'!B53="","",'7140'!B53),"")</f>
        <v/>
      </c>
      <c r="H319" s="0">
        <f>IF(D319=1,'7140'!N53&amp;"","")</f>
        <v/>
      </c>
      <c r="I319" s="0">
        <f>IF(D319=1,'7140'!C53&amp;"","")</f>
        <v/>
      </c>
      <c r="J319" s="0">
        <f>IF(D319=1,'7140'!E53&amp;"","")</f>
        <v/>
      </c>
      <c r="K319" s="0">
        <f>IF(D319=1,'7140'!D53&amp;"","")</f>
        <v/>
      </c>
      <c r="L319" s="0">
        <f>IF(D319=1,IF('7140'!F53="","",'7140'!F53),"")</f>
        <v/>
      </c>
    </row>
    <row r="320">
      <c r="A320" s="0" t="inlineStr">
        <is>
          <t>7140 – Leadership II (LEAD II)</t>
        </is>
      </c>
      <c r="B320" s="0" t="inlineStr">
        <is>
          <t>7140</t>
        </is>
      </c>
      <c r="C320" s="0" t="n">
        <v>54</v>
      </c>
      <c r="D320" s="0">
        <f>IF(AND(UPPER(TRIM('7140'!A54))="CHOICE",LEN(TRIM('7140'!E54&amp;'7140'!F54))&gt;0),1,0)</f>
        <v/>
      </c>
      <c r="E320" s="0">
        <f>IF(D320=1,MAX(E$1:E319)+1,"")</f>
        <v/>
      </c>
      <c r="F320" s="0">
        <f>IF(D320=1,IFERROR(CHOOSE(MATCH("X",'7140'!G54:L54,0),"①","②","③","④","⑤","⑥"),""),"")</f>
        <v/>
      </c>
      <c r="G320" s="0">
        <f>IF(D320=1,IF('7140'!B54="","",'7140'!B54),"")</f>
        <v/>
      </c>
      <c r="H320" s="0">
        <f>IF(D320=1,'7140'!N54&amp;"","")</f>
        <v/>
      </c>
      <c r="I320" s="0">
        <f>IF(D320=1,'7140'!C54&amp;"","")</f>
        <v/>
      </c>
      <c r="J320" s="0">
        <f>IF(D320=1,'7140'!E54&amp;"","")</f>
        <v/>
      </c>
      <c r="K320" s="0">
        <f>IF(D320=1,'7140'!D54&amp;"","")</f>
        <v/>
      </c>
      <c r="L320" s="0">
        <f>IF(D320=1,IF('7140'!F54="","",'7140'!F54),"")</f>
        <v/>
      </c>
    </row>
    <row r="321">
      <c r="A321" s="0" t="inlineStr">
        <is>
          <t>7140 – Leadership II (LEAD II)</t>
        </is>
      </c>
      <c r="B321" s="0" t="inlineStr">
        <is>
          <t>7140</t>
        </is>
      </c>
      <c r="C321" s="0" t="n">
        <v>55</v>
      </c>
      <c r="D321" s="0">
        <f>IF(AND(UPPER(TRIM('7140'!A55))="CHOICE",LEN(TRIM('7140'!E55&amp;'7140'!F55))&gt;0),1,0)</f>
        <v/>
      </c>
      <c r="E321" s="0">
        <f>IF(D321=1,MAX(E$1:E320)+1,"")</f>
        <v/>
      </c>
      <c r="F321" s="0">
        <f>IF(D321=1,IFERROR(CHOOSE(MATCH("X",'7140'!G55:L55,0),"①","②","③","④","⑤","⑥"),""),"")</f>
        <v/>
      </c>
      <c r="G321" s="0">
        <f>IF(D321=1,IF('7140'!B55="","",'7140'!B55),"")</f>
        <v/>
      </c>
      <c r="H321" s="0">
        <f>IF(D321=1,'7140'!N55&amp;"","")</f>
        <v/>
      </c>
      <c r="I321" s="0">
        <f>IF(D321=1,'7140'!C55&amp;"","")</f>
        <v/>
      </c>
      <c r="J321" s="0">
        <f>IF(D321=1,'7140'!E55&amp;"","")</f>
        <v/>
      </c>
      <c r="K321" s="0">
        <f>IF(D321=1,'7140'!D55&amp;"","")</f>
        <v/>
      </c>
      <c r="L321" s="0">
        <f>IF(D321=1,IF('7140'!F55="","",'7140'!F55),"")</f>
        <v/>
      </c>
    </row>
    <row r="322">
      <c r="A322" s="0" t="inlineStr">
        <is>
          <t>7140 – Leadership II (LEAD II)</t>
        </is>
      </c>
      <c r="B322" s="0" t="inlineStr">
        <is>
          <t>7140</t>
        </is>
      </c>
      <c r="C322" s="0" t="n">
        <v>56</v>
      </c>
      <c r="D322" s="0">
        <f>IF(AND(UPPER(TRIM('7140'!A56))="CHOICE",LEN(TRIM('7140'!E56&amp;'7140'!F56))&gt;0),1,0)</f>
        <v/>
      </c>
      <c r="E322" s="0">
        <f>IF(D322=1,MAX(E$1:E321)+1,"")</f>
        <v/>
      </c>
      <c r="F322" s="0">
        <f>IF(D322=1,IFERROR(CHOOSE(MATCH("X",'7140'!G56:L56,0),"①","②","③","④","⑤","⑥"),""),"")</f>
        <v/>
      </c>
      <c r="G322" s="0">
        <f>IF(D322=1,IF('7140'!B56="","",'7140'!B56),"")</f>
        <v/>
      </c>
      <c r="H322" s="0">
        <f>IF(D322=1,'7140'!N56&amp;"","")</f>
        <v/>
      </c>
      <c r="I322" s="0">
        <f>IF(D322=1,'7140'!C56&amp;"","")</f>
        <v/>
      </c>
      <c r="J322" s="0">
        <f>IF(D322=1,'7140'!E56&amp;"","")</f>
        <v/>
      </c>
      <c r="K322" s="0">
        <f>IF(D322=1,'7140'!D56&amp;"","")</f>
        <v/>
      </c>
      <c r="L322" s="0">
        <f>IF(D322=1,IF('7140'!F56="","",'7140'!F56),"")</f>
        <v/>
      </c>
    </row>
    <row r="323">
      <c r="A323" s="0" t="inlineStr">
        <is>
          <t>7140 – Leadership II (LEAD II)</t>
        </is>
      </c>
      <c r="B323" s="0" t="inlineStr">
        <is>
          <t>7140</t>
        </is>
      </c>
      <c r="C323" s="0" t="n">
        <v>57</v>
      </c>
      <c r="D323" s="0">
        <f>IF(AND(UPPER(TRIM('7140'!A57))="CHOICE",LEN(TRIM('7140'!E57&amp;'7140'!F57))&gt;0),1,0)</f>
        <v/>
      </c>
      <c r="E323" s="0">
        <f>IF(D323=1,MAX(E$1:E322)+1,"")</f>
        <v/>
      </c>
      <c r="F323" s="0">
        <f>IF(D323=1,IFERROR(CHOOSE(MATCH("X",'7140'!G57:L57,0),"①","②","③","④","⑤","⑥"),""),"")</f>
        <v/>
      </c>
      <c r="G323" s="0">
        <f>IF(D323=1,IF('7140'!B57="","",'7140'!B57),"")</f>
        <v/>
      </c>
      <c r="H323" s="0">
        <f>IF(D323=1,'7140'!N57&amp;"","")</f>
        <v/>
      </c>
      <c r="I323" s="0">
        <f>IF(D323=1,'7140'!C57&amp;"","")</f>
        <v/>
      </c>
      <c r="J323" s="0">
        <f>IF(D323=1,'7140'!E57&amp;"","")</f>
        <v/>
      </c>
      <c r="K323" s="0">
        <f>IF(D323=1,'7140'!D57&amp;"","")</f>
        <v/>
      </c>
      <c r="L323" s="0">
        <f>IF(D323=1,IF('7140'!F57="","",'7140'!F57),"")</f>
        <v/>
      </c>
    </row>
    <row r="324">
      <c r="A324" s="0" t="inlineStr">
        <is>
          <t>7140 – Leadership II (LEAD II)</t>
        </is>
      </c>
      <c r="B324" s="0" t="inlineStr">
        <is>
          <t>7140</t>
        </is>
      </c>
      <c r="C324" s="0" t="n">
        <v>58</v>
      </c>
      <c r="D324" s="0">
        <f>IF(AND(UPPER(TRIM('7140'!A58))="CHOICE",LEN(TRIM('7140'!E58&amp;'7140'!F58))&gt;0),1,0)</f>
        <v/>
      </c>
      <c r="E324" s="0">
        <f>IF(D324=1,MAX(E$1:E323)+1,"")</f>
        <v/>
      </c>
      <c r="F324" s="0">
        <f>IF(D324=1,IFERROR(CHOOSE(MATCH("X",'7140'!G58:L58,0),"①","②","③","④","⑤","⑥"),""),"")</f>
        <v/>
      </c>
      <c r="G324" s="0">
        <f>IF(D324=1,IF('7140'!B58="","",'7140'!B58),"")</f>
        <v/>
      </c>
      <c r="H324" s="0">
        <f>IF(D324=1,'7140'!N58&amp;"","")</f>
        <v/>
      </c>
      <c r="I324" s="0">
        <f>IF(D324=1,'7140'!C58&amp;"","")</f>
        <v/>
      </c>
      <c r="J324" s="0">
        <f>IF(D324=1,'7140'!E58&amp;"","")</f>
        <v/>
      </c>
      <c r="K324" s="0">
        <f>IF(D324=1,'7140'!D58&amp;"","")</f>
        <v/>
      </c>
      <c r="L324" s="0">
        <f>IF(D324=1,IF('7140'!F58="","",'7140'!F58),"")</f>
        <v/>
      </c>
    </row>
    <row r="325">
      <c r="A325" s="0" t="inlineStr">
        <is>
          <t>7140 – Leadership II (LEAD II)</t>
        </is>
      </c>
      <c r="B325" s="0" t="inlineStr">
        <is>
          <t>7140</t>
        </is>
      </c>
      <c r="C325" s="0" t="n">
        <v>59</v>
      </c>
      <c r="D325" s="0">
        <f>IF(AND(UPPER(TRIM('7140'!A59))="CHOICE",LEN(TRIM('7140'!E59&amp;'7140'!F59))&gt;0),1,0)</f>
        <v/>
      </c>
      <c r="E325" s="0">
        <f>IF(D325=1,MAX(E$1:E324)+1,"")</f>
        <v/>
      </c>
      <c r="F325" s="0">
        <f>IF(D325=1,IFERROR(CHOOSE(MATCH("X",'7140'!G59:L59,0),"①","②","③","④","⑤","⑥"),""),"")</f>
        <v/>
      </c>
      <c r="G325" s="0">
        <f>IF(D325=1,IF('7140'!B59="","",'7140'!B59),"")</f>
        <v/>
      </c>
      <c r="H325" s="0">
        <f>IF(D325=1,'7140'!N59&amp;"","")</f>
        <v/>
      </c>
      <c r="I325" s="0">
        <f>IF(D325=1,'7140'!C59&amp;"","")</f>
        <v/>
      </c>
      <c r="J325" s="0">
        <f>IF(D325=1,'7140'!E59&amp;"","")</f>
        <v/>
      </c>
      <c r="K325" s="0">
        <f>IF(D325=1,'7140'!D59&amp;"","")</f>
        <v/>
      </c>
      <c r="L325" s="0">
        <f>IF(D325=1,IF('7140'!F59="","",'7140'!F59),"")</f>
        <v/>
      </c>
    </row>
    <row r="326">
      <c r="A326" s="0" t="inlineStr">
        <is>
          <t>7808 – School Finance</t>
        </is>
      </c>
      <c r="B326" s="0" t="inlineStr">
        <is>
          <t>7808</t>
        </is>
      </c>
      <c r="C326" s="0" t="n">
        <v>6</v>
      </c>
      <c r="D326" s="0">
        <f>IF(AND(UPPER(TRIM('7808'!A6))="CHOICE",LEN(TRIM('7808'!E6&amp;'7808'!F6))&gt;0),1,0)</f>
        <v/>
      </c>
      <c r="E326" s="0">
        <f>IF(D326=1,MAX(E$1:E325)+1,"")</f>
        <v/>
      </c>
      <c r="F326" s="0">
        <f>IF(D326=1,IFERROR(CHOOSE(MATCH("X",'7808'!G6:L6,0),"①","②","③","④","⑤","⑥"),""),"")</f>
        <v/>
      </c>
      <c r="G326" s="0">
        <f>IF(D326=1,IF('7808'!B6="","",'7808'!B6),"")</f>
        <v/>
      </c>
      <c r="H326" s="0">
        <f>IF(D326=1,'7808'!N6&amp;"","")</f>
        <v/>
      </c>
      <c r="I326" s="0">
        <f>IF(D326=1,'7808'!C6&amp;"","")</f>
        <v/>
      </c>
      <c r="J326" s="0">
        <f>IF(D326=1,'7808'!E6&amp;"","")</f>
        <v/>
      </c>
      <c r="K326" s="0">
        <f>IF(D326=1,'7808'!D6&amp;"","")</f>
        <v/>
      </c>
      <c r="L326" s="0">
        <f>IF(D326=1,IF('7808'!F6="","",'7808'!F6),"")</f>
        <v/>
      </c>
    </row>
    <row r="327">
      <c r="A327" s="0" t="inlineStr">
        <is>
          <t>7808 – School Finance</t>
        </is>
      </c>
      <c r="B327" s="0" t="inlineStr">
        <is>
          <t>7808</t>
        </is>
      </c>
      <c r="C327" s="0" t="n">
        <v>7</v>
      </c>
      <c r="D327" s="0">
        <f>IF(AND(UPPER(TRIM('7808'!A7))="CHOICE",LEN(TRIM('7808'!E7&amp;'7808'!F7))&gt;0),1,0)</f>
        <v/>
      </c>
      <c r="E327" s="0">
        <f>IF(D327=1,MAX(E$1:E326)+1,"")</f>
        <v/>
      </c>
      <c r="F327" s="0">
        <f>IF(D327=1,IFERROR(CHOOSE(MATCH("X",'7808'!G7:L7,0),"①","②","③","④","⑤","⑥"),""),"")</f>
        <v/>
      </c>
      <c r="G327" s="0">
        <f>IF(D327=1,IF('7808'!B7="","",'7808'!B7),"")</f>
        <v/>
      </c>
      <c r="H327" s="0">
        <f>IF(D327=1,'7808'!N7&amp;"","")</f>
        <v/>
      </c>
      <c r="I327" s="0">
        <f>IF(D327=1,'7808'!C7&amp;"","")</f>
        <v/>
      </c>
      <c r="J327" s="0">
        <f>IF(D327=1,'7808'!E7&amp;"","")</f>
        <v/>
      </c>
      <c r="K327" s="0">
        <f>IF(D327=1,'7808'!D7&amp;"","")</f>
        <v/>
      </c>
      <c r="L327" s="0">
        <f>IF(D327=1,IF('7808'!F7="","",'7808'!F7),"")</f>
        <v/>
      </c>
    </row>
    <row r="328">
      <c r="A328" s="0" t="inlineStr">
        <is>
          <t>7808 – School Finance</t>
        </is>
      </c>
      <c r="B328" s="0" t="inlineStr">
        <is>
          <t>7808</t>
        </is>
      </c>
      <c r="C328" s="0" t="n">
        <v>8</v>
      </c>
      <c r="D328" s="0">
        <f>IF(AND(UPPER(TRIM('7808'!A8))="CHOICE",LEN(TRIM('7808'!E8&amp;'7808'!F8))&gt;0),1,0)</f>
        <v/>
      </c>
      <c r="E328" s="0">
        <f>IF(D328=1,MAX(E$1:E327)+1,"")</f>
        <v/>
      </c>
      <c r="F328" s="0">
        <f>IF(D328=1,IFERROR(CHOOSE(MATCH("X",'7808'!G8:L8,0),"①","②","③","④","⑤","⑥"),""),"")</f>
        <v/>
      </c>
      <c r="G328" s="0">
        <f>IF(D328=1,IF('7808'!B8="","",'7808'!B8),"")</f>
        <v/>
      </c>
      <c r="H328" s="0">
        <f>IF(D328=1,'7808'!N8&amp;"","")</f>
        <v/>
      </c>
      <c r="I328" s="0">
        <f>IF(D328=1,'7808'!C8&amp;"","")</f>
        <v/>
      </c>
      <c r="J328" s="0">
        <f>IF(D328=1,'7808'!E8&amp;"","")</f>
        <v/>
      </c>
      <c r="K328" s="0">
        <f>IF(D328=1,'7808'!D8&amp;"","")</f>
        <v/>
      </c>
      <c r="L328" s="0">
        <f>IF(D328=1,IF('7808'!F8="","",'7808'!F8),"")</f>
        <v/>
      </c>
    </row>
    <row r="329">
      <c r="A329" s="0" t="inlineStr">
        <is>
          <t>7808 – School Finance</t>
        </is>
      </c>
      <c r="B329" s="0" t="inlineStr">
        <is>
          <t>7808</t>
        </is>
      </c>
      <c r="C329" s="0" t="n">
        <v>9</v>
      </c>
      <c r="D329" s="0">
        <f>IF(AND(UPPER(TRIM('7808'!A9))="CHOICE",LEN(TRIM('7808'!E9&amp;'7808'!F9))&gt;0),1,0)</f>
        <v/>
      </c>
      <c r="E329" s="0">
        <f>IF(D329=1,MAX(E$1:E328)+1,"")</f>
        <v/>
      </c>
      <c r="F329" s="0">
        <f>IF(D329=1,IFERROR(CHOOSE(MATCH("X",'7808'!G9:L9,0),"①","②","③","④","⑤","⑥"),""),"")</f>
        <v/>
      </c>
      <c r="G329" s="0">
        <f>IF(D329=1,IF('7808'!B9="","",'7808'!B9),"")</f>
        <v/>
      </c>
      <c r="H329" s="0">
        <f>IF(D329=1,'7808'!N9&amp;"","")</f>
        <v/>
      </c>
      <c r="I329" s="0">
        <f>IF(D329=1,'7808'!C9&amp;"","")</f>
        <v/>
      </c>
      <c r="J329" s="0">
        <f>IF(D329=1,'7808'!E9&amp;"","")</f>
        <v/>
      </c>
      <c r="K329" s="0">
        <f>IF(D329=1,'7808'!D9&amp;"","")</f>
        <v/>
      </c>
      <c r="L329" s="0">
        <f>IF(D329=1,IF('7808'!F9="","",'7808'!F9),"")</f>
        <v/>
      </c>
    </row>
    <row r="330">
      <c r="A330" s="0" t="inlineStr">
        <is>
          <t>7808 – School Finance</t>
        </is>
      </c>
      <c r="B330" s="0" t="inlineStr">
        <is>
          <t>7808</t>
        </is>
      </c>
      <c r="C330" s="0" t="n">
        <v>10</v>
      </c>
      <c r="D330" s="0">
        <f>IF(AND(UPPER(TRIM('7808'!A10))="CHOICE",LEN(TRIM('7808'!E10&amp;'7808'!F10))&gt;0),1,0)</f>
        <v/>
      </c>
      <c r="E330" s="0">
        <f>IF(D330=1,MAX(E$1:E329)+1,"")</f>
        <v/>
      </c>
      <c r="F330" s="0">
        <f>IF(D330=1,IFERROR(CHOOSE(MATCH("X",'7808'!G10:L10,0),"①","②","③","④","⑤","⑥"),""),"")</f>
        <v/>
      </c>
      <c r="G330" s="0">
        <f>IF(D330=1,IF('7808'!B10="","",'7808'!B10),"")</f>
        <v/>
      </c>
      <c r="H330" s="0">
        <f>IF(D330=1,'7808'!N10&amp;"","")</f>
        <v/>
      </c>
      <c r="I330" s="0">
        <f>IF(D330=1,'7808'!C10&amp;"","")</f>
        <v/>
      </c>
      <c r="J330" s="0">
        <f>IF(D330=1,'7808'!E10&amp;"","")</f>
        <v/>
      </c>
      <c r="K330" s="0">
        <f>IF(D330=1,'7808'!D10&amp;"","")</f>
        <v/>
      </c>
      <c r="L330" s="0">
        <f>IF(D330=1,IF('7808'!F10="","",'7808'!F10),"")</f>
        <v/>
      </c>
    </row>
    <row r="331">
      <c r="A331" s="0" t="inlineStr">
        <is>
          <t>7808 – School Finance</t>
        </is>
      </c>
      <c r="B331" s="0" t="inlineStr">
        <is>
          <t>7808</t>
        </is>
      </c>
      <c r="C331" s="0" t="n">
        <v>11</v>
      </c>
      <c r="D331" s="0">
        <f>IF(AND(UPPER(TRIM('7808'!A11))="CHOICE",LEN(TRIM('7808'!E11&amp;'7808'!F11))&gt;0),1,0)</f>
        <v/>
      </c>
      <c r="E331" s="0">
        <f>IF(D331=1,MAX(E$1:E330)+1,"")</f>
        <v/>
      </c>
      <c r="F331" s="0">
        <f>IF(D331=1,IFERROR(CHOOSE(MATCH("X",'7808'!G11:L11,0),"①","②","③","④","⑤","⑥"),""),"")</f>
        <v/>
      </c>
      <c r="G331" s="0">
        <f>IF(D331=1,IF('7808'!B11="","",'7808'!B11),"")</f>
        <v/>
      </c>
      <c r="H331" s="0">
        <f>IF(D331=1,'7808'!N11&amp;"","")</f>
        <v/>
      </c>
      <c r="I331" s="0">
        <f>IF(D331=1,'7808'!C11&amp;"","")</f>
        <v/>
      </c>
      <c r="J331" s="0">
        <f>IF(D331=1,'7808'!E11&amp;"","")</f>
        <v/>
      </c>
      <c r="K331" s="0">
        <f>IF(D331=1,'7808'!D11&amp;"","")</f>
        <v/>
      </c>
      <c r="L331" s="0">
        <f>IF(D331=1,IF('7808'!F11="","",'7808'!F11),"")</f>
        <v/>
      </c>
    </row>
    <row r="332">
      <c r="A332" s="0" t="inlineStr">
        <is>
          <t>7808 – School Finance</t>
        </is>
      </c>
      <c r="B332" s="0" t="inlineStr">
        <is>
          <t>7808</t>
        </is>
      </c>
      <c r="C332" s="0" t="n">
        <v>12</v>
      </c>
      <c r="D332" s="0">
        <f>IF(AND(UPPER(TRIM('7808'!A12))="CHOICE",LEN(TRIM('7808'!E12&amp;'7808'!F12))&gt;0),1,0)</f>
        <v/>
      </c>
      <c r="E332" s="0">
        <f>IF(D332=1,MAX(E$1:E331)+1,"")</f>
        <v/>
      </c>
      <c r="F332" s="0">
        <f>IF(D332=1,IFERROR(CHOOSE(MATCH("X",'7808'!G12:L12,0),"①","②","③","④","⑤","⑥"),""),"")</f>
        <v/>
      </c>
      <c r="G332" s="0">
        <f>IF(D332=1,IF('7808'!B12="","",'7808'!B12),"")</f>
        <v/>
      </c>
      <c r="H332" s="0">
        <f>IF(D332=1,'7808'!N12&amp;"","")</f>
        <v/>
      </c>
      <c r="I332" s="0">
        <f>IF(D332=1,'7808'!C12&amp;"","")</f>
        <v/>
      </c>
      <c r="J332" s="0">
        <f>IF(D332=1,'7808'!E12&amp;"","")</f>
        <v/>
      </c>
      <c r="K332" s="0">
        <f>IF(D332=1,'7808'!D12&amp;"","")</f>
        <v/>
      </c>
      <c r="L332" s="0">
        <f>IF(D332=1,IF('7808'!F12="","",'7808'!F12),"")</f>
        <v/>
      </c>
    </row>
    <row r="333">
      <c r="A333" s="0" t="inlineStr">
        <is>
          <t>7808 – School Finance</t>
        </is>
      </c>
      <c r="B333" s="0" t="inlineStr">
        <is>
          <t>7808</t>
        </is>
      </c>
      <c r="C333" s="0" t="n">
        <v>13</v>
      </c>
      <c r="D333" s="0">
        <f>IF(AND(UPPER(TRIM('7808'!A13))="CHOICE",LEN(TRIM('7808'!E13&amp;'7808'!F13))&gt;0),1,0)</f>
        <v/>
      </c>
      <c r="E333" s="0">
        <f>IF(D333=1,MAX(E$1:E332)+1,"")</f>
        <v/>
      </c>
      <c r="F333" s="0">
        <f>IF(D333=1,IFERROR(CHOOSE(MATCH("X",'7808'!G13:L13,0),"①","②","③","④","⑤","⑥"),""),"")</f>
        <v/>
      </c>
      <c r="G333" s="0">
        <f>IF(D333=1,IF('7808'!B13="","",'7808'!B13),"")</f>
        <v/>
      </c>
      <c r="H333" s="0">
        <f>IF(D333=1,'7808'!N13&amp;"","")</f>
        <v/>
      </c>
      <c r="I333" s="0">
        <f>IF(D333=1,'7808'!C13&amp;"","")</f>
        <v/>
      </c>
      <c r="J333" s="0">
        <f>IF(D333=1,'7808'!E13&amp;"","")</f>
        <v/>
      </c>
      <c r="K333" s="0">
        <f>IF(D333=1,'7808'!D13&amp;"","")</f>
        <v/>
      </c>
      <c r="L333" s="0">
        <f>IF(D333=1,IF('7808'!F13="","",'7808'!F13),"")</f>
        <v/>
      </c>
    </row>
    <row r="334">
      <c r="A334" s="0" t="inlineStr">
        <is>
          <t>7808 – School Finance</t>
        </is>
      </c>
      <c r="B334" s="0" t="inlineStr">
        <is>
          <t>7808</t>
        </is>
      </c>
      <c r="C334" s="0" t="n">
        <v>14</v>
      </c>
      <c r="D334" s="0">
        <f>IF(AND(UPPER(TRIM('7808'!A14))="CHOICE",LEN(TRIM('7808'!E14&amp;'7808'!F14))&gt;0),1,0)</f>
        <v/>
      </c>
      <c r="E334" s="0">
        <f>IF(D334=1,MAX(E$1:E333)+1,"")</f>
        <v/>
      </c>
      <c r="F334" s="0">
        <f>IF(D334=1,IFERROR(CHOOSE(MATCH("X",'7808'!G14:L14,0),"①","②","③","④","⑤","⑥"),""),"")</f>
        <v/>
      </c>
      <c r="G334" s="0">
        <f>IF(D334=1,IF('7808'!B14="","",'7808'!B14),"")</f>
        <v/>
      </c>
      <c r="H334" s="0">
        <f>IF(D334=1,'7808'!N14&amp;"","")</f>
        <v/>
      </c>
      <c r="I334" s="0">
        <f>IF(D334=1,'7808'!C14&amp;"","")</f>
        <v/>
      </c>
      <c r="J334" s="0">
        <f>IF(D334=1,'7808'!E14&amp;"","")</f>
        <v/>
      </c>
      <c r="K334" s="0">
        <f>IF(D334=1,'7808'!D14&amp;"","")</f>
        <v/>
      </c>
      <c r="L334" s="0">
        <f>IF(D334=1,IF('7808'!F14="","",'7808'!F14),"")</f>
        <v/>
      </c>
    </row>
    <row r="335">
      <c r="A335" s="0" t="inlineStr">
        <is>
          <t>7808 – School Finance</t>
        </is>
      </c>
      <c r="B335" s="0" t="inlineStr">
        <is>
          <t>7808</t>
        </is>
      </c>
      <c r="C335" s="0" t="n">
        <v>15</v>
      </c>
      <c r="D335" s="0">
        <f>IF(AND(UPPER(TRIM('7808'!A15))="CHOICE",LEN(TRIM('7808'!E15&amp;'7808'!F15))&gt;0),1,0)</f>
        <v/>
      </c>
      <c r="E335" s="0">
        <f>IF(D335=1,MAX(E$1:E334)+1,"")</f>
        <v/>
      </c>
      <c r="F335" s="0">
        <f>IF(D335=1,IFERROR(CHOOSE(MATCH("X",'7808'!G15:L15,0),"①","②","③","④","⑤","⑥"),""),"")</f>
        <v/>
      </c>
      <c r="G335" s="0">
        <f>IF(D335=1,IF('7808'!B15="","",'7808'!B15),"")</f>
        <v/>
      </c>
      <c r="H335" s="0">
        <f>IF(D335=1,'7808'!N15&amp;"","")</f>
        <v/>
      </c>
      <c r="I335" s="0">
        <f>IF(D335=1,'7808'!C15&amp;"","")</f>
        <v/>
      </c>
      <c r="J335" s="0">
        <f>IF(D335=1,'7808'!E15&amp;"","")</f>
        <v/>
      </c>
      <c r="K335" s="0">
        <f>IF(D335=1,'7808'!D15&amp;"","")</f>
        <v/>
      </c>
      <c r="L335" s="0">
        <f>IF(D335=1,IF('7808'!F15="","",'7808'!F15),"")</f>
        <v/>
      </c>
    </row>
    <row r="336">
      <c r="A336" s="0" t="inlineStr">
        <is>
          <t>7808 – School Finance</t>
        </is>
      </c>
      <c r="B336" s="0" t="inlineStr">
        <is>
          <t>7808</t>
        </is>
      </c>
      <c r="C336" s="0" t="n">
        <v>16</v>
      </c>
      <c r="D336" s="0">
        <f>IF(AND(UPPER(TRIM('7808'!A16))="CHOICE",LEN(TRIM('7808'!E16&amp;'7808'!F16))&gt;0),1,0)</f>
        <v/>
      </c>
      <c r="E336" s="0">
        <f>IF(D336=1,MAX(E$1:E335)+1,"")</f>
        <v/>
      </c>
      <c r="F336" s="0">
        <f>IF(D336=1,IFERROR(CHOOSE(MATCH("X",'7808'!G16:L16,0),"①","②","③","④","⑤","⑥"),""),"")</f>
        <v/>
      </c>
      <c r="G336" s="0">
        <f>IF(D336=1,IF('7808'!B16="","",'7808'!B16),"")</f>
        <v/>
      </c>
      <c r="H336" s="0">
        <f>IF(D336=1,'7808'!N16&amp;"","")</f>
        <v/>
      </c>
      <c r="I336" s="0">
        <f>IF(D336=1,'7808'!C16&amp;"","")</f>
        <v/>
      </c>
      <c r="J336" s="0">
        <f>IF(D336=1,'7808'!E16&amp;"","")</f>
        <v/>
      </c>
      <c r="K336" s="0">
        <f>IF(D336=1,'7808'!D16&amp;"","")</f>
        <v/>
      </c>
      <c r="L336" s="0">
        <f>IF(D336=1,IF('7808'!F16="","",'7808'!F16),"")</f>
        <v/>
      </c>
    </row>
    <row r="337">
      <c r="A337" s="0" t="inlineStr">
        <is>
          <t>7808 – School Finance</t>
        </is>
      </c>
      <c r="B337" s="0" t="inlineStr">
        <is>
          <t>7808</t>
        </is>
      </c>
      <c r="C337" s="0" t="n">
        <v>17</v>
      </c>
      <c r="D337" s="0">
        <f>IF(AND(UPPER(TRIM('7808'!A17))="CHOICE",LEN(TRIM('7808'!E17&amp;'7808'!F17))&gt;0),1,0)</f>
        <v/>
      </c>
      <c r="E337" s="0">
        <f>IF(D337=1,MAX(E$1:E336)+1,"")</f>
        <v/>
      </c>
      <c r="F337" s="0">
        <f>IF(D337=1,IFERROR(CHOOSE(MATCH("X",'7808'!G17:L17,0),"①","②","③","④","⑤","⑥"),""),"")</f>
        <v/>
      </c>
      <c r="G337" s="0">
        <f>IF(D337=1,IF('7808'!B17="","",'7808'!B17),"")</f>
        <v/>
      </c>
      <c r="H337" s="0">
        <f>IF(D337=1,'7808'!N17&amp;"","")</f>
        <v/>
      </c>
      <c r="I337" s="0">
        <f>IF(D337=1,'7808'!C17&amp;"","")</f>
        <v/>
      </c>
      <c r="J337" s="0">
        <f>IF(D337=1,'7808'!E17&amp;"","")</f>
        <v/>
      </c>
      <c r="K337" s="0">
        <f>IF(D337=1,'7808'!D17&amp;"","")</f>
        <v/>
      </c>
      <c r="L337" s="0">
        <f>IF(D337=1,IF('7808'!F17="","",'7808'!F17),"")</f>
        <v/>
      </c>
    </row>
    <row r="338">
      <c r="A338" s="0" t="inlineStr">
        <is>
          <t>7808 – School Finance</t>
        </is>
      </c>
      <c r="B338" s="0" t="inlineStr">
        <is>
          <t>7808</t>
        </is>
      </c>
      <c r="C338" s="0" t="n">
        <v>18</v>
      </c>
      <c r="D338" s="0">
        <f>IF(AND(UPPER(TRIM('7808'!A18))="CHOICE",LEN(TRIM('7808'!E18&amp;'7808'!F18))&gt;0),1,0)</f>
        <v/>
      </c>
      <c r="E338" s="0">
        <f>IF(D338=1,MAX(E$1:E337)+1,"")</f>
        <v/>
      </c>
      <c r="F338" s="0">
        <f>IF(D338=1,IFERROR(CHOOSE(MATCH("X",'7808'!G18:L18,0),"①","②","③","④","⑤","⑥"),""),"")</f>
        <v/>
      </c>
      <c r="G338" s="0">
        <f>IF(D338=1,IF('7808'!B18="","",'7808'!B18),"")</f>
        <v/>
      </c>
      <c r="H338" s="0">
        <f>IF(D338=1,'7808'!N18&amp;"","")</f>
        <v/>
      </c>
      <c r="I338" s="0">
        <f>IF(D338=1,'7808'!C18&amp;"","")</f>
        <v/>
      </c>
      <c r="J338" s="0">
        <f>IF(D338=1,'7808'!E18&amp;"","")</f>
        <v/>
      </c>
      <c r="K338" s="0">
        <f>IF(D338=1,'7808'!D18&amp;"","")</f>
        <v/>
      </c>
      <c r="L338" s="0">
        <f>IF(D338=1,IF('7808'!F18="","",'7808'!F18),"")</f>
        <v/>
      </c>
    </row>
    <row r="339">
      <c r="A339" s="0" t="inlineStr">
        <is>
          <t>7808 – School Finance</t>
        </is>
      </c>
      <c r="B339" s="0" t="inlineStr">
        <is>
          <t>7808</t>
        </is>
      </c>
      <c r="C339" s="0" t="n">
        <v>19</v>
      </c>
      <c r="D339" s="0">
        <f>IF(AND(UPPER(TRIM('7808'!A19))="CHOICE",LEN(TRIM('7808'!E19&amp;'7808'!F19))&gt;0),1,0)</f>
        <v/>
      </c>
      <c r="E339" s="0">
        <f>IF(D339=1,MAX(E$1:E338)+1,"")</f>
        <v/>
      </c>
      <c r="F339" s="0">
        <f>IF(D339=1,IFERROR(CHOOSE(MATCH("X",'7808'!G19:L19,0),"①","②","③","④","⑤","⑥"),""),"")</f>
        <v/>
      </c>
      <c r="G339" s="0">
        <f>IF(D339=1,IF('7808'!B19="","",'7808'!B19),"")</f>
        <v/>
      </c>
      <c r="H339" s="0">
        <f>IF(D339=1,'7808'!N19&amp;"","")</f>
        <v/>
      </c>
      <c r="I339" s="0">
        <f>IF(D339=1,'7808'!C19&amp;"","")</f>
        <v/>
      </c>
      <c r="J339" s="0">
        <f>IF(D339=1,'7808'!E19&amp;"","")</f>
        <v/>
      </c>
      <c r="K339" s="0">
        <f>IF(D339=1,'7808'!D19&amp;"","")</f>
        <v/>
      </c>
      <c r="L339" s="0">
        <f>IF(D339=1,IF('7808'!F19="","",'7808'!F19),"")</f>
        <v/>
      </c>
    </row>
    <row r="340">
      <c r="A340" s="0" t="inlineStr">
        <is>
          <t>7808 – School Finance</t>
        </is>
      </c>
      <c r="B340" s="0" t="inlineStr">
        <is>
          <t>7808</t>
        </is>
      </c>
      <c r="C340" s="0" t="n">
        <v>20</v>
      </c>
      <c r="D340" s="0">
        <f>IF(AND(UPPER(TRIM('7808'!A20))="CHOICE",LEN(TRIM('7808'!E20&amp;'7808'!F20))&gt;0),1,0)</f>
        <v/>
      </c>
      <c r="E340" s="0">
        <f>IF(D340=1,MAX(E$1:E339)+1,"")</f>
        <v/>
      </c>
      <c r="F340" s="0">
        <f>IF(D340=1,IFERROR(CHOOSE(MATCH("X",'7808'!G20:L20,0),"①","②","③","④","⑤","⑥"),""),"")</f>
        <v/>
      </c>
      <c r="G340" s="0">
        <f>IF(D340=1,IF('7808'!B20="","",'7808'!B20),"")</f>
        <v/>
      </c>
      <c r="H340" s="0">
        <f>IF(D340=1,'7808'!N20&amp;"","")</f>
        <v/>
      </c>
      <c r="I340" s="0">
        <f>IF(D340=1,'7808'!C20&amp;"","")</f>
        <v/>
      </c>
      <c r="J340" s="0">
        <f>IF(D340=1,'7808'!E20&amp;"","")</f>
        <v/>
      </c>
      <c r="K340" s="0">
        <f>IF(D340=1,'7808'!D20&amp;"","")</f>
        <v/>
      </c>
      <c r="L340" s="0">
        <f>IF(D340=1,IF('7808'!F20="","",'7808'!F20),"")</f>
        <v/>
      </c>
    </row>
    <row r="341">
      <c r="A341" s="0" t="inlineStr">
        <is>
          <t>7808 – School Finance</t>
        </is>
      </c>
      <c r="B341" s="0" t="inlineStr">
        <is>
          <t>7808</t>
        </is>
      </c>
      <c r="C341" s="0" t="n">
        <v>21</v>
      </c>
      <c r="D341" s="0">
        <f>IF(AND(UPPER(TRIM('7808'!A21))="CHOICE",LEN(TRIM('7808'!E21&amp;'7808'!F21))&gt;0),1,0)</f>
        <v/>
      </c>
      <c r="E341" s="0">
        <f>IF(D341=1,MAX(E$1:E340)+1,"")</f>
        <v/>
      </c>
      <c r="F341" s="0">
        <f>IF(D341=1,IFERROR(CHOOSE(MATCH("X",'7808'!G21:L21,0),"①","②","③","④","⑤","⑥"),""),"")</f>
        <v/>
      </c>
      <c r="G341" s="0">
        <f>IF(D341=1,IF('7808'!B21="","",'7808'!B21),"")</f>
        <v/>
      </c>
      <c r="H341" s="0">
        <f>IF(D341=1,'7808'!N21&amp;"","")</f>
        <v/>
      </c>
      <c r="I341" s="0">
        <f>IF(D341=1,'7808'!C21&amp;"","")</f>
        <v/>
      </c>
      <c r="J341" s="0">
        <f>IF(D341=1,'7808'!E21&amp;"","")</f>
        <v/>
      </c>
      <c r="K341" s="0">
        <f>IF(D341=1,'7808'!D21&amp;"","")</f>
        <v/>
      </c>
      <c r="L341" s="0">
        <f>IF(D341=1,IF('7808'!F21="","",'7808'!F21),"")</f>
        <v/>
      </c>
    </row>
    <row r="342">
      <c r="A342" s="0" t="inlineStr">
        <is>
          <t>7808 – School Finance</t>
        </is>
      </c>
      <c r="B342" s="0" t="inlineStr">
        <is>
          <t>7808</t>
        </is>
      </c>
      <c r="C342" s="0" t="n">
        <v>22</v>
      </c>
      <c r="D342" s="0">
        <f>IF(AND(UPPER(TRIM('7808'!A22))="CHOICE",LEN(TRIM('7808'!E22&amp;'7808'!F22))&gt;0),1,0)</f>
        <v/>
      </c>
      <c r="E342" s="0">
        <f>IF(D342=1,MAX(E$1:E341)+1,"")</f>
        <v/>
      </c>
      <c r="F342" s="0">
        <f>IF(D342=1,IFERROR(CHOOSE(MATCH("X",'7808'!G22:L22,0),"①","②","③","④","⑤","⑥"),""),"")</f>
        <v/>
      </c>
      <c r="G342" s="0">
        <f>IF(D342=1,IF('7808'!B22="","",'7808'!B22),"")</f>
        <v/>
      </c>
      <c r="H342" s="0">
        <f>IF(D342=1,'7808'!N22&amp;"","")</f>
        <v/>
      </c>
      <c r="I342" s="0">
        <f>IF(D342=1,'7808'!C22&amp;"","")</f>
        <v/>
      </c>
      <c r="J342" s="0">
        <f>IF(D342=1,'7808'!E22&amp;"","")</f>
        <v/>
      </c>
      <c r="K342" s="0">
        <f>IF(D342=1,'7808'!D22&amp;"","")</f>
        <v/>
      </c>
      <c r="L342" s="0">
        <f>IF(D342=1,IF('7808'!F22="","",'7808'!F22),"")</f>
        <v/>
      </c>
    </row>
    <row r="343">
      <c r="A343" s="0" t="inlineStr">
        <is>
          <t>7808 – School Finance</t>
        </is>
      </c>
      <c r="B343" s="0" t="inlineStr">
        <is>
          <t>7808</t>
        </is>
      </c>
      <c r="C343" s="0" t="n">
        <v>23</v>
      </c>
      <c r="D343" s="0">
        <f>IF(AND(UPPER(TRIM('7808'!A23))="CHOICE",LEN(TRIM('7808'!E23&amp;'7808'!F23))&gt;0),1,0)</f>
        <v/>
      </c>
      <c r="E343" s="0">
        <f>IF(D343=1,MAX(E$1:E342)+1,"")</f>
        <v/>
      </c>
      <c r="F343" s="0">
        <f>IF(D343=1,IFERROR(CHOOSE(MATCH("X",'7808'!G23:L23,0),"①","②","③","④","⑤","⑥"),""),"")</f>
        <v/>
      </c>
      <c r="G343" s="0">
        <f>IF(D343=1,IF('7808'!B23="","",'7808'!B23),"")</f>
        <v/>
      </c>
      <c r="H343" s="0">
        <f>IF(D343=1,'7808'!N23&amp;"","")</f>
        <v/>
      </c>
      <c r="I343" s="0">
        <f>IF(D343=1,'7808'!C23&amp;"","")</f>
        <v/>
      </c>
      <c r="J343" s="0">
        <f>IF(D343=1,'7808'!E23&amp;"","")</f>
        <v/>
      </c>
      <c r="K343" s="0">
        <f>IF(D343=1,'7808'!D23&amp;"","")</f>
        <v/>
      </c>
      <c r="L343" s="0">
        <f>IF(D343=1,IF('7808'!F23="","",'7808'!F23),"")</f>
        <v/>
      </c>
    </row>
    <row r="344">
      <c r="A344" s="0" t="inlineStr">
        <is>
          <t>7808 – School Finance</t>
        </is>
      </c>
      <c r="B344" s="0" t="inlineStr">
        <is>
          <t>7808</t>
        </is>
      </c>
      <c r="C344" s="0" t="n">
        <v>24</v>
      </c>
      <c r="D344" s="0">
        <f>IF(AND(UPPER(TRIM('7808'!A24))="CHOICE",LEN(TRIM('7808'!E24&amp;'7808'!F24))&gt;0),1,0)</f>
        <v/>
      </c>
      <c r="E344" s="0">
        <f>IF(D344=1,MAX(E$1:E343)+1,"")</f>
        <v/>
      </c>
      <c r="F344" s="0">
        <f>IF(D344=1,IFERROR(CHOOSE(MATCH("X",'7808'!G24:L24,0),"①","②","③","④","⑤","⑥"),""),"")</f>
        <v/>
      </c>
      <c r="G344" s="0">
        <f>IF(D344=1,IF('7808'!B24="","",'7808'!B24),"")</f>
        <v/>
      </c>
      <c r="H344" s="0">
        <f>IF(D344=1,'7808'!N24&amp;"","")</f>
        <v/>
      </c>
      <c r="I344" s="0">
        <f>IF(D344=1,'7808'!C24&amp;"","")</f>
        <v/>
      </c>
      <c r="J344" s="0">
        <f>IF(D344=1,'7808'!E24&amp;"","")</f>
        <v/>
      </c>
      <c r="K344" s="0">
        <f>IF(D344=1,'7808'!D24&amp;"","")</f>
        <v/>
      </c>
      <c r="L344" s="0">
        <f>IF(D344=1,IF('7808'!F24="","",'7808'!F24),"")</f>
        <v/>
      </c>
    </row>
    <row r="345">
      <c r="A345" s="0" t="inlineStr">
        <is>
          <t>7808 – School Finance</t>
        </is>
      </c>
      <c r="B345" s="0" t="inlineStr">
        <is>
          <t>7808</t>
        </is>
      </c>
      <c r="C345" s="0" t="n">
        <v>25</v>
      </c>
      <c r="D345" s="0">
        <f>IF(AND(UPPER(TRIM('7808'!A25))="CHOICE",LEN(TRIM('7808'!E25&amp;'7808'!F25))&gt;0),1,0)</f>
        <v/>
      </c>
      <c r="E345" s="0">
        <f>IF(D345=1,MAX(E$1:E344)+1,"")</f>
        <v/>
      </c>
      <c r="F345" s="0">
        <f>IF(D345=1,IFERROR(CHOOSE(MATCH("X",'7808'!G25:L25,0),"①","②","③","④","⑤","⑥"),""),"")</f>
        <v/>
      </c>
      <c r="G345" s="0">
        <f>IF(D345=1,IF('7808'!B25="","",'7808'!B25),"")</f>
        <v/>
      </c>
      <c r="H345" s="0">
        <f>IF(D345=1,'7808'!N25&amp;"","")</f>
        <v/>
      </c>
      <c r="I345" s="0">
        <f>IF(D345=1,'7808'!C25&amp;"","")</f>
        <v/>
      </c>
      <c r="J345" s="0">
        <f>IF(D345=1,'7808'!E25&amp;"","")</f>
        <v/>
      </c>
      <c r="K345" s="0">
        <f>IF(D345=1,'7808'!D25&amp;"","")</f>
        <v/>
      </c>
      <c r="L345" s="0">
        <f>IF(D345=1,IF('7808'!F25="","",'7808'!F25),"")</f>
        <v/>
      </c>
    </row>
    <row r="346">
      <c r="A346" s="0" t="inlineStr">
        <is>
          <t>7808 – School Finance</t>
        </is>
      </c>
      <c r="B346" s="0" t="inlineStr">
        <is>
          <t>7808</t>
        </is>
      </c>
      <c r="C346" s="0" t="n">
        <v>26</v>
      </c>
      <c r="D346" s="0">
        <f>IF(AND(UPPER(TRIM('7808'!A26))="CHOICE",LEN(TRIM('7808'!E26&amp;'7808'!F26))&gt;0),1,0)</f>
        <v/>
      </c>
      <c r="E346" s="0">
        <f>IF(D346=1,MAX(E$1:E345)+1,"")</f>
        <v/>
      </c>
      <c r="F346" s="0">
        <f>IF(D346=1,IFERROR(CHOOSE(MATCH("X",'7808'!G26:L26,0),"①","②","③","④","⑤","⑥"),""),"")</f>
        <v/>
      </c>
      <c r="G346" s="0">
        <f>IF(D346=1,IF('7808'!B26="","",'7808'!B26),"")</f>
        <v/>
      </c>
      <c r="H346" s="0">
        <f>IF(D346=1,'7808'!N26&amp;"","")</f>
        <v/>
      </c>
      <c r="I346" s="0">
        <f>IF(D346=1,'7808'!C26&amp;"","")</f>
        <v/>
      </c>
      <c r="J346" s="0">
        <f>IF(D346=1,'7808'!E26&amp;"","")</f>
        <v/>
      </c>
      <c r="K346" s="0">
        <f>IF(D346=1,'7808'!D26&amp;"","")</f>
        <v/>
      </c>
      <c r="L346" s="0">
        <f>IF(D346=1,IF('7808'!F26="","",'7808'!F26),"")</f>
        <v/>
      </c>
    </row>
    <row r="347">
      <c r="A347" s="0" t="inlineStr">
        <is>
          <t>7808 – School Finance</t>
        </is>
      </c>
      <c r="B347" s="0" t="inlineStr">
        <is>
          <t>7808</t>
        </is>
      </c>
      <c r="C347" s="0" t="n">
        <v>27</v>
      </c>
      <c r="D347" s="0">
        <f>IF(AND(UPPER(TRIM('7808'!A27))="CHOICE",LEN(TRIM('7808'!E27&amp;'7808'!F27))&gt;0),1,0)</f>
        <v/>
      </c>
      <c r="E347" s="0">
        <f>IF(D347=1,MAX(E$1:E346)+1,"")</f>
        <v/>
      </c>
      <c r="F347" s="0">
        <f>IF(D347=1,IFERROR(CHOOSE(MATCH("X",'7808'!G27:L27,0),"①","②","③","④","⑤","⑥"),""),"")</f>
        <v/>
      </c>
      <c r="G347" s="0">
        <f>IF(D347=1,IF('7808'!B27="","",'7808'!B27),"")</f>
        <v/>
      </c>
      <c r="H347" s="0">
        <f>IF(D347=1,'7808'!N27&amp;"","")</f>
        <v/>
      </c>
      <c r="I347" s="0">
        <f>IF(D347=1,'7808'!C27&amp;"","")</f>
        <v/>
      </c>
      <c r="J347" s="0">
        <f>IF(D347=1,'7808'!E27&amp;"","")</f>
        <v/>
      </c>
      <c r="K347" s="0">
        <f>IF(D347=1,'7808'!D27&amp;"","")</f>
        <v/>
      </c>
      <c r="L347" s="0">
        <f>IF(D347=1,IF('7808'!F27="","",'7808'!F27),"")</f>
        <v/>
      </c>
    </row>
    <row r="348">
      <c r="A348" s="0" t="inlineStr">
        <is>
          <t>7808 – School Finance</t>
        </is>
      </c>
      <c r="B348" s="0" t="inlineStr">
        <is>
          <t>7808</t>
        </is>
      </c>
      <c r="C348" s="0" t="n">
        <v>28</v>
      </c>
      <c r="D348" s="0">
        <f>IF(AND(UPPER(TRIM('7808'!A28))="CHOICE",LEN(TRIM('7808'!E28&amp;'7808'!F28))&gt;0),1,0)</f>
        <v/>
      </c>
      <c r="E348" s="0">
        <f>IF(D348=1,MAX(E$1:E347)+1,"")</f>
        <v/>
      </c>
      <c r="F348" s="0">
        <f>IF(D348=1,IFERROR(CHOOSE(MATCH("X",'7808'!G28:L28,0),"①","②","③","④","⑤","⑥"),""),"")</f>
        <v/>
      </c>
      <c r="G348" s="0">
        <f>IF(D348=1,IF('7808'!B28="","",'7808'!B28),"")</f>
        <v/>
      </c>
      <c r="H348" s="0">
        <f>IF(D348=1,'7808'!N28&amp;"","")</f>
        <v/>
      </c>
      <c r="I348" s="0">
        <f>IF(D348=1,'7808'!C28&amp;"","")</f>
        <v/>
      </c>
      <c r="J348" s="0">
        <f>IF(D348=1,'7808'!E28&amp;"","")</f>
        <v/>
      </c>
      <c r="K348" s="0">
        <f>IF(D348=1,'7808'!D28&amp;"","")</f>
        <v/>
      </c>
      <c r="L348" s="0">
        <f>IF(D348=1,IF('7808'!F28="","",'7808'!F28),"")</f>
        <v/>
      </c>
    </row>
    <row r="349">
      <c r="A349" s="0" t="inlineStr">
        <is>
          <t>7808 – School Finance</t>
        </is>
      </c>
      <c r="B349" s="0" t="inlineStr">
        <is>
          <t>7808</t>
        </is>
      </c>
      <c r="C349" s="0" t="n">
        <v>29</v>
      </c>
      <c r="D349" s="0">
        <f>IF(AND(UPPER(TRIM('7808'!A29))="CHOICE",LEN(TRIM('7808'!E29&amp;'7808'!F29))&gt;0),1,0)</f>
        <v/>
      </c>
      <c r="E349" s="0">
        <f>IF(D349=1,MAX(E$1:E348)+1,"")</f>
        <v/>
      </c>
      <c r="F349" s="0">
        <f>IF(D349=1,IFERROR(CHOOSE(MATCH("X",'7808'!G29:L29,0),"①","②","③","④","⑤","⑥"),""),"")</f>
        <v/>
      </c>
      <c r="G349" s="0">
        <f>IF(D349=1,IF('7808'!B29="","",'7808'!B29),"")</f>
        <v/>
      </c>
      <c r="H349" s="0">
        <f>IF(D349=1,'7808'!N29&amp;"","")</f>
        <v/>
      </c>
      <c r="I349" s="0">
        <f>IF(D349=1,'7808'!C29&amp;"","")</f>
        <v/>
      </c>
      <c r="J349" s="0">
        <f>IF(D349=1,'7808'!E29&amp;"","")</f>
        <v/>
      </c>
      <c r="K349" s="0">
        <f>IF(D349=1,'7808'!D29&amp;"","")</f>
        <v/>
      </c>
      <c r="L349" s="0">
        <f>IF(D349=1,IF('7808'!F29="","",'7808'!F29),"")</f>
        <v/>
      </c>
    </row>
    <row r="350">
      <c r="A350" s="0" t="inlineStr">
        <is>
          <t>7808 – School Finance</t>
        </is>
      </c>
      <c r="B350" s="0" t="inlineStr">
        <is>
          <t>7808</t>
        </is>
      </c>
      <c r="C350" s="0" t="n">
        <v>30</v>
      </c>
      <c r="D350" s="0">
        <f>IF(AND(UPPER(TRIM('7808'!A30))="CHOICE",LEN(TRIM('7808'!E30&amp;'7808'!F30))&gt;0),1,0)</f>
        <v/>
      </c>
      <c r="E350" s="0">
        <f>IF(D350=1,MAX(E$1:E349)+1,"")</f>
        <v/>
      </c>
      <c r="F350" s="0">
        <f>IF(D350=1,IFERROR(CHOOSE(MATCH("X",'7808'!G30:L30,0),"①","②","③","④","⑤","⑥"),""),"")</f>
        <v/>
      </c>
      <c r="G350" s="0">
        <f>IF(D350=1,IF('7808'!B30="","",'7808'!B30),"")</f>
        <v/>
      </c>
      <c r="H350" s="0">
        <f>IF(D350=1,'7808'!N30&amp;"","")</f>
        <v/>
      </c>
      <c r="I350" s="0">
        <f>IF(D350=1,'7808'!C30&amp;"","")</f>
        <v/>
      </c>
      <c r="J350" s="0">
        <f>IF(D350=1,'7808'!E30&amp;"","")</f>
        <v/>
      </c>
      <c r="K350" s="0">
        <f>IF(D350=1,'7808'!D30&amp;"","")</f>
        <v/>
      </c>
      <c r="L350" s="0">
        <f>IF(D350=1,IF('7808'!F30="","",'7808'!F30),"")</f>
        <v/>
      </c>
    </row>
    <row r="351">
      <c r="A351" s="0" t="inlineStr">
        <is>
          <t>7808 – School Finance</t>
        </is>
      </c>
      <c r="B351" s="0" t="inlineStr">
        <is>
          <t>7808</t>
        </is>
      </c>
      <c r="C351" s="0" t="n">
        <v>31</v>
      </c>
      <c r="D351" s="0">
        <f>IF(AND(UPPER(TRIM('7808'!A31))="CHOICE",LEN(TRIM('7808'!E31&amp;'7808'!F31))&gt;0),1,0)</f>
        <v/>
      </c>
      <c r="E351" s="0">
        <f>IF(D351=1,MAX(E$1:E350)+1,"")</f>
        <v/>
      </c>
      <c r="F351" s="0">
        <f>IF(D351=1,IFERROR(CHOOSE(MATCH("X",'7808'!G31:L31,0),"①","②","③","④","⑤","⑥"),""),"")</f>
        <v/>
      </c>
      <c r="G351" s="0">
        <f>IF(D351=1,IF('7808'!B31="","",'7808'!B31),"")</f>
        <v/>
      </c>
      <c r="H351" s="0">
        <f>IF(D351=1,'7808'!N31&amp;"","")</f>
        <v/>
      </c>
      <c r="I351" s="0">
        <f>IF(D351=1,'7808'!C31&amp;"","")</f>
        <v/>
      </c>
      <c r="J351" s="0">
        <f>IF(D351=1,'7808'!E31&amp;"","")</f>
        <v/>
      </c>
      <c r="K351" s="0">
        <f>IF(D351=1,'7808'!D31&amp;"","")</f>
        <v/>
      </c>
      <c r="L351" s="0">
        <f>IF(D351=1,IF('7808'!F31="","",'7808'!F31),"")</f>
        <v/>
      </c>
    </row>
    <row r="352">
      <c r="A352" s="0" t="inlineStr">
        <is>
          <t>7808 – School Finance</t>
        </is>
      </c>
      <c r="B352" s="0" t="inlineStr">
        <is>
          <t>7808</t>
        </is>
      </c>
      <c r="C352" s="0" t="n">
        <v>32</v>
      </c>
      <c r="D352" s="0">
        <f>IF(AND(UPPER(TRIM('7808'!A32))="CHOICE",LEN(TRIM('7808'!E32&amp;'7808'!F32))&gt;0),1,0)</f>
        <v/>
      </c>
      <c r="E352" s="0">
        <f>IF(D352=1,MAX(E$1:E351)+1,"")</f>
        <v/>
      </c>
      <c r="F352" s="0">
        <f>IF(D352=1,IFERROR(CHOOSE(MATCH("X",'7808'!G32:L32,0),"①","②","③","④","⑤","⑥"),""),"")</f>
        <v/>
      </c>
      <c r="G352" s="0">
        <f>IF(D352=1,IF('7808'!B32="","",'7808'!B32),"")</f>
        <v/>
      </c>
      <c r="H352" s="0">
        <f>IF(D352=1,'7808'!N32&amp;"","")</f>
        <v/>
      </c>
      <c r="I352" s="0">
        <f>IF(D352=1,'7808'!C32&amp;"","")</f>
        <v/>
      </c>
      <c r="J352" s="0">
        <f>IF(D352=1,'7808'!E32&amp;"","")</f>
        <v/>
      </c>
      <c r="K352" s="0">
        <f>IF(D352=1,'7808'!D32&amp;"","")</f>
        <v/>
      </c>
      <c r="L352" s="0">
        <f>IF(D352=1,IF('7808'!F32="","",'7808'!F32),"")</f>
        <v/>
      </c>
    </row>
    <row r="353">
      <c r="A353" s="0" t="inlineStr">
        <is>
          <t>7808 – School Finance</t>
        </is>
      </c>
      <c r="B353" s="0" t="inlineStr">
        <is>
          <t>7808</t>
        </is>
      </c>
      <c r="C353" s="0" t="n">
        <v>33</v>
      </c>
      <c r="D353" s="0">
        <f>IF(AND(UPPER(TRIM('7808'!A33))="CHOICE",LEN(TRIM('7808'!E33&amp;'7808'!F33))&gt;0),1,0)</f>
        <v/>
      </c>
      <c r="E353" s="0">
        <f>IF(D353=1,MAX(E$1:E352)+1,"")</f>
        <v/>
      </c>
      <c r="F353" s="0">
        <f>IF(D353=1,IFERROR(CHOOSE(MATCH("X",'7808'!G33:L33,0),"①","②","③","④","⑤","⑥"),""),"")</f>
        <v/>
      </c>
      <c r="G353" s="0">
        <f>IF(D353=1,IF('7808'!B33="","",'7808'!B33),"")</f>
        <v/>
      </c>
      <c r="H353" s="0">
        <f>IF(D353=1,'7808'!N33&amp;"","")</f>
        <v/>
      </c>
      <c r="I353" s="0">
        <f>IF(D353=1,'7808'!C33&amp;"","")</f>
        <v/>
      </c>
      <c r="J353" s="0">
        <f>IF(D353=1,'7808'!E33&amp;"","")</f>
        <v/>
      </c>
      <c r="K353" s="0">
        <f>IF(D353=1,'7808'!D33&amp;"","")</f>
        <v/>
      </c>
      <c r="L353" s="0">
        <f>IF(D353=1,IF('7808'!F33="","",'7808'!F33),"")</f>
        <v/>
      </c>
    </row>
    <row r="354">
      <c r="A354" s="0" t="inlineStr">
        <is>
          <t>7808 – School Finance</t>
        </is>
      </c>
      <c r="B354" s="0" t="inlineStr">
        <is>
          <t>7808</t>
        </is>
      </c>
      <c r="C354" s="0" t="n">
        <v>34</v>
      </c>
      <c r="D354" s="0">
        <f>IF(AND(UPPER(TRIM('7808'!A34))="CHOICE",LEN(TRIM('7808'!E34&amp;'7808'!F34))&gt;0),1,0)</f>
        <v/>
      </c>
      <c r="E354" s="0">
        <f>IF(D354=1,MAX(E$1:E353)+1,"")</f>
        <v/>
      </c>
      <c r="F354" s="0">
        <f>IF(D354=1,IFERROR(CHOOSE(MATCH("X",'7808'!G34:L34,0),"①","②","③","④","⑤","⑥"),""),"")</f>
        <v/>
      </c>
      <c r="G354" s="0">
        <f>IF(D354=1,IF('7808'!B34="","",'7808'!B34),"")</f>
        <v/>
      </c>
      <c r="H354" s="0">
        <f>IF(D354=1,'7808'!N34&amp;"","")</f>
        <v/>
      </c>
      <c r="I354" s="0">
        <f>IF(D354=1,'7808'!C34&amp;"","")</f>
        <v/>
      </c>
      <c r="J354" s="0">
        <f>IF(D354=1,'7808'!E34&amp;"","")</f>
        <v/>
      </c>
      <c r="K354" s="0">
        <f>IF(D354=1,'7808'!D34&amp;"","")</f>
        <v/>
      </c>
      <c r="L354" s="0">
        <f>IF(D354=1,IF('7808'!F34="","",'7808'!F34),"")</f>
        <v/>
      </c>
    </row>
    <row r="355">
      <c r="A355" s="0" t="inlineStr">
        <is>
          <t>7808 – School Finance</t>
        </is>
      </c>
      <c r="B355" s="0" t="inlineStr">
        <is>
          <t>7808</t>
        </is>
      </c>
      <c r="C355" s="0" t="n">
        <v>35</v>
      </c>
      <c r="D355" s="0">
        <f>IF(AND(UPPER(TRIM('7808'!A35))="CHOICE",LEN(TRIM('7808'!E35&amp;'7808'!F35))&gt;0),1,0)</f>
        <v/>
      </c>
      <c r="E355" s="0">
        <f>IF(D355=1,MAX(E$1:E354)+1,"")</f>
        <v/>
      </c>
      <c r="F355" s="0">
        <f>IF(D355=1,IFERROR(CHOOSE(MATCH("X",'7808'!G35:L35,0),"①","②","③","④","⑤","⑥"),""),"")</f>
        <v/>
      </c>
      <c r="G355" s="0">
        <f>IF(D355=1,IF('7808'!B35="","",'7808'!B35),"")</f>
        <v/>
      </c>
      <c r="H355" s="0">
        <f>IF(D355=1,'7808'!N35&amp;"","")</f>
        <v/>
      </c>
      <c r="I355" s="0">
        <f>IF(D355=1,'7808'!C35&amp;"","")</f>
        <v/>
      </c>
      <c r="J355" s="0">
        <f>IF(D355=1,'7808'!E35&amp;"","")</f>
        <v/>
      </c>
      <c r="K355" s="0">
        <f>IF(D355=1,'7808'!D35&amp;"","")</f>
        <v/>
      </c>
      <c r="L355" s="0">
        <f>IF(D355=1,IF('7808'!F35="","",'7808'!F35),"")</f>
        <v/>
      </c>
    </row>
    <row r="356">
      <c r="A356" s="0" t="inlineStr">
        <is>
          <t>7808 – School Finance</t>
        </is>
      </c>
      <c r="B356" s="0" t="inlineStr">
        <is>
          <t>7808</t>
        </is>
      </c>
      <c r="C356" s="0" t="n">
        <v>36</v>
      </c>
      <c r="D356" s="0">
        <f>IF(AND(UPPER(TRIM('7808'!A36))="CHOICE",LEN(TRIM('7808'!E36&amp;'7808'!F36))&gt;0),1,0)</f>
        <v/>
      </c>
      <c r="E356" s="0">
        <f>IF(D356=1,MAX(E$1:E355)+1,"")</f>
        <v/>
      </c>
      <c r="F356" s="0">
        <f>IF(D356=1,IFERROR(CHOOSE(MATCH("X",'7808'!G36:L36,0),"①","②","③","④","⑤","⑥"),""),"")</f>
        <v/>
      </c>
      <c r="G356" s="0">
        <f>IF(D356=1,IF('7808'!B36="","",'7808'!B36),"")</f>
        <v/>
      </c>
      <c r="H356" s="0">
        <f>IF(D356=1,'7808'!N36&amp;"","")</f>
        <v/>
      </c>
      <c r="I356" s="0">
        <f>IF(D356=1,'7808'!C36&amp;"","")</f>
        <v/>
      </c>
      <c r="J356" s="0">
        <f>IF(D356=1,'7808'!E36&amp;"","")</f>
        <v/>
      </c>
      <c r="K356" s="0">
        <f>IF(D356=1,'7808'!D36&amp;"","")</f>
        <v/>
      </c>
      <c r="L356" s="0">
        <f>IF(D356=1,IF('7808'!F36="","",'7808'!F36),"")</f>
        <v/>
      </c>
    </row>
    <row r="357">
      <c r="A357" s="0" t="inlineStr">
        <is>
          <t>7808 – School Finance</t>
        </is>
      </c>
      <c r="B357" s="0" t="inlineStr">
        <is>
          <t>7808</t>
        </is>
      </c>
      <c r="C357" s="0" t="n">
        <v>37</v>
      </c>
      <c r="D357" s="0">
        <f>IF(AND(UPPER(TRIM('7808'!A37))="CHOICE",LEN(TRIM('7808'!E37&amp;'7808'!F37))&gt;0),1,0)</f>
        <v/>
      </c>
      <c r="E357" s="0">
        <f>IF(D357=1,MAX(E$1:E356)+1,"")</f>
        <v/>
      </c>
      <c r="F357" s="0">
        <f>IF(D357=1,IFERROR(CHOOSE(MATCH("X",'7808'!G37:L37,0),"①","②","③","④","⑤","⑥"),""),"")</f>
        <v/>
      </c>
      <c r="G357" s="0">
        <f>IF(D357=1,IF('7808'!B37="","",'7808'!B37),"")</f>
        <v/>
      </c>
      <c r="H357" s="0">
        <f>IF(D357=1,'7808'!N37&amp;"","")</f>
        <v/>
      </c>
      <c r="I357" s="0">
        <f>IF(D357=1,'7808'!C37&amp;"","")</f>
        <v/>
      </c>
      <c r="J357" s="0">
        <f>IF(D357=1,'7808'!E37&amp;"","")</f>
        <v/>
      </c>
      <c r="K357" s="0">
        <f>IF(D357=1,'7808'!D37&amp;"","")</f>
        <v/>
      </c>
      <c r="L357" s="0">
        <f>IF(D357=1,IF('7808'!F37="","",'7808'!F37),"")</f>
        <v/>
      </c>
    </row>
    <row r="358">
      <c r="A358" s="0" t="inlineStr">
        <is>
          <t>7808 – School Finance</t>
        </is>
      </c>
      <c r="B358" s="0" t="inlineStr">
        <is>
          <t>7808</t>
        </is>
      </c>
      <c r="C358" s="0" t="n">
        <v>38</v>
      </c>
      <c r="D358" s="0">
        <f>IF(AND(UPPER(TRIM('7808'!A38))="CHOICE",LEN(TRIM('7808'!E38&amp;'7808'!F38))&gt;0),1,0)</f>
        <v/>
      </c>
      <c r="E358" s="0">
        <f>IF(D358=1,MAX(E$1:E357)+1,"")</f>
        <v/>
      </c>
      <c r="F358" s="0">
        <f>IF(D358=1,IFERROR(CHOOSE(MATCH("X",'7808'!G38:L38,0),"①","②","③","④","⑤","⑥"),""),"")</f>
        <v/>
      </c>
      <c r="G358" s="0">
        <f>IF(D358=1,IF('7808'!B38="","",'7808'!B38),"")</f>
        <v/>
      </c>
      <c r="H358" s="0">
        <f>IF(D358=1,'7808'!N38&amp;"","")</f>
        <v/>
      </c>
      <c r="I358" s="0">
        <f>IF(D358=1,'7808'!C38&amp;"","")</f>
        <v/>
      </c>
      <c r="J358" s="0">
        <f>IF(D358=1,'7808'!E38&amp;"","")</f>
        <v/>
      </c>
      <c r="K358" s="0">
        <f>IF(D358=1,'7808'!D38&amp;"","")</f>
        <v/>
      </c>
      <c r="L358" s="0">
        <f>IF(D358=1,IF('7808'!F38="","",'7808'!F38),"")</f>
        <v/>
      </c>
    </row>
    <row r="359">
      <c r="A359" s="0" t="inlineStr">
        <is>
          <t>7808 – School Finance</t>
        </is>
      </c>
      <c r="B359" s="0" t="inlineStr">
        <is>
          <t>7808</t>
        </is>
      </c>
      <c r="C359" s="0" t="n">
        <v>39</v>
      </c>
      <c r="D359" s="0">
        <f>IF(AND(UPPER(TRIM('7808'!A39))="CHOICE",LEN(TRIM('7808'!E39&amp;'7808'!F39))&gt;0),1,0)</f>
        <v/>
      </c>
      <c r="E359" s="0">
        <f>IF(D359=1,MAX(E$1:E358)+1,"")</f>
        <v/>
      </c>
      <c r="F359" s="0">
        <f>IF(D359=1,IFERROR(CHOOSE(MATCH("X",'7808'!G39:L39,0),"①","②","③","④","⑤","⑥"),""),"")</f>
        <v/>
      </c>
      <c r="G359" s="0">
        <f>IF(D359=1,IF('7808'!B39="","",'7808'!B39),"")</f>
        <v/>
      </c>
      <c r="H359" s="0">
        <f>IF(D359=1,'7808'!N39&amp;"","")</f>
        <v/>
      </c>
      <c r="I359" s="0">
        <f>IF(D359=1,'7808'!C39&amp;"","")</f>
        <v/>
      </c>
      <c r="J359" s="0">
        <f>IF(D359=1,'7808'!E39&amp;"","")</f>
        <v/>
      </c>
      <c r="K359" s="0">
        <f>IF(D359=1,'7808'!D39&amp;"","")</f>
        <v/>
      </c>
      <c r="L359" s="0">
        <f>IF(D359=1,IF('7808'!F39="","",'7808'!F39),"")</f>
        <v/>
      </c>
    </row>
    <row r="360">
      <c r="A360" s="0" t="inlineStr">
        <is>
          <t>7808 – School Finance</t>
        </is>
      </c>
      <c r="B360" s="0" t="inlineStr">
        <is>
          <t>7808</t>
        </is>
      </c>
      <c r="C360" s="0" t="n">
        <v>40</v>
      </c>
      <c r="D360" s="0">
        <f>IF(AND(UPPER(TRIM('7808'!A40))="CHOICE",LEN(TRIM('7808'!E40&amp;'7808'!F40))&gt;0),1,0)</f>
        <v/>
      </c>
      <c r="E360" s="0">
        <f>IF(D360=1,MAX(E$1:E359)+1,"")</f>
        <v/>
      </c>
      <c r="F360" s="0">
        <f>IF(D360=1,IFERROR(CHOOSE(MATCH("X",'7808'!G40:L40,0),"①","②","③","④","⑤","⑥"),""),"")</f>
        <v/>
      </c>
      <c r="G360" s="0">
        <f>IF(D360=1,IF('7808'!B40="","",'7808'!B40),"")</f>
        <v/>
      </c>
      <c r="H360" s="0">
        <f>IF(D360=1,'7808'!N40&amp;"","")</f>
        <v/>
      </c>
      <c r="I360" s="0">
        <f>IF(D360=1,'7808'!C40&amp;"","")</f>
        <v/>
      </c>
      <c r="J360" s="0">
        <f>IF(D360=1,'7808'!E40&amp;"","")</f>
        <v/>
      </c>
      <c r="K360" s="0">
        <f>IF(D360=1,'7808'!D40&amp;"","")</f>
        <v/>
      </c>
      <c r="L360" s="0">
        <f>IF(D360=1,IF('7808'!F40="","",'7808'!F40),"")</f>
        <v/>
      </c>
    </row>
    <row r="361">
      <c r="A361" s="0" t="inlineStr">
        <is>
          <t>7808 – School Finance</t>
        </is>
      </c>
      <c r="B361" s="0" t="inlineStr">
        <is>
          <t>7808</t>
        </is>
      </c>
      <c r="C361" s="0" t="n">
        <v>41</v>
      </c>
      <c r="D361" s="0">
        <f>IF(AND(UPPER(TRIM('7808'!A41))="CHOICE",LEN(TRIM('7808'!E41&amp;'7808'!F41))&gt;0),1,0)</f>
        <v/>
      </c>
      <c r="E361" s="0">
        <f>IF(D361=1,MAX(E$1:E360)+1,"")</f>
        <v/>
      </c>
      <c r="F361" s="0">
        <f>IF(D361=1,IFERROR(CHOOSE(MATCH("X",'7808'!G41:L41,0),"①","②","③","④","⑤","⑥"),""),"")</f>
        <v/>
      </c>
      <c r="G361" s="0">
        <f>IF(D361=1,IF('7808'!B41="","",'7808'!B41),"")</f>
        <v/>
      </c>
      <c r="H361" s="0">
        <f>IF(D361=1,'7808'!N41&amp;"","")</f>
        <v/>
      </c>
      <c r="I361" s="0">
        <f>IF(D361=1,'7808'!C41&amp;"","")</f>
        <v/>
      </c>
      <c r="J361" s="0">
        <f>IF(D361=1,'7808'!E41&amp;"","")</f>
        <v/>
      </c>
      <c r="K361" s="0">
        <f>IF(D361=1,'7808'!D41&amp;"","")</f>
        <v/>
      </c>
      <c r="L361" s="0">
        <f>IF(D361=1,IF('7808'!F41="","",'7808'!F41),"")</f>
        <v/>
      </c>
    </row>
    <row r="362">
      <c r="A362" s="0" t="inlineStr">
        <is>
          <t>7808 – School Finance</t>
        </is>
      </c>
      <c r="B362" s="0" t="inlineStr">
        <is>
          <t>7808</t>
        </is>
      </c>
      <c r="C362" s="0" t="n">
        <v>42</v>
      </c>
      <c r="D362" s="0">
        <f>IF(AND(UPPER(TRIM('7808'!A42))="CHOICE",LEN(TRIM('7808'!E42&amp;'7808'!F42))&gt;0),1,0)</f>
        <v/>
      </c>
      <c r="E362" s="0">
        <f>IF(D362=1,MAX(E$1:E361)+1,"")</f>
        <v/>
      </c>
      <c r="F362" s="0">
        <f>IF(D362=1,IFERROR(CHOOSE(MATCH("X",'7808'!G42:L42,0),"①","②","③","④","⑤","⑥"),""),"")</f>
        <v/>
      </c>
      <c r="G362" s="0">
        <f>IF(D362=1,IF('7808'!B42="","",'7808'!B42),"")</f>
        <v/>
      </c>
      <c r="H362" s="0">
        <f>IF(D362=1,'7808'!N42&amp;"","")</f>
        <v/>
      </c>
      <c r="I362" s="0">
        <f>IF(D362=1,'7808'!C42&amp;"","")</f>
        <v/>
      </c>
      <c r="J362" s="0">
        <f>IF(D362=1,'7808'!E42&amp;"","")</f>
        <v/>
      </c>
      <c r="K362" s="0">
        <f>IF(D362=1,'7808'!D42&amp;"","")</f>
        <v/>
      </c>
      <c r="L362" s="0">
        <f>IF(D362=1,IF('7808'!F42="","",'7808'!F42),"")</f>
        <v/>
      </c>
    </row>
    <row r="363">
      <c r="A363" s="0" t="inlineStr">
        <is>
          <t>7808 – School Finance</t>
        </is>
      </c>
      <c r="B363" s="0" t="inlineStr">
        <is>
          <t>7808</t>
        </is>
      </c>
      <c r="C363" s="0" t="n">
        <v>43</v>
      </c>
      <c r="D363" s="0">
        <f>IF(AND(UPPER(TRIM('7808'!A43))="CHOICE",LEN(TRIM('7808'!E43&amp;'7808'!F43))&gt;0),1,0)</f>
        <v/>
      </c>
      <c r="E363" s="0">
        <f>IF(D363=1,MAX(E$1:E362)+1,"")</f>
        <v/>
      </c>
      <c r="F363" s="0">
        <f>IF(D363=1,IFERROR(CHOOSE(MATCH("X",'7808'!G43:L43,0),"①","②","③","④","⑤","⑥"),""),"")</f>
        <v/>
      </c>
      <c r="G363" s="0">
        <f>IF(D363=1,IF('7808'!B43="","",'7808'!B43),"")</f>
        <v/>
      </c>
      <c r="H363" s="0">
        <f>IF(D363=1,'7808'!N43&amp;"","")</f>
        <v/>
      </c>
      <c r="I363" s="0">
        <f>IF(D363=1,'7808'!C43&amp;"","")</f>
        <v/>
      </c>
      <c r="J363" s="0">
        <f>IF(D363=1,'7808'!E43&amp;"","")</f>
        <v/>
      </c>
      <c r="K363" s="0">
        <f>IF(D363=1,'7808'!D43&amp;"","")</f>
        <v/>
      </c>
      <c r="L363" s="0">
        <f>IF(D363=1,IF('7808'!F43="","",'7808'!F43),"")</f>
        <v/>
      </c>
    </row>
    <row r="364">
      <c r="A364" s="0" t="inlineStr">
        <is>
          <t>7808 – School Finance</t>
        </is>
      </c>
      <c r="B364" s="0" t="inlineStr">
        <is>
          <t>7808</t>
        </is>
      </c>
      <c r="C364" s="0" t="n">
        <v>44</v>
      </c>
      <c r="D364" s="0">
        <f>IF(AND(UPPER(TRIM('7808'!A44))="CHOICE",LEN(TRIM('7808'!E44&amp;'7808'!F44))&gt;0),1,0)</f>
        <v/>
      </c>
      <c r="E364" s="0">
        <f>IF(D364=1,MAX(E$1:E363)+1,"")</f>
        <v/>
      </c>
      <c r="F364" s="0">
        <f>IF(D364=1,IFERROR(CHOOSE(MATCH("X",'7808'!G44:L44,0),"①","②","③","④","⑤","⑥"),""),"")</f>
        <v/>
      </c>
      <c r="G364" s="0">
        <f>IF(D364=1,IF('7808'!B44="","",'7808'!B44),"")</f>
        <v/>
      </c>
      <c r="H364" s="0">
        <f>IF(D364=1,'7808'!N44&amp;"","")</f>
        <v/>
      </c>
      <c r="I364" s="0">
        <f>IF(D364=1,'7808'!C44&amp;"","")</f>
        <v/>
      </c>
      <c r="J364" s="0">
        <f>IF(D364=1,'7808'!E44&amp;"","")</f>
        <v/>
      </c>
      <c r="K364" s="0">
        <f>IF(D364=1,'7808'!D44&amp;"","")</f>
        <v/>
      </c>
      <c r="L364" s="0">
        <f>IF(D364=1,IF('7808'!F44="","",'7808'!F44),"")</f>
        <v/>
      </c>
    </row>
    <row r="365">
      <c r="A365" s="0" t="inlineStr">
        <is>
          <t>7808 – School Finance</t>
        </is>
      </c>
      <c r="B365" s="0" t="inlineStr">
        <is>
          <t>7808</t>
        </is>
      </c>
      <c r="C365" s="0" t="n">
        <v>45</v>
      </c>
      <c r="D365" s="0">
        <f>IF(AND(UPPER(TRIM('7808'!A45))="CHOICE",LEN(TRIM('7808'!E45&amp;'7808'!F45))&gt;0),1,0)</f>
        <v/>
      </c>
      <c r="E365" s="0">
        <f>IF(D365=1,MAX(E$1:E364)+1,"")</f>
        <v/>
      </c>
      <c r="F365" s="0">
        <f>IF(D365=1,IFERROR(CHOOSE(MATCH("X",'7808'!G45:L45,0),"①","②","③","④","⑤","⑥"),""),"")</f>
        <v/>
      </c>
      <c r="G365" s="0">
        <f>IF(D365=1,IF('7808'!B45="","",'7808'!B45),"")</f>
        <v/>
      </c>
      <c r="H365" s="0">
        <f>IF(D365=1,'7808'!N45&amp;"","")</f>
        <v/>
      </c>
      <c r="I365" s="0">
        <f>IF(D365=1,'7808'!C45&amp;"","")</f>
        <v/>
      </c>
      <c r="J365" s="0">
        <f>IF(D365=1,'7808'!E45&amp;"","")</f>
        <v/>
      </c>
      <c r="K365" s="0">
        <f>IF(D365=1,'7808'!D45&amp;"","")</f>
        <v/>
      </c>
      <c r="L365" s="0">
        <f>IF(D365=1,IF('7808'!F45="","",'7808'!F45),"")</f>
        <v/>
      </c>
    </row>
    <row r="366">
      <c r="A366" s="0" t="inlineStr">
        <is>
          <t>7808 – School Finance</t>
        </is>
      </c>
      <c r="B366" s="0" t="inlineStr">
        <is>
          <t>7808</t>
        </is>
      </c>
      <c r="C366" s="0" t="n">
        <v>46</v>
      </c>
      <c r="D366" s="0">
        <f>IF(AND(UPPER(TRIM('7808'!A46))="CHOICE",LEN(TRIM('7808'!E46&amp;'7808'!F46))&gt;0),1,0)</f>
        <v/>
      </c>
      <c r="E366" s="0">
        <f>IF(D366=1,MAX(E$1:E365)+1,"")</f>
        <v/>
      </c>
      <c r="F366" s="0">
        <f>IF(D366=1,IFERROR(CHOOSE(MATCH("X",'7808'!G46:L46,0),"①","②","③","④","⑤","⑥"),""),"")</f>
        <v/>
      </c>
      <c r="G366" s="0">
        <f>IF(D366=1,IF('7808'!B46="","",'7808'!B46),"")</f>
        <v/>
      </c>
      <c r="H366" s="0">
        <f>IF(D366=1,'7808'!N46&amp;"","")</f>
        <v/>
      </c>
      <c r="I366" s="0">
        <f>IF(D366=1,'7808'!C46&amp;"","")</f>
        <v/>
      </c>
      <c r="J366" s="0">
        <f>IF(D366=1,'7808'!E46&amp;"","")</f>
        <v/>
      </c>
      <c r="K366" s="0">
        <f>IF(D366=1,'7808'!D46&amp;"","")</f>
        <v/>
      </c>
      <c r="L366" s="0">
        <f>IF(D366=1,IF('7808'!F46="","",'7808'!F46),"")</f>
        <v/>
      </c>
    </row>
    <row r="367">
      <c r="A367" s="0" t="inlineStr">
        <is>
          <t>7808 – School Finance</t>
        </is>
      </c>
      <c r="B367" s="0" t="inlineStr">
        <is>
          <t>7808</t>
        </is>
      </c>
      <c r="C367" s="0" t="n">
        <v>47</v>
      </c>
      <c r="D367" s="0">
        <f>IF(AND(UPPER(TRIM('7808'!A47))="CHOICE",LEN(TRIM('7808'!E47&amp;'7808'!F47))&gt;0),1,0)</f>
        <v/>
      </c>
      <c r="E367" s="0">
        <f>IF(D367=1,MAX(E$1:E366)+1,"")</f>
        <v/>
      </c>
      <c r="F367" s="0">
        <f>IF(D367=1,IFERROR(CHOOSE(MATCH("X",'7808'!G47:L47,0),"①","②","③","④","⑤","⑥"),""),"")</f>
        <v/>
      </c>
      <c r="G367" s="0">
        <f>IF(D367=1,IF('7808'!B47="","",'7808'!B47),"")</f>
        <v/>
      </c>
      <c r="H367" s="0">
        <f>IF(D367=1,'7808'!N47&amp;"","")</f>
        <v/>
      </c>
      <c r="I367" s="0">
        <f>IF(D367=1,'7808'!C47&amp;"","")</f>
        <v/>
      </c>
      <c r="J367" s="0">
        <f>IF(D367=1,'7808'!E47&amp;"","")</f>
        <v/>
      </c>
      <c r="K367" s="0">
        <f>IF(D367=1,'7808'!D47&amp;"","")</f>
        <v/>
      </c>
      <c r="L367" s="0">
        <f>IF(D367=1,IF('7808'!F47="","",'7808'!F47),"")</f>
        <v/>
      </c>
    </row>
    <row r="368">
      <c r="A368" s="0" t="inlineStr">
        <is>
          <t>7808 – School Finance</t>
        </is>
      </c>
      <c r="B368" s="0" t="inlineStr">
        <is>
          <t>7808</t>
        </is>
      </c>
      <c r="C368" s="0" t="n">
        <v>48</v>
      </c>
      <c r="D368" s="0">
        <f>IF(AND(UPPER(TRIM('7808'!A48))="CHOICE",LEN(TRIM('7808'!E48&amp;'7808'!F48))&gt;0),1,0)</f>
        <v/>
      </c>
      <c r="E368" s="0">
        <f>IF(D368=1,MAX(E$1:E367)+1,"")</f>
        <v/>
      </c>
      <c r="F368" s="0">
        <f>IF(D368=1,IFERROR(CHOOSE(MATCH("X",'7808'!G48:L48,0),"①","②","③","④","⑤","⑥"),""),"")</f>
        <v/>
      </c>
      <c r="G368" s="0">
        <f>IF(D368=1,IF('7808'!B48="","",'7808'!B48),"")</f>
        <v/>
      </c>
      <c r="H368" s="0">
        <f>IF(D368=1,'7808'!N48&amp;"","")</f>
        <v/>
      </c>
      <c r="I368" s="0">
        <f>IF(D368=1,'7808'!C48&amp;"","")</f>
        <v/>
      </c>
      <c r="J368" s="0">
        <f>IF(D368=1,'7808'!E48&amp;"","")</f>
        <v/>
      </c>
      <c r="K368" s="0">
        <f>IF(D368=1,'7808'!D48&amp;"","")</f>
        <v/>
      </c>
      <c r="L368" s="0">
        <f>IF(D368=1,IF('7808'!F48="","",'7808'!F48),"")</f>
        <v/>
      </c>
    </row>
    <row r="369">
      <c r="A369" s="0" t="inlineStr">
        <is>
          <t>7808 – School Finance</t>
        </is>
      </c>
      <c r="B369" s="0" t="inlineStr">
        <is>
          <t>7808</t>
        </is>
      </c>
      <c r="C369" s="0" t="n">
        <v>49</v>
      </c>
      <c r="D369" s="0">
        <f>IF(AND(UPPER(TRIM('7808'!A49))="CHOICE",LEN(TRIM('7808'!E49&amp;'7808'!F49))&gt;0),1,0)</f>
        <v/>
      </c>
      <c r="E369" s="0">
        <f>IF(D369=1,MAX(E$1:E368)+1,"")</f>
        <v/>
      </c>
      <c r="F369" s="0">
        <f>IF(D369=1,IFERROR(CHOOSE(MATCH("X",'7808'!G49:L49,0),"①","②","③","④","⑤","⑥"),""),"")</f>
        <v/>
      </c>
      <c r="G369" s="0">
        <f>IF(D369=1,IF('7808'!B49="","",'7808'!B49),"")</f>
        <v/>
      </c>
      <c r="H369" s="0">
        <f>IF(D369=1,'7808'!N49&amp;"","")</f>
        <v/>
      </c>
      <c r="I369" s="0">
        <f>IF(D369=1,'7808'!C49&amp;"","")</f>
        <v/>
      </c>
      <c r="J369" s="0">
        <f>IF(D369=1,'7808'!E49&amp;"","")</f>
        <v/>
      </c>
      <c r="K369" s="0">
        <f>IF(D369=1,'7808'!D49&amp;"","")</f>
        <v/>
      </c>
      <c r="L369" s="0">
        <f>IF(D369=1,IF('7808'!F49="","",'7808'!F49),"")</f>
        <v/>
      </c>
    </row>
    <row r="370">
      <c r="A370" s="0" t="inlineStr">
        <is>
          <t>7808 – School Finance</t>
        </is>
      </c>
      <c r="B370" s="0" t="inlineStr">
        <is>
          <t>7808</t>
        </is>
      </c>
      <c r="C370" s="0" t="n">
        <v>50</v>
      </c>
      <c r="D370" s="0">
        <f>IF(AND(UPPER(TRIM('7808'!A50))="CHOICE",LEN(TRIM('7808'!E50&amp;'7808'!F50))&gt;0),1,0)</f>
        <v/>
      </c>
      <c r="E370" s="0">
        <f>IF(D370=1,MAX(E$1:E369)+1,"")</f>
        <v/>
      </c>
      <c r="F370" s="0">
        <f>IF(D370=1,IFERROR(CHOOSE(MATCH("X",'7808'!G50:L50,0),"①","②","③","④","⑤","⑥"),""),"")</f>
        <v/>
      </c>
      <c r="G370" s="0">
        <f>IF(D370=1,IF('7808'!B50="","",'7808'!B50),"")</f>
        <v/>
      </c>
      <c r="H370" s="0">
        <f>IF(D370=1,'7808'!N50&amp;"","")</f>
        <v/>
      </c>
      <c r="I370" s="0">
        <f>IF(D370=1,'7808'!C50&amp;"","")</f>
        <v/>
      </c>
      <c r="J370" s="0">
        <f>IF(D370=1,'7808'!E50&amp;"","")</f>
        <v/>
      </c>
      <c r="K370" s="0">
        <f>IF(D370=1,'7808'!D50&amp;"","")</f>
        <v/>
      </c>
      <c r="L370" s="0">
        <f>IF(D370=1,IF('7808'!F50="","",'7808'!F50),"")</f>
        <v/>
      </c>
    </row>
    <row r="371">
      <c r="A371" s="0" t="inlineStr">
        <is>
          <t>7808 – School Finance</t>
        </is>
      </c>
      <c r="B371" s="0" t="inlineStr">
        <is>
          <t>7808</t>
        </is>
      </c>
      <c r="C371" s="0" t="n">
        <v>51</v>
      </c>
      <c r="D371" s="0">
        <f>IF(AND(UPPER(TRIM('7808'!A51))="CHOICE",LEN(TRIM('7808'!E51&amp;'7808'!F51))&gt;0),1,0)</f>
        <v/>
      </c>
      <c r="E371" s="0">
        <f>IF(D371=1,MAX(E$1:E370)+1,"")</f>
        <v/>
      </c>
      <c r="F371" s="0">
        <f>IF(D371=1,IFERROR(CHOOSE(MATCH("X",'7808'!G51:L51,0),"①","②","③","④","⑤","⑥"),""),"")</f>
        <v/>
      </c>
      <c r="G371" s="0">
        <f>IF(D371=1,IF('7808'!B51="","",'7808'!B51),"")</f>
        <v/>
      </c>
      <c r="H371" s="0">
        <f>IF(D371=1,'7808'!N51&amp;"","")</f>
        <v/>
      </c>
      <c r="I371" s="0">
        <f>IF(D371=1,'7808'!C51&amp;"","")</f>
        <v/>
      </c>
      <c r="J371" s="0">
        <f>IF(D371=1,'7808'!E51&amp;"","")</f>
        <v/>
      </c>
      <c r="K371" s="0">
        <f>IF(D371=1,'7808'!D51&amp;"","")</f>
        <v/>
      </c>
      <c r="L371" s="0">
        <f>IF(D371=1,IF('7808'!F51="","",'7808'!F51),"")</f>
        <v/>
      </c>
    </row>
    <row r="372">
      <c r="A372" s="0" t="inlineStr">
        <is>
          <t>7808 – School Finance</t>
        </is>
      </c>
      <c r="B372" s="0" t="inlineStr">
        <is>
          <t>7808</t>
        </is>
      </c>
      <c r="C372" s="0" t="n">
        <v>52</v>
      </c>
      <c r="D372" s="0">
        <f>IF(AND(UPPER(TRIM('7808'!A52))="CHOICE",LEN(TRIM('7808'!E52&amp;'7808'!F52))&gt;0),1,0)</f>
        <v/>
      </c>
      <c r="E372" s="0">
        <f>IF(D372=1,MAX(E$1:E371)+1,"")</f>
        <v/>
      </c>
      <c r="F372" s="0">
        <f>IF(D372=1,IFERROR(CHOOSE(MATCH("X",'7808'!G52:L52,0),"①","②","③","④","⑤","⑥"),""),"")</f>
        <v/>
      </c>
      <c r="G372" s="0">
        <f>IF(D372=1,IF('7808'!B52="","",'7808'!B52),"")</f>
        <v/>
      </c>
      <c r="H372" s="0">
        <f>IF(D372=1,'7808'!N52&amp;"","")</f>
        <v/>
      </c>
      <c r="I372" s="0">
        <f>IF(D372=1,'7808'!C52&amp;"","")</f>
        <v/>
      </c>
      <c r="J372" s="0">
        <f>IF(D372=1,'7808'!E52&amp;"","")</f>
        <v/>
      </c>
      <c r="K372" s="0">
        <f>IF(D372=1,'7808'!D52&amp;"","")</f>
        <v/>
      </c>
      <c r="L372" s="0">
        <f>IF(D372=1,IF('7808'!F52="","",'7808'!F52),"")</f>
        <v/>
      </c>
    </row>
    <row r="373">
      <c r="A373" s="0" t="inlineStr">
        <is>
          <t>7808 – School Finance</t>
        </is>
      </c>
      <c r="B373" s="0" t="inlineStr">
        <is>
          <t>7808</t>
        </is>
      </c>
      <c r="C373" s="0" t="n">
        <v>53</v>
      </c>
      <c r="D373" s="0">
        <f>IF(AND(UPPER(TRIM('7808'!A53))="CHOICE",LEN(TRIM('7808'!E53&amp;'7808'!F53))&gt;0),1,0)</f>
        <v/>
      </c>
      <c r="E373" s="0">
        <f>IF(D373=1,MAX(E$1:E372)+1,"")</f>
        <v/>
      </c>
      <c r="F373" s="0">
        <f>IF(D373=1,IFERROR(CHOOSE(MATCH("X",'7808'!G53:L53,0),"①","②","③","④","⑤","⑥"),""),"")</f>
        <v/>
      </c>
      <c r="G373" s="0">
        <f>IF(D373=1,IF('7808'!B53="","",'7808'!B53),"")</f>
        <v/>
      </c>
      <c r="H373" s="0">
        <f>IF(D373=1,'7808'!N53&amp;"","")</f>
        <v/>
      </c>
      <c r="I373" s="0">
        <f>IF(D373=1,'7808'!C53&amp;"","")</f>
        <v/>
      </c>
      <c r="J373" s="0">
        <f>IF(D373=1,'7808'!E53&amp;"","")</f>
        <v/>
      </c>
      <c r="K373" s="0">
        <f>IF(D373=1,'7808'!D53&amp;"","")</f>
        <v/>
      </c>
      <c r="L373" s="0">
        <f>IF(D373=1,IF('7808'!F53="","",'7808'!F53),"")</f>
        <v/>
      </c>
    </row>
    <row r="374">
      <c r="A374" s="0" t="inlineStr">
        <is>
          <t>7808 – School Finance</t>
        </is>
      </c>
      <c r="B374" s="0" t="inlineStr">
        <is>
          <t>7808</t>
        </is>
      </c>
      <c r="C374" s="0" t="n">
        <v>54</v>
      </c>
      <c r="D374" s="0">
        <f>IF(AND(UPPER(TRIM('7808'!A54))="CHOICE",LEN(TRIM('7808'!E54&amp;'7808'!F54))&gt;0),1,0)</f>
        <v/>
      </c>
      <c r="E374" s="0">
        <f>IF(D374=1,MAX(E$1:E373)+1,"")</f>
        <v/>
      </c>
      <c r="F374" s="0">
        <f>IF(D374=1,IFERROR(CHOOSE(MATCH("X",'7808'!G54:L54,0),"①","②","③","④","⑤","⑥"),""),"")</f>
        <v/>
      </c>
      <c r="G374" s="0">
        <f>IF(D374=1,IF('7808'!B54="","",'7808'!B54),"")</f>
        <v/>
      </c>
      <c r="H374" s="0">
        <f>IF(D374=1,'7808'!N54&amp;"","")</f>
        <v/>
      </c>
      <c r="I374" s="0">
        <f>IF(D374=1,'7808'!C54&amp;"","")</f>
        <v/>
      </c>
      <c r="J374" s="0">
        <f>IF(D374=1,'7808'!E54&amp;"","")</f>
        <v/>
      </c>
      <c r="K374" s="0">
        <f>IF(D374=1,'7808'!D54&amp;"","")</f>
        <v/>
      </c>
      <c r="L374" s="0">
        <f>IF(D374=1,IF('7808'!F54="","",'7808'!F54),"")</f>
        <v/>
      </c>
    </row>
    <row r="375">
      <c r="A375" s="0" t="inlineStr">
        <is>
          <t>7808 – School Finance</t>
        </is>
      </c>
      <c r="B375" s="0" t="inlineStr">
        <is>
          <t>7808</t>
        </is>
      </c>
      <c r="C375" s="0" t="n">
        <v>55</v>
      </c>
      <c r="D375" s="0">
        <f>IF(AND(UPPER(TRIM('7808'!A55))="CHOICE",LEN(TRIM('7808'!E55&amp;'7808'!F55))&gt;0),1,0)</f>
        <v/>
      </c>
      <c r="E375" s="0">
        <f>IF(D375=1,MAX(E$1:E374)+1,"")</f>
        <v/>
      </c>
      <c r="F375" s="0">
        <f>IF(D375=1,IFERROR(CHOOSE(MATCH("X",'7808'!G55:L55,0),"①","②","③","④","⑤","⑥"),""),"")</f>
        <v/>
      </c>
      <c r="G375" s="0">
        <f>IF(D375=1,IF('7808'!B55="","",'7808'!B55),"")</f>
        <v/>
      </c>
      <c r="H375" s="0">
        <f>IF(D375=1,'7808'!N55&amp;"","")</f>
        <v/>
      </c>
      <c r="I375" s="0">
        <f>IF(D375=1,'7808'!C55&amp;"","")</f>
        <v/>
      </c>
      <c r="J375" s="0">
        <f>IF(D375=1,'7808'!E55&amp;"","")</f>
        <v/>
      </c>
      <c r="K375" s="0">
        <f>IF(D375=1,'7808'!D55&amp;"","")</f>
        <v/>
      </c>
      <c r="L375" s="0">
        <f>IF(D375=1,IF('7808'!F55="","",'7808'!F55),"")</f>
        <v/>
      </c>
    </row>
    <row r="376">
      <c r="A376" s="0" t="inlineStr">
        <is>
          <t>7808 – School Finance</t>
        </is>
      </c>
      <c r="B376" s="0" t="inlineStr">
        <is>
          <t>7808</t>
        </is>
      </c>
      <c r="C376" s="0" t="n">
        <v>56</v>
      </c>
      <c r="D376" s="0">
        <f>IF(AND(UPPER(TRIM('7808'!A56))="CHOICE",LEN(TRIM('7808'!E56&amp;'7808'!F56))&gt;0),1,0)</f>
        <v/>
      </c>
      <c r="E376" s="0">
        <f>IF(D376=1,MAX(E$1:E375)+1,"")</f>
        <v/>
      </c>
      <c r="F376" s="0">
        <f>IF(D376=1,IFERROR(CHOOSE(MATCH("X",'7808'!G56:L56,0),"①","②","③","④","⑤","⑥"),""),"")</f>
        <v/>
      </c>
      <c r="G376" s="0">
        <f>IF(D376=1,IF('7808'!B56="","",'7808'!B56),"")</f>
        <v/>
      </c>
      <c r="H376" s="0">
        <f>IF(D376=1,'7808'!N56&amp;"","")</f>
        <v/>
      </c>
      <c r="I376" s="0">
        <f>IF(D376=1,'7808'!C56&amp;"","")</f>
        <v/>
      </c>
      <c r="J376" s="0">
        <f>IF(D376=1,'7808'!E56&amp;"","")</f>
        <v/>
      </c>
      <c r="K376" s="0">
        <f>IF(D376=1,'7808'!D56&amp;"","")</f>
        <v/>
      </c>
      <c r="L376" s="0">
        <f>IF(D376=1,IF('7808'!F56="","",'7808'!F56),"")</f>
        <v/>
      </c>
    </row>
    <row r="377">
      <c r="A377" s="0" t="inlineStr">
        <is>
          <t>7808 – School Finance</t>
        </is>
      </c>
      <c r="B377" s="0" t="inlineStr">
        <is>
          <t>7808</t>
        </is>
      </c>
      <c r="C377" s="0" t="n">
        <v>57</v>
      </c>
      <c r="D377" s="0">
        <f>IF(AND(UPPER(TRIM('7808'!A57))="CHOICE",LEN(TRIM('7808'!E57&amp;'7808'!F57))&gt;0),1,0)</f>
        <v/>
      </c>
      <c r="E377" s="0">
        <f>IF(D377=1,MAX(E$1:E376)+1,"")</f>
        <v/>
      </c>
      <c r="F377" s="0">
        <f>IF(D377=1,IFERROR(CHOOSE(MATCH("X",'7808'!G57:L57,0),"①","②","③","④","⑤","⑥"),""),"")</f>
        <v/>
      </c>
      <c r="G377" s="0">
        <f>IF(D377=1,IF('7808'!B57="","",'7808'!B57),"")</f>
        <v/>
      </c>
      <c r="H377" s="0">
        <f>IF(D377=1,'7808'!N57&amp;"","")</f>
        <v/>
      </c>
      <c r="I377" s="0">
        <f>IF(D377=1,'7808'!C57&amp;"","")</f>
        <v/>
      </c>
      <c r="J377" s="0">
        <f>IF(D377=1,'7808'!E57&amp;"","")</f>
        <v/>
      </c>
      <c r="K377" s="0">
        <f>IF(D377=1,'7808'!D57&amp;"","")</f>
        <v/>
      </c>
      <c r="L377" s="0">
        <f>IF(D377=1,IF('7808'!F57="","",'7808'!F57),"")</f>
        <v/>
      </c>
    </row>
    <row r="378">
      <c r="A378" s="0" t="inlineStr">
        <is>
          <t>7808 – School Finance</t>
        </is>
      </c>
      <c r="B378" s="0" t="inlineStr">
        <is>
          <t>7808</t>
        </is>
      </c>
      <c r="C378" s="0" t="n">
        <v>58</v>
      </c>
      <c r="D378" s="0">
        <f>IF(AND(UPPER(TRIM('7808'!A58))="CHOICE",LEN(TRIM('7808'!E58&amp;'7808'!F58))&gt;0),1,0)</f>
        <v/>
      </c>
      <c r="E378" s="0">
        <f>IF(D378=1,MAX(E$1:E377)+1,"")</f>
        <v/>
      </c>
      <c r="F378" s="0">
        <f>IF(D378=1,IFERROR(CHOOSE(MATCH("X",'7808'!G58:L58,0),"①","②","③","④","⑤","⑥"),""),"")</f>
        <v/>
      </c>
      <c r="G378" s="0">
        <f>IF(D378=1,IF('7808'!B58="","",'7808'!B58),"")</f>
        <v/>
      </c>
      <c r="H378" s="0">
        <f>IF(D378=1,'7808'!N58&amp;"","")</f>
        <v/>
      </c>
      <c r="I378" s="0">
        <f>IF(D378=1,'7808'!C58&amp;"","")</f>
        <v/>
      </c>
      <c r="J378" s="0">
        <f>IF(D378=1,'7808'!E58&amp;"","")</f>
        <v/>
      </c>
      <c r="K378" s="0">
        <f>IF(D378=1,'7808'!D58&amp;"","")</f>
        <v/>
      </c>
      <c r="L378" s="0">
        <f>IF(D378=1,IF('7808'!F58="","",'7808'!F58),"")</f>
        <v/>
      </c>
    </row>
    <row r="379">
      <c r="A379" s="0" t="inlineStr">
        <is>
          <t>7808 – School Finance</t>
        </is>
      </c>
      <c r="B379" s="0" t="inlineStr">
        <is>
          <t>7808</t>
        </is>
      </c>
      <c r="C379" s="0" t="n">
        <v>59</v>
      </c>
      <c r="D379" s="0">
        <f>IF(AND(UPPER(TRIM('7808'!A59))="CHOICE",LEN(TRIM('7808'!E59&amp;'7808'!F59))&gt;0),1,0)</f>
        <v/>
      </c>
      <c r="E379" s="0">
        <f>IF(D379=1,MAX(E$1:E378)+1,"")</f>
        <v/>
      </c>
      <c r="F379" s="0">
        <f>IF(D379=1,IFERROR(CHOOSE(MATCH("X",'7808'!G59:L59,0),"①","②","③","④","⑤","⑥"),""),"")</f>
        <v/>
      </c>
      <c r="G379" s="0">
        <f>IF(D379=1,IF('7808'!B59="","",'7808'!B59),"")</f>
        <v/>
      </c>
      <c r="H379" s="0">
        <f>IF(D379=1,'7808'!N59&amp;"","")</f>
        <v/>
      </c>
      <c r="I379" s="0">
        <f>IF(D379=1,'7808'!C59&amp;"","")</f>
        <v/>
      </c>
      <c r="J379" s="0">
        <f>IF(D379=1,'7808'!E59&amp;"","")</f>
        <v/>
      </c>
      <c r="K379" s="0">
        <f>IF(D379=1,'7808'!D59&amp;"","")</f>
        <v/>
      </c>
      <c r="L379" s="0">
        <f>IF(D379=1,IF('7808'!F59="","",'7808'!F59),"")</f>
        <v/>
      </c>
    </row>
    <row r="380">
      <c r="A380" s="0" t="inlineStr">
        <is>
          <t>7805 – Cultivating Professional Capacity</t>
        </is>
      </c>
      <c r="B380" s="0" t="inlineStr">
        <is>
          <t>7805</t>
        </is>
      </c>
      <c r="C380" s="0" t="n">
        <v>6</v>
      </c>
      <c r="D380" s="0">
        <f>IF(AND(UPPER(TRIM('7805'!A6))="CHOICE",LEN(TRIM('7805'!E6&amp;'7805'!F6))&gt;0),1,0)</f>
        <v/>
      </c>
      <c r="E380" s="0">
        <f>IF(D380=1,MAX(E$1:E379)+1,"")</f>
        <v/>
      </c>
      <c r="F380" s="0">
        <f>IF(D380=1,IFERROR(CHOOSE(MATCH("X",'7805'!G6:L6,0),"①","②","③","④","⑤","⑥"),""),"")</f>
        <v/>
      </c>
      <c r="G380" s="0">
        <f>IF(D380=1,IF('7805'!B6="","",'7805'!B6),"")</f>
        <v/>
      </c>
      <c r="H380" s="0">
        <f>IF(D380=1,'7805'!N6&amp;"","")</f>
        <v/>
      </c>
      <c r="I380" s="0">
        <f>IF(D380=1,'7805'!C6&amp;"","")</f>
        <v/>
      </c>
      <c r="J380" s="0">
        <f>IF(D380=1,'7805'!E6&amp;"","")</f>
        <v/>
      </c>
      <c r="K380" s="0">
        <f>IF(D380=1,'7805'!D6&amp;"","")</f>
        <v/>
      </c>
      <c r="L380" s="0">
        <f>IF(D380=1,IF('7805'!F6="","",'7805'!F6),"")</f>
        <v/>
      </c>
    </row>
    <row r="381">
      <c r="A381" s="0" t="inlineStr">
        <is>
          <t>7805 – Cultivating Professional Capacity</t>
        </is>
      </c>
      <c r="B381" s="0" t="inlineStr">
        <is>
          <t>7805</t>
        </is>
      </c>
      <c r="C381" s="0" t="n">
        <v>7</v>
      </c>
      <c r="D381" s="0">
        <f>IF(AND(UPPER(TRIM('7805'!A7))="CHOICE",LEN(TRIM('7805'!E7&amp;'7805'!F7))&gt;0),1,0)</f>
        <v/>
      </c>
      <c r="E381" s="0">
        <f>IF(D381=1,MAX(E$1:E380)+1,"")</f>
        <v/>
      </c>
      <c r="F381" s="0">
        <f>IF(D381=1,IFERROR(CHOOSE(MATCH("X",'7805'!G7:L7,0),"①","②","③","④","⑤","⑥"),""),"")</f>
        <v/>
      </c>
      <c r="G381" s="0">
        <f>IF(D381=1,IF('7805'!B7="","",'7805'!B7),"")</f>
        <v/>
      </c>
      <c r="H381" s="0">
        <f>IF(D381=1,'7805'!N7&amp;"","")</f>
        <v/>
      </c>
      <c r="I381" s="0">
        <f>IF(D381=1,'7805'!C7&amp;"","")</f>
        <v/>
      </c>
      <c r="J381" s="0">
        <f>IF(D381=1,'7805'!E7&amp;"","")</f>
        <v/>
      </c>
      <c r="K381" s="0">
        <f>IF(D381=1,'7805'!D7&amp;"","")</f>
        <v/>
      </c>
      <c r="L381" s="0">
        <f>IF(D381=1,IF('7805'!F7="","",'7805'!F7),"")</f>
        <v/>
      </c>
    </row>
    <row r="382">
      <c r="A382" s="0" t="inlineStr">
        <is>
          <t>7805 – Cultivating Professional Capacity</t>
        </is>
      </c>
      <c r="B382" s="0" t="inlineStr">
        <is>
          <t>7805</t>
        </is>
      </c>
      <c r="C382" s="0" t="n">
        <v>8</v>
      </c>
      <c r="D382" s="0">
        <f>IF(AND(UPPER(TRIM('7805'!A8))="CHOICE",LEN(TRIM('7805'!E8&amp;'7805'!F8))&gt;0),1,0)</f>
        <v/>
      </c>
      <c r="E382" s="0">
        <f>IF(D382=1,MAX(E$1:E381)+1,"")</f>
        <v/>
      </c>
      <c r="F382" s="0">
        <f>IF(D382=1,IFERROR(CHOOSE(MATCH("X",'7805'!G8:L8,0),"①","②","③","④","⑤","⑥"),""),"")</f>
        <v/>
      </c>
      <c r="G382" s="0">
        <f>IF(D382=1,IF('7805'!B8="","",'7805'!B8),"")</f>
        <v/>
      </c>
      <c r="H382" s="0">
        <f>IF(D382=1,'7805'!N8&amp;"","")</f>
        <v/>
      </c>
      <c r="I382" s="0">
        <f>IF(D382=1,'7805'!C8&amp;"","")</f>
        <v/>
      </c>
      <c r="J382" s="0">
        <f>IF(D382=1,'7805'!E8&amp;"","")</f>
        <v/>
      </c>
      <c r="K382" s="0">
        <f>IF(D382=1,'7805'!D8&amp;"","")</f>
        <v/>
      </c>
      <c r="L382" s="0">
        <f>IF(D382=1,IF('7805'!F8="","",'7805'!F8),"")</f>
        <v/>
      </c>
    </row>
    <row r="383">
      <c r="A383" s="0" t="inlineStr">
        <is>
          <t>7805 – Cultivating Professional Capacity</t>
        </is>
      </c>
      <c r="B383" s="0" t="inlineStr">
        <is>
          <t>7805</t>
        </is>
      </c>
      <c r="C383" s="0" t="n">
        <v>9</v>
      </c>
      <c r="D383" s="0">
        <f>IF(AND(UPPER(TRIM('7805'!A9))="CHOICE",LEN(TRIM('7805'!E9&amp;'7805'!F9))&gt;0),1,0)</f>
        <v/>
      </c>
      <c r="E383" s="0">
        <f>IF(D383=1,MAX(E$1:E382)+1,"")</f>
        <v/>
      </c>
      <c r="F383" s="0">
        <f>IF(D383=1,IFERROR(CHOOSE(MATCH("X",'7805'!G9:L9,0),"①","②","③","④","⑤","⑥"),""),"")</f>
        <v/>
      </c>
      <c r="G383" s="0">
        <f>IF(D383=1,IF('7805'!B9="","",'7805'!B9),"")</f>
        <v/>
      </c>
      <c r="H383" s="0">
        <f>IF(D383=1,'7805'!N9&amp;"","")</f>
        <v/>
      </c>
      <c r="I383" s="0">
        <f>IF(D383=1,'7805'!C9&amp;"","")</f>
        <v/>
      </c>
      <c r="J383" s="0">
        <f>IF(D383=1,'7805'!E9&amp;"","")</f>
        <v/>
      </c>
      <c r="K383" s="0">
        <f>IF(D383=1,'7805'!D9&amp;"","")</f>
        <v/>
      </c>
      <c r="L383" s="0">
        <f>IF(D383=1,IF('7805'!F9="","",'7805'!F9),"")</f>
        <v/>
      </c>
    </row>
    <row r="384">
      <c r="A384" s="0" t="inlineStr">
        <is>
          <t>7805 – Cultivating Professional Capacity</t>
        </is>
      </c>
      <c r="B384" s="0" t="inlineStr">
        <is>
          <t>7805</t>
        </is>
      </c>
      <c r="C384" s="0" t="n">
        <v>10</v>
      </c>
      <c r="D384" s="0">
        <f>IF(AND(UPPER(TRIM('7805'!A10))="CHOICE",LEN(TRIM('7805'!E10&amp;'7805'!F10))&gt;0),1,0)</f>
        <v/>
      </c>
      <c r="E384" s="0">
        <f>IF(D384=1,MAX(E$1:E383)+1,"")</f>
        <v/>
      </c>
      <c r="F384" s="0">
        <f>IF(D384=1,IFERROR(CHOOSE(MATCH("X",'7805'!G10:L10,0),"①","②","③","④","⑤","⑥"),""),"")</f>
        <v/>
      </c>
      <c r="G384" s="0">
        <f>IF(D384=1,IF('7805'!B10="","",'7805'!B10),"")</f>
        <v/>
      </c>
      <c r="H384" s="0">
        <f>IF(D384=1,'7805'!N10&amp;"","")</f>
        <v/>
      </c>
      <c r="I384" s="0">
        <f>IF(D384=1,'7805'!C10&amp;"","")</f>
        <v/>
      </c>
      <c r="J384" s="0">
        <f>IF(D384=1,'7805'!E10&amp;"","")</f>
        <v/>
      </c>
      <c r="K384" s="0">
        <f>IF(D384=1,'7805'!D10&amp;"","")</f>
        <v/>
      </c>
      <c r="L384" s="0">
        <f>IF(D384=1,IF('7805'!F10="","",'7805'!F10),"")</f>
        <v/>
      </c>
    </row>
    <row r="385">
      <c r="A385" s="0" t="inlineStr">
        <is>
          <t>7805 – Cultivating Professional Capacity</t>
        </is>
      </c>
      <c r="B385" s="0" t="inlineStr">
        <is>
          <t>7805</t>
        </is>
      </c>
      <c r="C385" s="0" t="n">
        <v>11</v>
      </c>
      <c r="D385" s="0">
        <f>IF(AND(UPPER(TRIM('7805'!A11))="CHOICE",LEN(TRIM('7805'!E11&amp;'7805'!F11))&gt;0),1,0)</f>
        <v/>
      </c>
      <c r="E385" s="0">
        <f>IF(D385=1,MAX(E$1:E384)+1,"")</f>
        <v/>
      </c>
      <c r="F385" s="0">
        <f>IF(D385=1,IFERROR(CHOOSE(MATCH("X",'7805'!G11:L11,0),"①","②","③","④","⑤","⑥"),""),"")</f>
        <v/>
      </c>
      <c r="G385" s="0">
        <f>IF(D385=1,IF('7805'!B11="","",'7805'!B11),"")</f>
        <v/>
      </c>
      <c r="H385" s="0">
        <f>IF(D385=1,'7805'!N11&amp;"","")</f>
        <v/>
      </c>
      <c r="I385" s="0">
        <f>IF(D385=1,'7805'!C11&amp;"","")</f>
        <v/>
      </c>
      <c r="J385" s="0">
        <f>IF(D385=1,'7805'!E11&amp;"","")</f>
        <v/>
      </c>
      <c r="K385" s="0">
        <f>IF(D385=1,'7805'!D11&amp;"","")</f>
        <v/>
      </c>
      <c r="L385" s="0">
        <f>IF(D385=1,IF('7805'!F11="","",'7805'!F11),"")</f>
        <v/>
      </c>
    </row>
    <row r="386">
      <c r="A386" s="0" t="inlineStr">
        <is>
          <t>7805 – Cultivating Professional Capacity</t>
        </is>
      </c>
      <c r="B386" s="0" t="inlineStr">
        <is>
          <t>7805</t>
        </is>
      </c>
      <c r="C386" s="0" t="n">
        <v>12</v>
      </c>
      <c r="D386" s="0">
        <f>IF(AND(UPPER(TRIM('7805'!A12))="CHOICE",LEN(TRIM('7805'!E12&amp;'7805'!F12))&gt;0),1,0)</f>
        <v/>
      </c>
      <c r="E386" s="0">
        <f>IF(D386=1,MAX(E$1:E385)+1,"")</f>
        <v/>
      </c>
      <c r="F386" s="0">
        <f>IF(D386=1,IFERROR(CHOOSE(MATCH("X",'7805'!G12:L12,0),"①","②","③","④","⑤","⑥"),""),"")</f>
        <v/>
      </c>
      <c r="G386" s="0">
        <f>IF(D386=1,IF('7805'!B12="","",'7805'!B12),"")</f>
        <v/>
      </c>
      <c r="H386" s="0">
        <f>IF(D386=1,'7805'!N12&amp;"","")</f>
        <v/>
      </c>
      <c r="I386" s="0">
        <f>IF(D386=1,'7805'!C12&amp;"","")</f>
        <v/>
      </c>
      <c r="J386" s="0">
        <f>IF(D386=1,'7805'!E12&amp;"","")</f>
        <v/>
      </c>
      <c r="K386" s="0">
        <f>IF(D386=1,'7805'!D12&amp;"","")</f>
        <v/>
      </c>
      <c r="L386" s="0">
        <f>IF(D386=1,IF('7805'!F12="","",'7805'!F12),"")</f>
        <v/>
      </c>
    </row>
    <row r="387">
      <c r="A387" s="0" t="inlineStr">
        <is>
          <t>7805 – Cultivating Professional Capacity</t>
        </is>
      </c>
      <c r="B387" s="0" t="inlineStr">
        <is>
          <t>7805</t>
        </is>
      </c>
      <c r="C387" s="0" t="n">
        <v>13</v>
      </c>
      <c r="D387" s="0">
        <f>IF(AND(UPPER(TRIM('7805'!A13))="CHOICE",LEN(TRIM('7805'!E13&amp;'7805'!F13))&gt;0),1,0)</f>
        <v/>
      </c>
      <c r="E387" s="0">
        <f>IF(D387=1,MAX(E$1:E386)+1,"")</f>
        <v/>
      </c>
      <c r="F387" s="0">
        <f>IF(D387=1,IFERROR(CHOOSE(MATCH("X",'7805'!G13:L13,0),"①","②","③","④","⑤","⑥"),""),"")</f>
        <v/>
      </c>
      <c r="G387" s="0">
        <f>IF(D387=1,IF('7805'!B13="","",'7805'!B13),"")</f>
        <v/>
      </c>
      <c r="H387" s="0">
        <f>IF(D387=1,'7805'!N13&amp;"","")</f>
        <v/>
      </c>
      <c r="I387" s="0">
        <f>IF(D387=1,'7805'!C13&amp;"","")</f>
        <v/>
      </c>
      <c r="J387" s="0">
        <f>IF(D387=1,'7805'!E13&amp;"","")</f>
        <v/>
      </c>
      <c r="K387" s="0">
        <f>IF(D387=1,'7805'!D13&amp;"","")</f>
        <v/>
      </c>
      <c r="L387" s="0">
        <f>IF(D387=1,IF('7805'!F13="","",'7805'!F13),"")</f>
        <v/>
      </c>
    </row>
    <row r="388">
      <c r="A388" s="0" t="inlineStr">
        <is>
          <t>7805 – Cultivating Professional Capacity</t>
        </is>
      </c>
      <c r="B388" s="0" t="inlineStr">
        <is>
          <t>7805</t>
        </is>
      </c>
      <c r="C388" s="0" t="n">
        <v>14</v>
      </c>
      <c r="D388" s="0">
        <f>IF(AND(UPPER(TRIM('7805'!A14))="CHOICE",LEN(TRIM('7805'!E14&amp;'7805'!F14))&gt;0),1,0)</f>
        <v/>
      </c>
      <c r="E388" s="0">
        <f>IF(D388=1,MAX(E$1:E387)+1,"")</f>
        <v/>
      </c>
      <c r="F388" s="0">
        <f>IF(D388=1,IFERROR(CHOOSE(MATCH("X",'7805'!G14:L14,0),"①","②","③","④","⑤","⑥"),""),"")</f>
        <v/>
      </c>
      <c r="G388" s="0">
        <f>IF(D388=1,IF('7805'!B14="","",'7805'!B14),"")</f>
        <v/>
      </c>
      <c r="H388" s="0">
        <f>IF(D388=1,'7805'!N14&amp;"","")</f>
        <v/>
      </c>
      <c r="I388" s="0">
        <f>IF(D388=1,'7805'!C14&amp;"","")</f>
        <v/>
      </c>
      <c r="J388" s="0">
        <f>IF(D388=1,'7805'!E14&amp;"","")</f>
        <v/>
      </c>
      <c r="K388" s="0">
        <f>IF(D388=1,'7805'!D14&amp;"","")</f>
        <v/>
      </c>
      <c r="L388" s="0">
        <f>IF(D388=1,IF('7805'!F14="","",'7805'!F14),"")</f>
        <v/>
      </c>
    </row>
    <row r="389">
      <c r="A389" s="0" t="inlineStr">
        <is>
          <t>7805 – Cultivating Professional Capacity</t>
        </is>
      </c>
      <c r="B389" s="0" t="inlineStr">
        <is>
          <t>7805</t>
        </is>
      </c>
      <c r="C389" s="0" t="n">
        <v>15</v>
      </c>
      <c r="D389" s="0">
        <f>IF(AND(UPPER(TRIM('7805'!A15))="CHOICE",LEN(TRIM('7805'!E15&amp;'7805'!F15))&gt;0),1,0)</f>
        <v/>
      </c>
      <c r="E389" s="0">
        <f>IF(D389=1,MAX(E$1:E388)+1,"")</f>
        <v/>
      </c>
      <c r="F389" s="0">
        <f>IF(D389=1,IFERROR(CHOOSE(MATCH("X",'7805'!G15:L15,0),"①","②","③","④","⑤","⑥"),""),"")</f>
        <v/>
      </c>
      <c r="G389" s="0">
        <f>IF(D389=1,IF('7805'!B15="","",'7805'!B15),"")</f>
        <v/>
      </c>
      <c r="H389" s="0">
        <f>IF(D389=1,'7805'!N15&amp;"","")</f>
        <v/>
      </c>
      <c r="I389" s="0">
        <f>IF(D389=1,'7805'!C15&amp;"","")</f>
        <v/>
      </c>
      <c r="J389" s="0">
        <f>IF(D389=1,'7805'!E15&amp;"","")</f>
        <v/>
      </c>
      <c r="K389" s="0">
        <f>IF(D389=1,'7805'!D15&amp;"","")</f>
        <v/>
      </c>
      <c r="L389" s="0">
        <f>IF(D389=1,IF('7805'!F15="","",'7805'!F15),"")</f>
        <v/>
      </c>
    </row>
    <row r="390">
      <c r="A390" s="0" t="inlineStr">
        <is>
          <t>7805 – Cultivating Professional Capacity</t>
        </is>
      </c>
      <c r="B390" s="0" t="inlineStr">
        <is>
          <t>7805</t>
        </is>
      </c>
      <c r="C390" s="0" t="n">
        <v>16</v>
      </c>
      <c r="D390" s="0">
        <f>IF(AND(UPPER(TRIM('7805'!A16))="CHOICE",LEN(TRIM('7805'!E16&amp;'7805'!F16))&gt;0),1,0)</f>
        <v/>
      </c>
      <c r="E390" s="0">
        <f>IF(D390=1,MAX(E$1:E389)+1,"")</f>
        <v/>
      </c>
      <c r="F390" s="0">
        <f>IF(D390=1,IFERROR(CHOOSE(MATCH("X",'7805'!G16:L16,0),"①","②","③","④","⑤","⑥"),""),"")</f>
        <v/>
      </c>
      <c r="G390" s="0">
        <f>IF(D390=1,IF('7805'!B16="","",'7805'!B16),"")</f>
        <v/>
      </c>
      <c r="H390" s="0">
        <f>IF(D390=1,'7805'!N16&amp;"","")</f>
        <v/>
      </c>
      <c r="I390" s="0">
        <f>IF(D390=1,'7805'!C16&amp;"","")</f>
        <v/>
      </c>
      <c r="J390" s="0">
        <f>IF(D390=1,'7805'!E16&amp;"","")</f>
        <v/>
      </c>
      <c r="K390" s="0">
        <f>IF(D390=1,'7805'!D16&amp;"","")</f>
        <v/>
      </c>
      <c r="L390" s="0">
        <f>IF(D390=1,IF('7805'!F16="","",'7805'!F16),"")</f>
        <v/>
      </c>
    </row>
    <row r="391">
      <c r="A391" s="0" t="inlineStr">
        <is>
          <t>7805 – Cultivating Professional Capacity</t>
        </is>
      </c>
      <c r="B391" s="0" t="inlineStr">
        <is>
          <t>7805</t>
        </is>
      </c>
      <c r="C391" s="0" t="n">
        <v>17</v>
      </c>
      <c r="D391" s="0">
        <f>IF(AND(UPPER(TRIM('7805'!A17))="CHOICE",LEN(TRIM('7805'!E17&amp;'7805'!F17))&gt;0),1,0)</f>
        <v/>
      </c>
      <c r="E391" s="0">
        <f>IF(D391=1,MAX(E$1:E390)+1,"")</f>
        <v/>
      </c>
      <c r="F391" s="0">
        <f>IF(D391=1,IFERROR(CHOOSE(MATCH("X",'7805'!G17:L17,0),"①","②","③","④","⑤","⑥"),""),"")</f>
        <v/>
      </c>
      <c r="G391" s="0">
        <f>IF(D391=1,IF('7805'!B17="","",'7805'!B17),"")</f>
        <v/>
      </c>
      <c r="H391" s="0">
        <f>IF(D391=1,'7805'!N17&amp;"","")</f>
        <v/>
      </c>
      <c r="I391" s="0">
        <f>IF(D391=1,'7805'!C17&amp;"","")</f>
        <v/>
      </c>
      <c r="J391" s="0">
        <f>IF(D391=1,'7805'!E17&amp;"","")</f>
        <v/>
      </c>
      <c r="K391" s="0">
        <f>IF(D391=1,'7805'!D17&amp;"","")</f>
        <v/>
      </c>
      <c r="L391" s="0">
        <f>IF(D391=1,IF('7805'!F17="","",'7805'!F17),"")</f>
        <v/>
      </c>
    </row>
    <row r="392">
      <c r="A392" s="0" t="inlineStr">
        <is>
          <t>7805 – Cultivating Professional Capacity</t>
        </is>
      </c>
      <c r="B392" s="0" t="inlineStr">
        <is>
          <t>7805</t>
        </is>
      </c>
      <c r="C392" s="0" t="n">
        <v>18</v>
      </c>
      <c r="D392" s="0">
        <f>IF(AND(UPPER(TRIM('7805'!A18))="CHOICE",LEN(TRIM('7805'!E18&amp;'7805'!F18))&gt;0),1,0)</f>
        <v/>
      </c>
      <c r="E392" s="0">
        <f>IF(D392=1,MAX(E$1:E391)+1,"")</f>
        <v/>
      </c>
      <c r="F392" s="0">
        <f>IF(D392=1,IFERROR(CHOOSE(MATCH("X",'7805'!G18:L18,0),"①","②","③","④","⑤","⑥"),""),"")</f>
        <v/>
      </c>
      <c r="G392" s="0">
        <f>IF(D392=1,IF('7805'!B18="","",'7805'!B18),"")</f>
        <v/>
      </c>
      <c r="H392" s="0">
        <f>IF(D392=1,'7805'!N18&amp;"","")</f>
        <v/>
      </c>
      <c r="I392" s="0">
        <f>IF(D392=1,'7805'!C18&amp;"","")</f>
        <v/>
      </c>
      <c r="J392" s="0">
        <f>IF(D392=1,'7805'!E18&amp;"","")</f>
        <v/>
      </c>
      <c r="K392" s="0">
        <f>IF(D392=1,'7805'!D18&amp;"","")</f>
        <v/>
      </c>
      <c r="L392" s="0">
        <f>IF(D392=1,IF('7805'!F18="","",'7805'!F18),"")</f>
        <v/>
      </c>
    </row>
    <row r="393">
      <c r="A393" s="0" t="inlineStr">
        <is>
          <t>7805 – Cultivating Professional Capacity</t>
        </is>
      </c>
      <c r="B393" s="0" t="inlineStr">
        <is>
          <t>7805</t>
        </is>
      </c>
      <c r="C393" s="0" t="n">
        <v>19</v>
      </c>
      <c r="D393" s="0">
        <f>IF(AND(UPPER(TRIM('7805'!A19))="CHOICE",LEN(TRIM('7805'!E19&amp;'7805'!F19))&gt;0),1,0)</f>
        <v/>
      </c>
      <c r="E393" s="0">
        <f>IF(D393=1,MAX(E$1:E392)+1,"")</f>
        <v/>
      </c>
      <c r="F393" s="0">
        <f>IF(D393=1,IFERROR(CHOOSE(MATCH("X",'7805'!G19:L19,0),"①","②","③","④","⑤","⑥"),""),"")</f>
        <v/>
      </c>
      <c r="G393" s="0">
        <f>IF(D393=1,IF('7805'!B19="","",'7805'!B19),"")</f>
        <v/>
      </c>
      <c r="H393" s="0">
        <f>IF(D393=1,'7805'!N19&amp;"","")</f>
        <v/>
      </c>
      <c r="I393" s="0">
        <f>IF(D393=1,'7805'!C19&amp;"","")</f>
        <v/>
      </c>
      <c r="J393" s="0">
        <f>IF(D393=1,'7805'!E19&amp;"","")</f>
        <v/>
      </c>
      <c r="K393" s="0">
        <f>IF(D393=1,'7805'!D19&amp;"","")</f>
        <v/>
      </c>
      <c r="L393" s="0">
        <f>IF(D393=1,IF('7805'!F19="","",'7805'!F19),"")</f>
        <v/>
      </c>
    </row>
    <row r="394">
      <c r="A394" s="0" t="inlineStr">
        <is>
          <t>7805 – Cultivating Professional Capacity</t>
        </is>
      </c>
      <c r="B394" s="0" t="inlineStr">
        <is>
          <t>7805</t>
        </is>
      </c>
      <c r="C394" s="0" t="n">
        <v>20</v>
      </c>
      <c r="D394" s="0">
        <f>IF(AND(UPPER(TRIM('7805'!A20))="CHOICE",LEN(TRIM('7805'!E20&amp;'7805'!F20))&gt;0),1,0)</f>
        <v/>
      </c>
      <c r="E394" s="0">
        <f>IF(D394=1,MAX(E$1:E393)+1,"")</f>
        <v/>
      </c>
      <c r="F394" s="0">
        <f>IF(D394=1,IFERROR(CHOOSE(MATCH("X",'7805'!G20:L20,0),"①","②","③","④","⑤","⑥"),""),"")</f>
        <v/>
      </c>
      <c r="G394" s="0">
        <f>IF(D394=1,IF('7805'!B20="","",'7805'!B20),"")</f>
        <v/>
      </c>
      <c r="H394" s="0">
        <f>IF(D394=1,'7805'!N20&amp;"","")</f>
        <v/>
      </c>
      <c r="I394" s="0">
        <f>IF(D394=1,'7805'!C20&amp;"","")</f>
        <v/>
      </c>
      <c r="J394" s="0">
        <f>IF(D394=1,'7805'!E20&amp;"","")</f>
        <v/>
      </c>
      <c r="K394" s="0">
        <f>IF(D394=1,'7805'!D20&amp;"","")</f>
        <v/>
      </c>
      <c r="L394" s="0">
        <f>IF(D394=1,IF('7805'!F20="","",'7805'!F20),"")</f>
        <v/>
      </c>
    </row>
    <row r="395">
      <c r="A395" s="0" t="inlineStr">
        <is>
          <t>7805 – Cultivating Professional Capacity</t>
        </is>
      </c>
      <c r="B395" s="0" t="inlineStr">
        <is>
          <t>7805</t>
        </is>
      </c>
      <c r="C395" s="0" t="n">
        <v>21</v>
      </c>
      <c r="D395" s="0">
        <f>IF(AND(UPPER(TRIM('7805'!A21))="CHOICE",LEN(TRIM('7805'!E21&amp;'7805'!F21))&gt;0),1,0)</f>
        <v/>
      </c>
      <c r="E395" s="0">
        <f>IF(D395=1,MAX(E$1:E394)+1,"")</f>
        <v/>
      </c>
      <c r="F395" s="0">
        <f>IF(D395=1,IFERROR(CHOOSE(MATCH("X",'7805'!G21:L21,0),"①","②","③","④","⑤","⑥"),""),"")</f>
        <v/>
      </c>
      <c r="G395" s="0">
        <f>IF(D395=1,IF('7805'!B21="","",'7805'!B21),"")</f>
        <v/>
      </c>
      <c r="H395" s="0">
        <f>IF(D395=1,'7805'!N21&amp;"","")</f>
        <v/>
      </c>
      <c r="I395" s="0">
        <f>IF(D395=1,'7805'!C21&amp;"","")</f>
        <v/>
      </c>
      <c r="J395" s="0">
        <f>IF(D395=1,'7805'!E21&amp;"","")</f>
        <v/>
      </c>
      <c r="K395" s="0">
        <f>IF(D395=1,'7805'!D21&amp;"","")</f>
        <v/>
      </c>
      <c r="L395" s="0">
        <f>IF(D395=1,IF('7805'!F21="","",'7805'!F21),"")</f>
        <v/>
      </c>
    </row>
    <row r="396">
      <c r="A396" s="0" t="inlineStr">
        <is>
          <t>7805 – Cultivating Professional Capacity</t>
        </is>
      </c>
      <c r="B396" s="0" t="inlineStr">
        <is>
          <t>7805</t>
        </is>
      </c>
      <c r="C396" s="0" t="n">
        <v>22</v>
      </c>
      <c r="D396" s="0">
        <f>IF(AND(UPPER(TRIM('7805'!A22))="CHOICE",LEN(TRIM('7805'!E22&amp;'7805'!F22))&gt;0),1,0)</f>
        <v/>
      </c>
      <c r="E396" s="0">
        <f>IF(D396=1,MAX(E$1:E395)+1,"")</f>
        <v/>
      </c>
      <c r="F396" s="0">
        <f>IF(D396=1,IFERROR(CHOOSE(MATCH("X",'7805'!G22:L22,0),"①","②","③","④","⑤","⑥"),""),"")</f>
        <v/>
      </c>
      <c r="G396" s="0">
        <f>IF(D396=1,IF('7805'!B22="","",'7805'!B22),"")</f>
        <v/>
      </c>
      <c r="H396" s="0">
        <f>IF(D396=1,'7805'!N22&amp;"","")</f>
        <v/>
      </c>
      <c r="I396" s="0">
        <f>IF(D396=1,'7805'!C22&amp;"","")</f>
        <v/>
      </c>
      <c r="J396" s="0">
        <f>IF(D396=1,'7805'!E22&amp;"","")</f>
        <v/>
      </c>
      <c r="K396" s="0">
        <f>IF(D396=1,'7805'!D22&amp;"","")</f>
        <v/>
      </c>
      <c r="L396" s="0">
        <f>IF(D396=1,IF('7805'!F22="","",'7805'!F22),"")</f>
        <v/>
      </c>
    </row>
    <row r="397">
      <c r="A397" s="0" t="inlineStr">
        <is>
          <t>7805 – Cultivating Professional Capacity</t>
        </is>
      </c>
      <c r="B397" s="0" t="inlineStr">
        <is>
          <t>7805</t>
        </is>
      </c>
      <c r="C397" s="0" t="n">
        <v>23</v>
      </c>
      <c r="D397" s="0">
        <f>IF(AND(UPPER(TRIM('7805'!A23))="CHOICE",LEN(TRIM('7805'!E23&amp;'7805'!F23))&gt;0),1,0)</f>
        <v/>
      </c>
      <c r="E397" s="0">
        <f>IF(D397=1,MAX(E$1:E396)+1,"")</f>
        <v/>
      </c>
      <c r="F397" s="0">
        <f>IF(D397=1,IFERROR(CHOOSE(MATCH("X",'7805'!G23:L23,0),"①","②","③","④","⑤","⑥"),""),"")</f>
        <v/>
      </c>
      <c r="G397" s="0">
        <f>IF(D397=1,IF('7805'!B23="","",'7805'!B23),"")</f>
        <v/>
      </c>
      <c r="H397" s="0">
        <f>IF(D397=1,'7805'!N23&amp;"","")</f>
        <v/>
      </c>
      <c r="I397" s="0">
        <f>IF(D397=1,'7805'!C23&amp;"","")</f>
        <v/>
      </c>
      <c r="J397" s="0">
        <f>IF(D397=1,'7805'!E23&amp;"","")</f>
        <v/>
      </c>
      <c r="K397" s="0">
        <f>IF(D397=1,'7805'!D23&amp;"","")</f>
        <v/>
      </c>
      <c r="L397" s="0">
        <f>IF(D397=1,IF('7805'!F23="","",'7805'!F23),"")</f>
        <v/>
      </c>
    </row>
    <row r="398">
      <c r="A398" s="0" t="inlineStr">
        <is>
          <t>7805 – Cultivating Professional Capacity</t>
        </is>
      </c>
      <c r="B398" s="0" t="inlineStr">
        <is>
          <t>7805</t>
        </is>
      </c>
      <c r="C398" s="0" t="n">
        <v>24</v>
      </c>
      <c r="D398" s="0">
        <f>IF(AND(UPPER(TRIM('7805'!A24))="CHOICE",LEN(TRIM('7805'!E24&amp;'7805'!F24))&gt;0),1,0)</f>
        <v/>
      </c>
      <c r="E398" s="0">
        <f>IF(D398=1,MAX(E$1:E397)+1,"")</f>
        <v/>
      </c>
      <c r="F398" s="0">
        <f>IF(D398=1,IFERROR(CHOOSE(MATCH("X",'7805'!G24:L24,0),"①","②","③","④","⑤","⑥"),""),"")</f>
        <v/>
      </c>
      <c r="G398" s="0">
        <f>IF(D398=1,IF('7805'!B24="","",'7805'!B24),"")</f>
        <v/>
      </c>
      <c r="H398" s="0">
        <f>IF(D398=1,'7805'!N24&amp;"","")</f>
        <v/>
      </c>
      <c r="I398" s="0">
        <f>IF(D398=1,'7805'!C24&amp;"","")</f>
        <v/>
      </c>
      <c r="J398" s="0">
        <f>IF(D398=1,'7805'!E24&amp;"","")</f>
        <v/>
      </c>
      <c r="K398" s="0">
        <f>IF(D398=1,'7805'!D24&amp;"","")</f>
        <v/>
      </c>
      <c r="L398" s="0">
        <f>IF(D398=1,IF('7805'!F24="","",'7805'!F24),"")</f>
        <v/>
      </c>
    </row>
    <row r="399">
      <c r="A399" s="0" t="inlineStr">
        <is>
          <t>7805 – Cultivating Professional Capacity</t>
        </is>
      </c>
      <c r="B399" s="0" t="inlineStr">
        <is>
          <t>7805</t>
        </is>
      </c>
      <c r="C399" s="0" t="n">
        <v>25</v>
      </c>
      <c r="D399" s="0">
        <f>IF(AND(UPPER(TRIM('7805'!A25))="CHOICE",LEN(TRIM('7805'!E25&amp;'7805'!F25))&gt;0),1,0)</f>
        <v/>
      </c>
      <c r="E399" s="0">
        <f>IF(D399=1,MAX(E$1:E398)+1,"")</f>
        <v/>
      </c>
      <c r="F399" s="0">
        <f>IF(D399=1,IFERROR(CHOOSE(MATCH("X",'7805'!G25:L25,0),"①","②","③","④","⑤","⑥"),""),"")</f>
        <v/>
      </c>
      <c r="G399" s="0">
        <f>IF(D399=1,IF('7805'!B25="","",'7805'!B25),"")</f>
        <v/>
      </c>
      <c r="H399" s="0">
        <f>IF(D399=1,'7805'!N25&amp;"","")</f>
        <v/>
      </c>
      <c r="I399" s="0">
        <f>IF(D399=1,'7805'!C25&amp;"","")</f>
        <v/>
      </c>
      <c r="J399" s="0">
        <f>IF(D399=1,'7805'!E25&amp;"","")</f>
        <v/>
      </c>
      <c r="K399" s="0">
        <f>IF(D399=1,'7805'!D25&amp;"","")</f>
        <v/>
      </c>
      <c r="L399" s="0">
        <f>IF(D399=1,IF('7805'!F25="","",'7805'!F25),"")</f>
        <v/>
      </c>
    </row>
    <row r="400">
      <c r="A400" s="0" t="inlineStr">
        <is>
          <t>7805 – Cultivating Professional Capacity</t>
        </is>
      </c>
      <c r="B400" s="0" t="inlineStr">
        <is>
          <t>7805</t>
        </is>
      </c>
      <c r="C400" s="0" t="n">
        <v>26</v>
      </c>
      <c r="D400" s="0">
        <f>IF(AND(UPPER(TRIM('7805'!A26))="CHOICE",LEN(TRIM('7805'!E26&amp;'7805'!F26))&gt;0),1,0)</f>
        <v/>
      </c>
      <c r="E400" s="0">
        <f>IF(D400=1,MAX(E$1:E399)+1,"")</f>
        <v/>
      </c>
      <c r="F400" s="0">
        <f>IF(D400=1,IFERROR(CHOOSE(MATCH("X",'7805'!G26:L26,0),"①","②","③","④","⑤","⑥"),""),"")</f>
        <v/>
      </c>
      <c r="G400" s="0">
        <f>IF(D400=1,IF('7805'!B26="","",'7805'!B26),"")</f>
        <v/>
      </c>
      <c r="H400" s="0">
        <f>IF(D400=1,'7805'!N26&amp;"","")</f>
        <v/>
      </c>
      <c r="I400" s="0">
        <f>IF(D400=1,'7805'!C26&amp;"","")</f>
        <v/>
      </c>
      <c r="J400" s="0">
        <f>IF(D400=1,'7805'!E26&amp;"","")</f>
        <v/>
      </c>
      <c r="K400" s="0">
        <f>IF(D400=1,'7805'!D26&amp;"","")</f>
        <v/>
      </c>
      <c r="L400" s="0">
        <f>IF(D400=1,IF('7805'!F26="","",'7805'!F26),"")</f>
        <v/>
      </c>
    </row>
    <row r="401">
      <c r="A401" s="0" t="inlineStr">
        <is>
          <t>7805 – Cultivating Professional Capacity</t>
        </is>
      </c>
      <c r="B401" s="0" t="inlineStr">
        <is>
          <t>7805</t>
        </is>
      </c>
      <c r="C401" s="0" t="n">
        <v>27</v>
      </c>
      <c r="D401" s="0">
        <f>IF(AND(UPPER(TRIM('7805'!A27))="CHOICE",LEN(TRIM('7805'!E27&amp;'7805'!F27))&gt;0),1,0)</f>
        <v/>
      </c>
      <c r="E401" s="0">
        <f>IF(D401=1,MAX(E$1:E400)+1,"")</f>
        <v/>
      </c>
      <c r="F401" s="0">
        <f>IF(D401=1,IFERROR(CHOOSE(MATCH("X",'7805'!G27:L27,0),"①","②","③","④","⑤","⑥"),""),"")</f>
        <v/>
      </c>
      <c r="G401" s="0">
        <f>IF(D401=1,IF('7805'!B27="","",'7805'!B27),"")</f>
        <v/>
      </c>
      <c r="H401" s="0">
        <f>IF(D401=1,'7805'!N27&amp;"","")</f>
        <v/>
      </c>
      <c r="I401" s="0">
        <f>IF(D401=1,'7805'!C27&amp;"","")</f>
        <v/>
      </c>
      <c r="J401" s="0">
        <f>IF(D401=1,'7805'!E27&amp;"","")</f>
        <v/>
      </c>
      <c r="K401" s="0">
        <f>IF(D401=1,'7805'!D27&amp;"","")</f>
        <v/>
      </c>
      <c r="L401" s="0">
        <f>IF(D401=1,IF('7805'!F27="","",'7805'!F27),"")</f>
        <v/>
      </c>
    </row>
    <row r="402">
      <c r="A402" s="0" t="inlineStr">
        <is>
          <t>7805 – Cultivating Professional Capacity</t>
        </is>
      </c>
      <c r="B402" s="0" t="inlineStr">
        <is>
          <t>7805</t>
        </is>
      </c>
      <c r="C402" s="0" t="n">
        <v>28</v>
      </c>
      <c r="D402" s="0">
        <f>IF(AND(UPPER(TRIM('7805'!A28))="CHOICE",LEN(TRIM('7805'!E28&amp;'7805'!F28))&gt;0),1,0)</f>
        <v/>
      </c>
      <c r="E402" s="0">
        <f>IF(D402=1,MAX(E$1:E401)+1,"")</f>
        <v/>
      </c>
      <c r="F402" s="0">
        <f>IF(D402=1,IFERROR(CHOOSE(MATCH("X",'7805'!G28:L28,0),"①","②","③","④","⑤","⑥"),""),"")</f>
        <v/>
      </c>
      <c r="G402" s="0">
        <f>IF(D402=1,IF('7805'!B28="","",'7805'!B28),"")</f>
        <v/>
      </c>
      <c r="H402" s="0">
        <f>IF(D402=1,'7805'!N28&amp;"","")</f>
        <v/>
      </c>
      <c r="I402" s="0">
        <f>IF(D402=1,'7805'!C28&amp;"","")</f>
        <v/>
      </c>
      <c r="J402" s="0">
        <f>IF(D402=1,'7805'!E28&amp;"","")</f>
        <v/>
      </c>
      <c r="K402" s="0">
        <f>IF(D402=1,'7805'!D28&amp;"","")</f>
        <v/>
      </c>
      <c r="L402" s="0">
        <f>IF(D402=1,IF('7805'!F28="","",'7805'!F28),"")</f>
        <v/>
      </c>
    </row>
    <row r="403">
      <c r="A403" s="0" t="inlineStr">
        <is>
          <t>7805 – Cultivating Professional Capacity</t>
        </is>
      </c>
      <c r="B403" s="0" t="inlineStr">
        <is>
          <t>7805</t>
        </is>
      </c>
      <c r="C403" s="0" t="n">
        <v>29</v>
      </c>
      <c r="D403" s="0">
        <f>IF(AND(UPPER(TRIM('7805'!A29))="CHOICE",LEN(TRIM('7805'!E29&amp;'7805'!F29))&gt;0),1,0)</f>
        <v/>
      </c>
      <c r="E403" s="0">
        <f>IF(D403=1,MAX(E$1:E402)+1,"")</f>
        <v/>
      </c>
      <c r="F403" s="0">
        <f>IF(D403=1,IFERROR(CHOOSE(MATCH("X",'7805'!G29:L29,0),"①","②","③","④","⑤","⑥"),""),"")</f>
        <v/>
      </c>
      <c r="G403" s="0">
        <f>IF(D403=1,IF('7805'!B29="","",'7805'!B29),"")</f>
        <v/>
      </c>
      <c r="H403" s="0">
        <f>IF(D403=1,'7805'!N29&amp;"","")</f>
        <v/>
      </c>
      <c r="I403" s="0">
        <f>IF(D403=1,'7805'!C29&amp;"","")</f>
        <v/>
      </c>
      <c r="J403" s="0">
        <f>IF(D403=1,'7805'!E29&amp;"","")</f>
        <v/>
      </c>
      <c r="K403" s="0">
        <f>IF(D403=1,'7805'!D29&amp;"","")</f>
        <v/>
      </c>
      <c r="L403" s="0">
        <f>IF(D403=1,IF('7805'!F29="","",'7805'!F29),"")</f>
        <v/>
      </c>
    </row>
    <row r="404">
      <c r="A404" s="0" t="inlineStr">
        <is>
          <t>7805 – Cultivating Professional Capacity</t>
        </is>
      </c>
      <c r="B404" s="0" t="inlineStr">
        <is>
          <t>7805</t>
        </is>
      </c>
      <c r="C404" s="0" t="n">
        <v>30</v>
      </c>
      <c r="D404" s="0">
        <f>IF(AND(UPPER(TRIM('7805'!A30))="CHOICE",LEN(TRIM('7805'!E30&amp;'7805'!F30))&gt;0),1,0)</f>
        <v/>
      </c>
      <c r="E404" s="0">
        <f>IF(D404=1,MAX(E$1:E403)+1,"")</f>
        <v/>
      </c>
      <c r="F404" s="0">
        <f>IF(D404=1,IFERROR(CHOOSE(MATCH("X",'7805'!G30:L30,0),"①","②","③","④","⑤","⑥"),""),"")</f>
        <v/>
      </c>
      <c r="G404" s="0">
        <f>IF(D404=1,IF('7805'!B30="","",'7805'!B30),"")</f>
        <v/>
      </c>
      <c r="H404" s="0">
        <f>IF(D404=1,'7805'!N30&amp;"","")</f>
        <v/>
      </c>
      <c r="I404" s="0">
        <f>IF(D404=1,'7805'!C30&amp;"","")</f>
        <v/>
      </c>
      <c r="J404" s="0">
        <f>IF(D404=1,'7805'!E30&amp;"","")</f>
        <v/>
      </c>
      <c r="K404" s="0">
        <f>IF(D404=1,'7805'!D30&amp;"","")</f>
        <v/>
      </c>
      <c r="L404" s="0">
        <f>IF(D404=1,IF('7805'!F30="","",'7805'!F30),"")</f>
        <v/>
      </c>
    </row>
    <row r="405">
      <c r="A405" s="0" t="inlineStr">
        <is>
          <t>7805 – Cultivating Professional Capacity</t>
        </is>
      </c>
      <c r="B405" s="0" t="inlineStr">
        <is>
          <t>7805</t>
        </is>
      </c>
      <c r="C405" s="0" t="n">
        <v>31</v>
      </c>
      <c r="D405" s="0">
        <f>IF(AND(UPPER(TRIM('7805'!A31))="CHOICE",LEN(TRIM('7805'!E31&amp;'7805'!F31))&gt;0),1,0)</f>
        <v/>
      </c>
      <c r="E405" s="0">
        <f>IF(D405=1,MAX(E$1:E404)+1,"")</f>
        <v/>
      </c>
      <c r="F405" s="0">
        <f>IF(D405=1,IFERROR(CHOOSE(MATCH("X",'7805'!G31:L31,0),"①","②","③","④","⑤","⑥"),""),"")</f>
        <v/>
      </c>
      <c r="G405" s="0">
        <f>IF(D405=1,IF('7805'!B31="","",'7805'!B31),"")</f>
        <v/>
      </c>
      <c r="H405" s="0">
        <f>IF(D405=1,'7805'!N31&amp;"","")</f>
        <v/>
      </c>
      <c r="I405" s="0">
        <f>IF(D405=1,'7805'!C31&amp;"","")</f>
        <v/>
      </c>
      <c r="J405" s="0">
        <f>IF(D405=1,'7805'!E31&amp;"","")</f>
        <v/>
      </c>
      <c r="K405" s="0">
        <f>IF(D405=1,'7805'!D31&amp;"","")</f>
        <v/>
      </c>
      <c r="L405" s="0">
        <f>IF(D405=1,IF('7805'!F31="","",'7805'!F31),"")</f>
        <v/>
      </c>
    </row>
    <row r="406">
      <c r="A406" s="0" t="inlineStr">
        <is>
          <t>7805 – Cultivating Professional Capacity</t>
        </is>
      </c>
      <c r="B406" s="0" t="inlineStr">
        <is>
          <t>7805</t>
        </is>
      </c>
      <c r="C406" s="0" t="n">
        <v>32</v>
      </c>
      <c r="D406" s="0">
        <f>IF(AND(UPPER(TRIM('7805'!A32))="CHOICE",LEN(TRIM('7805'!E32&amp;'7805'!F32))&gt;0),1,0)</f>
        <v/>
      </c>
      <c r="E406" s="0">
        <f>IF(D406=1,MAX(E$1:E405)+1,"")</f>
        <v/>
      </c>
      <c r="F406" s="0">
        <f>IF(D406=1,IFERROR(CHOOSE(MATCH("X",'7805'!G32:L32,0),"①","②","③","④","⑤","⑥"),""),"")</f>
        <v/>
      </c>
      <c r="G406" s="0">
        <f>IF(D406=1,IF('7805'!B32="","",'7805'!B32),"")</f>
        <v/>
      </c>
      <c r="H406" s="0">
        <f>IF(D406=1,'7805'!N32&amp;"","")</f>
        <v/>
      </c>
      <c r="I406" s="0">
        <f>IF(D406=1,'7805'!C32&amp;"","")</f>
        <v/>
      </c>
      <c r="J406" s="0">
        <f>IF(D406=1,'7805'!E32&amp;"","")</f>
        <v/>
      </c>
      <c r="K406" s="0">
        <f>IF(D406=1,'7805'!D32&amp;"","")</f>
        <v/>
      </c>
      <c r="L406" s="0">
        <f>IF(D406=1,IF('7805'!F32="","",'7805'!F32),"")</f>
        <v/>
      </c>
    </row>
    <row r="407">
      <c r="A407" s="0" t="inlineStr">
        <is>
          <t>7805 – Cultivating Professional Capacity</t>
        </is>
      </c>
      <c r="B407" s="0" t="inlineStr">
        <is>
          <t>7805</t>
        </is>
      </c>
      <c r="C407" s="0" t="n">
        <v>33</v>
      </c>
      <c r="D407" s="0">
        <f>IF(AND(UPPER(TRIM('7805'!A33))="CHOICE",LEN(TRIM('7805'!E33&amp;'7805'!F33))&gt;0),1,0)</f>
        <v/>
      </c>
      <c r="E407" s="0">
        <f>IF(D407=1,MAX(E$1:E406)+1,"")</f>
        <v/>
      </c>
      <c r="F407" s="0">
        <f>IF(D407=1,IFERROR(CHOOSE(MATCH("X",'7805'!G33:L33,0),"①","②","③","④","⑤","⑥"),""),"")</f>
        <v/>
      </c>
      <c r="G407" s="0">
        <f>IF(D407=1,IF('7805'!B33="","",'7805'!B33),"")</f>
        <v/>
      </c>
      <c r="H407" s="0">
        <f>IF(D407=1,'7805'!N33&amp;"","")</f>
        <v/>
      </c>
      <c r="I407" s="0">
        <f>IF(D407=1,'7805'!C33&amp;"","")</f>
        <v/>
      </c>
      <c r="J407" s="0">
        <f>IF(D407=1,'7805'!E33&amp;"","")</f>
        <v/>
      </c>
      <c r="K407" s="0">
        <f>IF(D407=1,'7805'!D33&amp;"","")</f>
        <v/>
      </c>
      <c r="L407" s="0">
        <f>IF(D407=1,IF('7805'!F33="","",'7805'!F33),"")</f>
        <v/>
      </c>
    </row>
    <row r="408">
      <c r="A408" s="0" t="inlineStr">
        <is>
          <t>7805 – Cultivating Professional Capacity</t>
        </is>
      </c>
      <c r="B408" s="0" t="inlineStr">
        <is>
          <t>7805</t>
        </is>
      </c>
      <c r="C408" s="0" t="n">
        <v>34</v>
      </c>
      <c r="D408" s="0">
        <f>IF(AND(UPPER(TRIM('7805'!A34))="CHOICE",LEN(TRIM('7805'!E34&amp;'7805'!F34))&gt;0),1,0)</f>
        <v/>
      </c>
      <c r="E408" s="0">
        <f>IF(D408=1,MAX(E$1:E407)+1,"")</f>
        <v/>
      </c>
      <c r="F408" s="0">
        <f>IF(D408=1,IFERROR(CHOOSE(MATCH("X",'7805'!G34:L34,0),"①","②","③","④","⑤","⑥"),""),"")</f>
        <v/>
      </c>
      <c r="G408" s="0">
        <f>IF(D408=1,IF('7805'!B34="","",'7805'!B34),"")</f>
        <v/>
      </c>
      <c r="H408" s="0">
        <f>IF(D408=1,'7805'!N34&amp;"","")</f>
        <v/>
      </c>
      <c r="I408" s="0">
        <f>IF(D408=1,'7805'!C34&amp;"","")</f>
        <v/>
      </c>
      <c r="J408" s="0">
        <f>IF(D408=1,'7805'!E34&amp;"","")</f>
        <v/>
      </c>
      <c r="K408" s="0">
        <f>IF(D408=1,'7805'!D34&amp;"","")</f>
        <v/>
      </c>
      <c r="L408" s="0">
        <f>IF(D408=1,IF('7805'!F34="","",'7805'!F34),"")</f>
        <v/>
      </c>
    </row>
    <row r="409">
      <c r="A409" s="0" t="inlineStr">
        <is>
          <t>7805 – Cultivating Professional Capacity</t>
        </is>
      </c>
      <c r="B409" s="0" t="inlineStr">
        <is>
          <t>7805</t>
        </is>
      </c>
      <c r="C409" s="0" t="n">
        <v>35</v>
      </c>
      <c r="D409" s="0">
        <f>IF(AND(UPPER(TRIM('7805'!A35))="CHOICE",LEN(TRIM('7805'!E35&amp;'7805'!F35))&gt;0),1,0)</f>
        <v/>
      </c>
      <c r="E409" s="0">
        <f>IF(D409=1,MAX(E$1:E408)+1,"")</f>
        <v/>
      </c>
      <c r="F409" s="0">
        <f>IF(D409=1,IFERROR(CHOOSE(MATCH("X",'7805'!G35:L35,0),"①","②","③","④","⑤","⑥"),""),"")</f>
        <v/>
      </c>
      <c r="G409" s="0">
        <f>IF(D409=1,IF('7805'!B35="","",'7805'!B35),"")</f>
        <v/>
      </c>
      <c r="H409" s="0">
        <f>IF(D409=1,'7805'!N35&amp;"","")</f>
        <v/>
      </c>
      <c r="I409" s="0">
        <f>IF(D409=1,'7805'!C35&amp;"","")</f>
        <v/>
      </c>
      <c r="J409" s="0">
        <f>IF(D409=1,'7805'!E35&amp;"","")</f>
        <v/>
      </c>
      <c r="K409" s="0">
        <f>IF(D409=1,'7805'!D35&amp;"","")</f>
        <v/>
      </c>
      <c r="L409" s="0">
        <f>IF(D409=1,IF('7805'!F35="","",'7805'!F35),"")</f>
        <v/>
      </c>
    </row>
    <row r="410">
      <c r="A410" s="0" t="inlineStr">
        <is>
          <t>7805 – Cultivating Professional Capacity</t>
        </is>
      </c>
      <c r="B410" s="0" t="inlineStr">
        <is>
          <t>7805</t>
        </is>
      </c>
      <c r="C410" s="0" t="n">
        <v>36</v>
      </c>
      <c r="D410" s="0">
        <f>IF(AND(UPPER(TRIM('7805'!A36))="CHOICE",LEN(TRIM('7805'!E36&amp;'7805'!F36))&gt;0),1,0)</f>
        <v/>
      </c>
      <c r="E410" s="0">
        <f>IF(D410=1,MAX(E$1:E409)+1,"")</f>
        <v/>
      </c>
      <c r="F410" s="0">
        <f>IF(D410=1,IFERROR(CHOOSE(MATCH("X",'7805'!G36:L36,0),"①","②","③","④","⑤","⑥"),""),"")</f>
        <v/>
      </c>
      <c r="G410" s="0">
        <f>IF(D410=1,IF('7805'!B36="","",'7805'!B36),"")</f>
        <v/>
      </c>
      <c r="H410" s="0">
        <f>IF(D410=1,'7805'!N36&amp;"","")</f>
        <v/>
      </c>
      <c r="I410" s="0">
        <f>IF(D410=1,'7805'!C36&amp;"","")</f>
        <v/>
      </c>
      <c r="J410" s="0">
        <f>IF(D410=1,'7805'!E36&amp;"","")</f>
        <v/>
      </c>
      <c r="K410" s="0">
        <f>IF(D410=1,'7805'!D36&amp;"","")</f>
        <v/>
      </c>
      <c r="L410" s="0">
        <f>IF(D410=1,IF('7805'!F36="","",'7805'!F36),"")</f>
        <v/>
      </c>
    </row>
    <row r="411">
      <c r="A411" s="0" t="inlineStr">
        <is>
          <t>7805 – Cultivating Professional Capacity</t>
        </is>
      </c>
      <c r="B411" s="0" t="inlineStr">
        <is>
          <t>7805</t>
        </is>
      </c>
      <c r="C411" s="0" t="n">
        <v>37</v>
      </c>
      <c r="D411" s="0">
        <f>IF(AND(UPPER(TRIM('7805'!A37))="CHOICE",LEN(TRIM('7805'!E37&amp;'7805'!F37))&gt;0),1,0)</f>
        <v/>
      </c>
      <c r="E411" s="0">
        <f>IF(D411=1,MAX(E$1:E410)+1,"")</f>
        <v/>
      </c>
      <c r="F411" s="0">
        <f>IF(D411=1,IFERROR(CHOOSE(MATCH("X",'7805'!G37:L37,0),"①","②","③","④","⑤","⑥"),""),"")</f>
        <v/>
      </c>
      <c r="G411" s="0">
        <f>IF(D411=1,IF('7805'!B37="","",'7805'!B37),"")</f>
        <v/>
      </c>
      <c r="H411" s="0">
        <f>IF(D411=1,'7805'!N37&amp;"","")</f>
        <v/>
      </c>
      <c r="I411" s="0">
        <f>IF(D411=1,'7805'!C37&amp;"","")</f>
        <v/>
      </c>
      <c r="J411" s="0">
        <f>IF(D411=1,'7805'!E37&amp;"","")</f>
        <v/>
      </c>
      <c r="K411" s="0">
        <f>IF(D411=1,'7805'!D37&amp;"","")</f>
        <v/>
      </c>
      <c r="L411" s="0">
        <f>IF(D411=1,IF('7805'!F37="","",'7805'!F37),"")</f>
        <v/>
      </c>
    </row>
    <row r="412">
      <c r="A412" s="0" t="inlineStr">
        <is>
          <t>7805 – Cultivating Professional Capacity</t>
        </is>
      </c>
      <c r="B412" s="0" t="inlineStr">
        <is>
          <t>7805</t>
        </is>
      </c>
      <c r="C412" s="0" t="n">
        <v>38</v>
      </c>
      <c r="D412" s="0">
        <f>IF(AND(UPPER(TRIM('7805'!A38))="CHOICE",LEN(TRIM('7805'!E38&amp;'7805'!F38))&gt;0),1,0)</f>
        <v/>
      </c>
      <c r="E412" s="0">
        <f>IF(D412=1,MAX(E$1:E411)+1,"")</f>
        <v/>
      </c>
      <c r="F412" s="0">
        <f>IF(D412=1,IFERROR(CHOOSE(MATCH("X",'7805'!G38:L38,0),"①","②","③","④","⑤","⑥"),""),"")</f>
        <v/>
      </c>
      <c r="G412" s="0">
        <f>IF(D412=1,IF('7805'!B38="","",'7805'!B38),"")</f>
        <v/>
      </c>
      <c r="H412" s="0">
        <f>IF(D412=1,'7805'!N38&amp;"","")</f>
        <v/>
      </c>
      <c r="I412" s="0">
        <f>IF(D412=1,'7805'!C38&amp;"","")</f>
        <v/>
      </c>
      <c r="J412" s="0">
        <f>IF(D412=1,'7805'!E38&amp;"","")</f>
        <v/>
      </c>
      <c r="K412" s="0">
        <f>IF(D412=1,'7805'!D38&amp;"","")</f>
        <v/>
      </c>
      <c r="L412" s="0">
        <f>IF(D412=1,IF('7805'!F38="","",'7805'!F38),"")</f>
        <v/>
      </c>
    </row>
    <row r="413">
      <c r="A413" s="0" t="inlineStr">
        <is>
          <t>7805 – Cultivating Professional Capacity</t>
        </is>
      </c>
      <c r="B413" s="0" t="inlineStr">
        <is>
          <t>7805</t>
        </is>
      </c>
      <c r="C413" s="0" t="n">
        <v>39</v>
      </c>
      <c r="D413" s="0">
        <f>IF(AND(UPPER(TRIM('7805'!A39))="CHOICE",LEN(TRIM('7805'!E39&amp;'7805'!F39))&gt;0),1,0)</f>
        <v/>
      </c>
      <c r="E413" s="0">
        <f>IF(D413=1,MAX(E$1:E412)+1,"")</f>
        <v/>
      </c>
      <c r="F413" s="0">
        <f>IF(D413=1,IFERROR(CHOOSE(MATCH("X",'7805'!G39:L39,0),"①","②","③","④","⑤","⑥"),""),"")</f>
        <v/>
      </c>
      <c r="G413" s="0">
        <f>IF(D413=1,IF('7805'!B39="","",'7805'!B39),"")</f>
        <v/>
      </c>
      <c r="H413" s="0">
        <f>IF(D413=1,'7805'!N39&amp;"","")</f>
        <v/>
      </c>
      <c r="I413" s="0">
        <f>IF(D413=1,'7805'!C39&amp;"","")</f>
        <v/>
      </c>
      <c r="J413" s="0">
        <f>IF(D413=1,'7805'!E39&amp;"","")</f>
        <v/>
      </c>
      <c r="K413" s="0">
        <f>IF(D413=1,'7805'!D39&amp;"","")</f>
        <v/>
      </c>
      <c r="L413" s="0">
        <f>IF(D413=1,IF('7805'!F39="","",'7805'!F39),"")</f>
        <v/>
      </c>
    </row>
    <row r="414">
      <c r="A414" s="0" t="inlineStr">
        <is>
          <t>7805 – Cultivating Professional Capacity</t>
        </is>
      </c>
      <c r="B414" s="0" t="inlineStr">
        <is>
          <t>7805</t>
        </is>
      </c>
      <c r="C414" s="0" t="n">
        <v>40</v>
      </c>
      <c r="D414" s="0">
        <f>IF(AND(UPPER(TRIM('7805'!A40))="CHOICE",LEN(TRIM('7805'!E40&amp;'7805'!F40))&gt;0),1,0)</f>
        <v/>
      </c>
      <c r="E414" s="0">
        <f>IF(D414=1,MAX(E$1:E413)+1,"")</f>
        <v/>
      </c>
      <c r="F414" s="0">
        <f>IF(D414=1,IFERROR(CHOOSE(MATCH("X",'7805'!G40:L40,0),"①","②","③","④","⑤","⑥"),""),"")</f>
        <v/>
      </c>
      <c r="G414" s="0">
        <f>IF(D414=1,IF('7805'!B40="","",'7805'!B40),"")</f>
        <v/>
      </c>
      <c r="H414" s="0">
        <f>IF(D414=1,'7805'!N40&amp;"","")</f>
        <v/>
      </c>
      <c r="I414" s="0">
        <f>IF(D414=1,'7805'!C40&amp;"","")</f>
        <v/>
      </c>
      <c r="J414" s="0">
        <f>IF(D414=1,'7805'!E40&amp;"","")</f>
        <v/>
      </c>
      <c r="K414" s="0">
        <f>IF(D414=1,'7805'!D40&amp;"","")</f>
        <v/>
      </c>
      <c r="L414" s="0">
        <f>IF(D414=1,IF('7805'!F40="","",'7805'!F40),"")</f>
        <v/>
      </c>
    </row>
    <row r="415">
      <c r="A415" s="0" t="inlineStr">
        <is>
          <t>7805 – Cultivating Professional Capacity</t>
        </is>
      </c>
      <c r="B415" s="0" t="inlineStr">
        <is>
          <t>7805</t>
        </is>
      </c>
      <c r="C415" s="0" t="n">
        <v>41</v>
      </c>
      <c r="D415" s="0">
        <f>IF(AND(UPPER(TRIM('7805'!A41))="CHOICE",LEN(TRIM('7805'!E41&amp;'7805'!F41))&gt;0),1,0)</f>
        <v/>
      </c>
      <c r="E415" s="0">
        <f>IF(D415=1,MAX(E$1:E414)+1,"")</f>
        <v/>
      </c>
      <c r="F415" s="0">
        <f>IF(D415=1,IFERROR(CHOOSE(MATCH("X",'7805'!G41:L41,0),"①","②","③","④","⑤","⑥"),""),"")</f>
        <v/>
      </c>
      <c r="G415" s="0">
        <f>IF(D415=1,IF('7805'!B41="","",'7805'!B41),"")</f>
        <v/>
      </c>
      <c r="H415" s="0">
        <f>IF(D415=1,'7805'!N41&amp;"","")</f>
        <v/>
      </c>
      <c r="I415" s="0">
        <f>IF(D415=1,'7805'!C41&amp;"","")</f>
        <v/>
      </c>
      <c r="J415" s="0">
        <f>IF(D415=1,'7805'!E41&amp;"","")</f>
        <v/>
      </c>
      <c r="K415" s="0">
        <f>IF(D415=1,'7805'!D41&amp;"","")</f>
        <v/>
      </c>
      <c r="L415" s="0">
        <f>IF(D415=1,IF('7805'!F41="","",'7805'!F41),"")</f>
        <v/>
      </c>
    </row>
    <row r="416">
      <c r="A416" s="0" t="inlineStr">
        <is>
          <t>7805 – Cultivating Professional Capacity</t>
        </is>
      </c>
      <c r="B416" s="0" t="inlineStr">
        <is>
          <t>7805</t>
        </is>
      </c>
      <c r="C416" s="0" t="n">
        <v>42</v>
      </c>
      <c r="D416" s="0">
        <f>IF(AND(UPPER(TRIM('7805'!A42))="CHOICE",LEN(TRIM('7805'!E42&amp;'7805'!F42))&gt;0),1,0)</f>
        <v/>
      </c>
      <c r="E416" s="0">
        <f>IF(D416=1,MAX(E$1:E415)+1,"")</f>
        <v/>
      </c>
      <c r="F416" s="0">
        <f>IF(D416=1,IFERROR(CHOOSE(MATCH("X",'7805'!G42:L42,0),"①","②","③","④","⑤","⑥"),""),"")</f>
        <v/>
      </c>
      <c r="G416" s="0">
        <f>IF(D416=1,IF('7805'!B42="","",'7805'!B42),"")</f>
        <v/>
      </c>
      <c r="H416" s="0">
        <f>IF(D416=1,'7805'!N42&amp;"","")</f>
        <v/>
      </c>
      <c r="I416" s="0">
        <f>IF(D416=1,'7805'!C42&amp;"","")</f>
        <v/>
      </c>
      <c r="J416" s="0">
        <f>IF(D416=1,'7805'!E42&amp;"","")</f>
        <v/>
      </c>
      <c r="K416" s="0">
        <f>IF(D416=1,'7805'!D42&amp;"","")</f>
        <v/>
      </c>
      <c r="L416" s="0">
        <f>IF(D416=1,IF('7805'!F42="","",'7805'!F42),"")</f>
        <v/>
      </c>
    </row>
    <row r="417">
      <c r="A417" s="0" t="inlineStr">
        <is>
          <t>7805 – Cultivating Professional Capacity</t>
        </is>
      </c>
      <c r="B417" s="0" t="inlineStr">
        <is>
          <t>7805</t>
        </is>
      </c>
      <c r="C417" s="0" t="n">
        <v>43</v>
      </c>
      <c r="D417" s="0">
        <f>IF(AND(UPPER(TRIM('7805'!A43))="CHOICE",LEN(TRIM('7805'!E43&amp;'7805'!F43))&gt;0),1,0)</f>
        <v/>
      </c>
      <c r="E417" s="0">
        <f>IF(D417=1,MAX(E$1:E416)+1,"")</f>
        <v/>
      </c>
      <c r="F417" s="0">
        <f>IF(D417=1,IFERROR(CHOOSE(MATCH("X",'7805'!G43:L43,0),"①","②","③","④","⑤","⑥"),""),"")</f>
        <v/>
      </c>
      <c r="G417" s="0">
        <f>IF(D417=1,IF('7805'!B43="","",'7805'!B43),"")</f>
        <v/>
      </c>
      <c r="H417" s="0">
        <f>IF(D417=1,'7805'!N43&amp;"","")</f>
        <v/>
      </c>
      <c r="I417" s="0">
        <f>IF(D417=1,'7805'!C43&amp;"","")</f>
        <v/>
      </c>
      <c r="J417" s="0">
        <f>IF(D417=1,'7805'!E43&amp;"","")</f>
        <v/>
      </c>
      <c r="K417" s="0">
        <f>IF(D417=1,'7805'!D43&amp;"","")</f>
        <v/>
      </c>
      <c r="L417" s="0">
        <f>IF(D417=1,IF('7805'!F43="","",'7805'!F43),"")</f>
        <v/>
      </c>
    </row>
    <row r="418">
      <c r="A418" s="0" t="inlineStr">
        <is>
          <t>7805 – Cultivating Professional Capacity</t>
        </is>
      </c>
      <c r="B418" s="0" t="inlineStr">
        <is>
          <t>7805</t>
        </is>
      </c>
      <c r="C418" s="0" t="n">
        <v>44</v>
      </c>
      <c r="D418" s="0">
        <f>IF(AND(UPPER(TRIM('7805'!A44))="CHOICE",LEN(TRIM('7805'!E44&amp;'7805'!F44))&gt;0),1,0)</f>
        <v/>
      </c>
      <c r="E418" s="0">
        <f>IF(D418=1,MAX(E$1:E417)+1,"")</f>
        <v/>
      </c>
      <c r="F418" s="0">
        <f>IF(D418=1,IFERROR(CHOOSE(MATCH("X",'7805'!G44:L44,0),"①","②","③","④","⑤","⑥"),""),"")</f>
        <v/>
      </c>
      <c r="G418" s="0">
        <f>IF(D418=1,IF('7805'!B44="","",'7805'!B44),"")</f>
        <v/>
      </c>
      <c r="H418" s="0">
        <f>IF(D418=1,'7805'!N44&amp;"","")</f>
        <v/>
      </c>
      <c r="I418" s="0">
        <f>IF(D418=1,'7805'!C44&amp;"","")</f>
        <v/>
      </c>
      <c r="J418" s="0">
        <f>IF(D418=1,'7805'!E44&amp;"","")</f>
        <v/>
      </c>
      <c r="K418" s="0">
        <f>IF(D418=1,'7805'!D44&amp;"","")</f>
        <v/>
      </c>
      <c r="L418" s="0">
        <f>IF(D418=1,IF('7805'!F44="","",'7805'!F44),"")</f>
        <v/>
      </c>
    </row>
    <row r="419">
      <c r="A419" s="0" t="inlineStr">
        <is>
          <t>7805 – Cultivating Professional Capacity</t>
        </is>
      </c>
      <c r="B419" s="0" t="inlineStr">
        <is>
          <t>7805</t>
        </is>
      </c>
      <c r="C419" s="0" t="n">
        <v>45</v>
      </c>
      <c r="D419" s="0">
        <f>IF(AND(UPPER(TRIM('7805'!A45))="CHOICE",LEN(TRIM('7805'!E45&amp;'7805'!F45))&gt;0),1,0)</f>
        <v/>
      </c>
      <c r="E419" s="0">
        <f>IF(D419=1,MAX(E$1:E418)+1,"")</f>
        <v/>
      </c>
      <c r="F419" s="0">
        <f>IF(D419=1,IFERROR(CHOOSE(MATCH("X",'7805'!G45:L45,0),"①","②","③","④","⑤","⑥"),""),"")</f>
        <v/>
      </c>
      <c r="G419" s="0">
        <f>IF(D419=1,IF('7805'!B45="","",'7805'!B45),"")</f>
        <v/>
      </c>
      <c r="H419" s="0">
        <f>IF(D419=1,'7805'!N45&amp;"","")</f>
        <v/>
      </c>
      <c r="I419" s="0">
        <f>IF(D419=1,'7805'!C45&amp;"","")</f>
        <v/>
      </c>
      <c r="J419" s="0">
        <f>IF(D419=1,'7805'!E45&amp;"","")</f>
        <v/>
      </c>
      <c r="K419" s="0">
        <f>IF(D419=1,'7805'!D45&amp;"","")</f>
        <v/>
      </c>
      <c r="L419" s="0">
        <f>IF(D419=1,IF('7805'!F45="","",'7805'!F45),"")</f>
        <v/>
      </c>
    </row>
    <row r="420">
      <c r="A420" s="0" t="inlineStr">
        <is>
          <t>7805 – Cultivating Professional Capacity</t>
        </is>
      </c>
      <c r="B420" s="0" t="inlineStr">
        <is>
          <t>7805</t>
        </is>
      </c>
      <c r="C420" s="0" t="n">
        <v>46</v>
      </c>
      <c r="D420" s="0">
        <f>IF(AND(UPPER(TRIM('7805'!A46))="CHOICE",LEN(TRIM('7805'!E46&amp;'7805'!F46))&gt;0),1,0)</f>
        <v/>
      </c>
      <c r="E420" s="0">
        <f>IF(D420=1,MAX(E$1:E419)+1,"")</f>
        <v/>
      </c>
      <c r="F420" s="0">
        <f>IF(D420=1,IFERROR(CHOOSE(MATCH("X",'7805'!G46:L46,0),"①","②","③","④","⑤","⑥"),""),"")</f>
        <v/>
      </c>
      <c r="G420" s="0">
        <f>IF(D420=1,IF('7805'!B46="","",'7805'!B46),"")</f>
        <v/>
      </c>
      <c r="H420" s="0">
        <f>IF(D420=1,'7805'!N46&amp;"","")</f>
        <v/>
      </c>
      <c r="I420" s="0">
        <f>IF(D420=1,'7805'!C46&amp;"","")</f>
        <v/>
      </c>
      <c r="J420" s="0">
        <f>IF(D420=1,'7805'!E46&amp;"","")</f>
        <v/>
      </c>
      <c r="K420" s="0">
        <f>IF(D420=1,'7805'!D46&amp;"","")</f>
        <v/>
      </c>
      <c r="L420" s="0">
        <f>IF(D420=1,IF('7805'!F46="","",'7805'!F46),"")</f>
        <v/>
      </c>
    </row>
    <row r="421">
      <c r="A421" s="0" t="inlineStr">
        <is>
          <t>7805 – Cultivating Professional Capacity</t>
        </is>
      </c>
      <c r="B421" s="0" t="inlineStr">
        <is>
          <t>7805</t>
        </is>
      </c>
      <c r="C421" s="0" t="n">
        <v>47</v>
      </c>
      <c r="D421" s="0">
        <f>IF(AND(UPPER(TRIM('7805'!A47))="CHOICE",LEN(TRIM('7805'!E47&amp;'7805'!F47))&gt;0),1,0)</f>
        <v/>
      </c>
      <c r="E421" s="0">
        <f>IF(D421=1,MAX(E$1:E420)+1,"")</f>
        <v/>
      </c>
      <c r="F421" s="0">
        <f>IF(D421=1,IFERROR(CHOOSE(MATCH("X",'7805'!G47:L47,0),"①","②","③","④","⑤","⑥"),""),"")</f>
        <v/>
      </c>
      <c r="G421" s="0">
        <f>IF(D421=1,IF('7805'!B47="","",'7805'!B47),"")</f>
        <v/>
      </c>
      <c r="H421" s="0">
        <f>IF(D421=1,'7805'!N47&amp;"","")</f>
        <v/>
      </c>
      <c r="I421" s="0">
        <f>IF(D421=1,'7805'!C47&amp;"","")</f>
        <v/>
      </c>
      <c r="J421" s="0">
        <f>IF(D421=1,'7805'!E47&amp;"","")</f>
        <v/>
      </c>
      <c r="K421" s="0">
        <f>IF(D421=1,'7805'!D47&amp;"","")</f>
        <v/>
      </c>
      <c r="L421" s="0">
        <f>IF(D421=1,IF('7805'!F47="","",'7805'!F47),"")</f>
        <v/>
      </c>
    </row>
    <row r="422">
      <c r="A422" s="0" t="inlineStr">
        <is>
          <t>7805 – Cultivating Professional Capacity</t>
        </is>
      </c>
      <c r="B422" s="0" t="inlineStr">
        <is>
          <t>7805</t>
        </is>
      </c>
      <c r="C422" s="0" t="n">
        <v>48</v>
      </c>
      <c r="D422" s="0">
        <f>IF(AND(UPPER(TRIM('7805'!A48))="CHOICE",LEN(TRIM('7805'!E48&amp;'7805'!F48))&gt;0),1,0)</f>
        <v/>
      </c>
      <c r="E422" s="0">
        <f>IF(D422=1,MAX(E$1:E421)+1,"")</f>
        <v/>
      </c>
      <c r="F422" s="0">
        <f>IF(D422=1,IFERROR(CHOOSE(MATCH("X",'7805'!G48:L48,0),"①","②","③","④","⑤","⑥"),""),"")</f>
        <v/>
      </c>
      <c r="G422" s="0">
        <f>IF(D422=1,IF('7805'!B48="","",'7805'!B48),"")</f>
        <v/>
      </c>
      <c r="H422" s="0">
        <f>IF(D422=1,'7805'!N48&amp;"","")</f>
        <v/>
      </c>
      <c r="I422" s="0">
        <f>IF(D422=1,'7805'!C48&amp;"","")</f>
        <v/>
      </c>
      <c r="J422" s="0">
        <f>IF(D422=1,'7805'!E48&amp;"","")</f>
        <v/>
      </c>
      <c r="K422" s="0">
        <f>IF(D422=1,'7805'!D48&amp;"","")</f>
        <v/>
      </c>
      <c r="L422" s="0">
        <f>IF(D422=1,IF('7805'!F48="","",'7805'!F48),"")</f>
        <v/>
      </c>
    </row>
    <row r="423">
      <c r="A423" s="0" t="inlineStr">
        <is>
          <t>7805 – Cultivating Professional Capacity</t>
        </is>
      </c>
      <c r="B423" s="0" t="inlineStr">
        <is>
          <t>7805</t>
        </is>
      </c>
      <c r="C423" s="0" t="n">
        <v>49</v>
      </c>
      <c r="D423" s="0">
        <f>IF(AND(UPPER(TRIM('7805'!A49))="CHOICE",LEN(TRIM('7805'!E49&amp;'7805'!F49))&gt;0),1,0)</f>
        <v/>
      </c>
      <c r="E423" s="0">
        <f>IF(D423=1,MAX(E$1:E422)+1,"")</f>
        <v/>
      </c>
      <c r="F423" s="0">
        <f>IF(D423=1,IFERROR(CHOOSE(MATCH("X",'7805'!G49:L49,0),"①","②","③","④","⑤","⑥"),""),"")</f>
        <v/>
      </c>
      <c r="G423" s="0">
        <f>IF(D423=1,IF('7805'!B49="","",'7805'!B49),"")</f>
        <v/>
      </c>
      <c r="H423" s="0">
        <f>IF(D423=1,'7805'!N49&amp;"","")</f>
        <v/>
      </c>
      <c r="I423" s="0">
        <f>IF(D423=1,'7805'!C49&amp;"","")</f>
        <v/>
      </c>
      <c r="J423" s="0">
        <f>IF(D423=1,'7805'!E49&amp;"","")</f>
        <v/>
      </c>
      <c r="K423" s="0">
        <f>IF(D423=1,'7805'!D49&amp;"","")</f>
        <v/>
      </c>
      <c r="L423" s="0">
        <f>IF(D423=1,IF('7805'!F49="","",'7805'!F49),"")</f>
        <v/>
      </c>
    </row>
    <row r="424">
      <c r="A424" s="0" t="inlineStr">
        <is>
          <t>7805 – Cultivating Professional Capacity</t>
        </is>
      </c>
      <c r="B424" s="0" t="inlineStr">
        <is>
          <t>7805</t>
        </is>
      </c>
      <c r="C424" s="0" t="n">
        <v>50</v>
      </c>
      <c r="D424" s="0">
        <f>IF(AND(UPPER(TRIM('7805'!A50))="CHOICE",LEN(TRIM('7805'!E50&amp;'7805'!F50))&gt;0),1,0)</f>
        <v/>
      </c>
      <c r="E424" s="0">
        <f>IF(D424=1,MAX(E$1:E423)+1,"")</f>
        <v/>
      </c>
      <c r="F424" s="0">
        <f>IF(D424=1,IFERROR(CHOOSE(MATCH("X",'7805'!G50:L50,0),"①","②","③","④","⑤","⑥"),""),"")</f>
        <v/>
      </c>
      <c r="G424" s="0">
        <f>IF(D424=1,IF('7805'!B50="","",'7805'!B50),"")</f>
        <v/>
      </c>
      <c r="H424" s="0">
        <f>IF(D424=1,'7805'!N50&amp;"","")</f>
        <v/>
      </c>
      <c r="I424" s="0">
        <f>IF(D424=1,'7805'!C50&amp;"","")</f>
        <v/>
      </c>
      <c r="J424" s="0">
        <f>IF(D424=1,'7805'!E50&amp;"","")</f>
        <v/>
      </c>
      <c r="K424" s="0">
        <f>IF(D424=1,'7805'!D50&amp;"","")</f>
        <v/>
      </c>
      <c r="L424" s="0">
        <f>IF(D424=1,IF('7805'!F50="","",'7805'!F50),"")</f>
        <v/>
      </c>
    </row>
    <row r="425">
      <c r="A425" s="0" t="inlineStr">
        <is>
          <t>7805 – Cultivating Professional Capacity</t>
        </is>
      </c>
      <c r="B425" s="0" t="inlineStr">
        <is>
          <t>7805</t>
        </is>
      </c>
      <c r="C425" s="0" t="n">
        <v>51</v>
      </c>
      <c r="D425" s="0">
        <f>IF(AND(UPPER(TRIM('7805'!A51))="CHOICE",LEN(TRIM('7805'!E51&amp;'7805'!F51))&gt;0),1,0)</f>
        <v/>
      </c>
      <c r="E425" s="0">
        <f>IF(D425=1,MAX(E$1:E424)+1,"")</f>
        <v/>
      </c>
      <c r="F425" s="0">
        <f>IF(D425=1,IFERROR(CHOOSE(MATCH("X",'7805'!G51:L51,0),"①","②","③","④","⑤","⑥"),""),"")</f>
        <v/>
      </c>
      <c r="G425" s="0">
        <f>IF(D425=1,IF('7805'!B51="","",'7805'!B51),"")</f>
        <v/>
      </c>
      <c r="H425" s="0">
        <f>IF(D425=1,'7805'!N51&amp;"","")</f>
        <v/>
      </c>
      <c r="I425" s="0">
        <f>IF(D425=1,'7805'!C51&amp;"","")</f>
        <v/>
      </c>
      <c r="J425" s="0">
        <f>IF(D425=1,'7805'!E51&amp;"","")</f>
        <v/>
      </c>
      <c r="K425" s="0">
        <f>IF(D425=1,'7805'!D51&amp;"","")</f>
        <v/>
      </c>
      <c r="L425" s="0">
        <f>IF(D425=1,IF('7805'!F51="","",'7805'!F51),"")</f>
        <v/>
      </c>
    </row>
    <row r="426">
      <c r="A426" s="0" t="inlineStr">
        <is>
          <t>7805 – Cultivating Professional Capacity</t>
        </is>
      </c>
      <c r="B426" s="0" t="inlineStr">
        <is>
          <t>7805</t>
        </is>
      </c>
      <c r="C426" s="0" t="n">
        <v>52</v>
      </c>
      <c r="D426" s="0">
        <f>IF(AND(UPPER(TRIM('7805'!A52))="CHOICE",LEN(TRIM('7805'!E52&amp;'7805'!F52))&gt;0),1,0)</f>
        <v/>
      </c>
      <c r="E426" s="0">
        <f>IF(D426=1,MAX(E$1:E425)+1,"")</f>
        <v/>
      </c>
      <c r="F426" s="0">
        <f>IF(D426=1,IFERROR(CHOOSE(MATCH("X",'7805'!G52:L52,0),"①","②","③","④","⑤","⑥"),""),"")</f>
        <v/>
      </c>
      <c r="G426" s="0">
        <f>IF(D426=1,IF('7805'!B52="","",'7805'!B52),"")</f>
        <v/>
      </c>
      <c r="H426" s="0">
        <f>IF(D426=1,'7805'!N52&amp;"","")</f>
        <v/>
      </c>
      <c r="I426" s="0">
        <f>IF(D426=1,'7805'!C52&amp;"","")</f>
        <v/>
      </c>
      <c r="J426" s="0">
        <f>IF(D426=1,'7805'!E52&amp;"","")</f>
        <v/>
      </c>
      <c r="K426" s="0">
        <f>IF(D426=1,'7805'!D52&amp;"","")</f>
        <v/>
      </c>
      <c r="L426" s="0">
        <f>IF(D426=1,IF('7805'!F52="","",'7805'!F52),"")</f>
        <v/>
      </c>
    </row>
    <row r="427">
      <c r="A427" s="0" t="inlineStr">
        <is>
          <t>7805 – Cultivating Professional Capacity</t>
        </is>
      </c>
      <c r="B427" s="0" t="inlineStr">
        <is>
          <t>7805</t>
        </is>
      </c>
      <c r="C427" s="0" t="n">
        <v>53</v>
      </c>
      <c r="D427" s="0">
        <f>IF(AND(UPPER(TRIM('7805'!A53))="CHOICE",LEN(TRIM('7805'!E53&amp;'7805'!F53))&gt;0),1,0)</f>
        <v/>
      </c>
      <c r="E427" s="0">
        <f>IF(D427=1,MAX(E$1:E426)+1,"")</f>
        <v/>
      </c>
      <c r="F427" s="0">
        <f>IF(D427=1,IFERROR(CHOOSE(MATCH("X",'7805'!G53:L53,0),"①","②","③","④","⑤","⑥"),""),"")</f>
        <v/>
      </c>
      <c r="G427" s="0">
        <f>IF(D427=1,IF('7805'!B53="","",'7805'!B53),"")</f>
        <v/>
      </c>
      <c r="H427" s="0">
        <f>IF(D427=1,'7805'!N53&amp;"","")</f>
        <v/>
      </c>
      <c r="I427" s="0">
        <f>IF(D427=1,'7805'!C53&amp;"","")</f>
        <v/>
      </c>
      <c r="J427" s="0">
        <f>IF(D427=1,'7805'!E53&amp;"","")</f>
        <v/>
      </c>
      <c r="K427" s="0">
        <f>IF(D427=1,'7805'!D53&amp;"","")</f>
        <v/>
      </c>
      <c r="L427" s="0">
        <f>IF(D427=1,IF('7805'!F53="","",'7805'!F53),"")</f>
        <v/>
      </c>
    </row>
    <row r="428">
      <c r="A428" s="0" t="inlineStr">
        <is>
          <t>7805 – Cultivating Professional Capacity</t>
        </is>
      </c>
      <c r="B428" s="0" t="inlineStr">
        <is>
          <t>7805</t>
        </is>
      </c>
      <c r="C428" s="0" t="n">
        <v>54</v>
      </c>
      <c r="D428" s="0">
        <f>IF(AND(UPPER(TRIM('7805'!A54))="CHOICE",LEN(TRIM('7805'!E54&amp;'7805'!F54))&gt;0),1,0)</f>
        <v/>
      </c>
      <c r="E428" s="0">
        <f>IF(D428=1,MAX(E$1:E427)+1,"")</f>
        <v/>
      </c>
      <c r="F428" s="0">
        <f>IF(D428=1,IFERROR(CHOOSE(MATCH("X",'7805'!G54:L54,0),"①","②","③","④","⑤","⑥"),""),"")</f>
        <v/>
      </c>
      <c r="G428" s="0">
        <f>IF(D428=1,IF('7805'!B54="","",'7805'!B54),"")</f>
        <v/>
      </c>
      <c r="H428" s="0">
        <f>IF(D428=1,'7805'!N54&amp;"","")</f>
        <v/>
      </c>
      <c r="I428" s="0">
        <f>IF(D428=1,'7805'!C54&amp;"","")</f>
        <v/>
      </c>
      <c r="J428" s="0">
        <f>IF(D428=1,'7805'!E54&amp;"","")</f>
        <v/>
      </c>
      <c r="K428" s="0">
        <f>IF(D428=1,'7805'!D54&amp;"","")</f>
        <v/>
      </c>
      <c r="L428" s="0">
        <f>IF(D428=1,IF('7805'!F54="","",'7805'!F54),"")</f>
        <v/>
      </c>
    </row>
    <row r="429">
      <c r="A429" s="0" t="inlineStr">
        <is>
          <t>7805 – Cultivating Professional Capacity</t>
        </is>
      </c>
      <c r="B429" s="0" t="inlineStr">
        <is>
          <t>7805</t>
        </is>
      </c>
      <c r="C429" s="0" t="n">
        <v>55</v>
      </c>
      <c r="D429" s="0">
        <f>IF(AND(UPPER(TRIM('7805'!A55))="CHOICE",LEN(TRIM('7805'!E55&amp;'7805'!F55))&gt;0),1,0)</f>
        <v/>
      </c>
      <c r="E429" s="0">
        <f>IF(D429=1,MAX(E$1:E428)+1,"")</f>
        <v/>
      </c>
      <c r="F429" s="0">
        <f>IF(D429=1,IFERROR(CHOOSE(MATCH("X",'7805'!G55:L55,0),"①","②","③","④","⑤","⑥"),""),"")</f>
        <v/>
      </c>
      <c r="G429" s="0">
        <f>IF(D429=1,IF('7805'!B55="","",'7805'!B55),"")</f>
        <v/>
      </c>
      <c r="H429" s="0">
        <f>IF(D429=1,'7805'!N55&amp;"","")</f>
        <v/>
      </c>
      <c r="I429" s="0">
        <f>IF(D429=1,'7805'!C55&amp;"","")</f>
        <v/>
      </c>
      <c r="J429" s="0">
        <f>IF(D429=1,'7805'!E55&amp;"","")</f>
        <v/>
      </c>
      <c r="K429" s="0">
        <f>IF(D429=1,'7805'!D55&amp;"","")</f>
        <v/>
      </c>
      <c r="L429" s="0">
        <f>IF(D429=1,IF('7805'!F55="","",'7805'!F55),"")</f>
        <v/>
      </c>
    </row>
    <row r="430">
      <c r="A430" s="0" t="inlineStr">
        <is>
          <t>7805 – Cultivating Professional Capacity</t>
        </is>
      </c>
      <c r="B430" s="0" t="inlineStr">
        <is>
          <t>7805</t>
        </is>
      </c>
      <c r="C430" s="0" t="n">
        <v>56</v>
      </c>
      <c r="D430" s="0">
        <f>IF(AND(UPPER(TRIM('7805'!A56))="CHOICE",LEN(TRIM('7805'!E56&amp;'7805'!F56))&gt;0),1,0)</f>
        <v/>
      </c>
      <c r="E430" s="0">
        <f>IF(D430=1,MAX(E$1:E429)+1,"")</f>
        <v/>
      </c>
      <c r="F430" s="0">
        <f>IF(D430=1,IFERROR(CHOOSE(MATCH("X",'7805'!G56:L56,0),"①","②","③","④","⑤","⑥"),""),"")</f>
        <v/>
      </c>
      <c r="G430" s="0">
        <f>IF(D430=1,IF('7805'!B56="","",'7805'!B56),"")</f>
        <v/>
      </c>
      <c r="H430" s="0">
        <f>IF(D430=1,'7805'!N56&amp;"","")</f>
        <v/>
      </c>
      <c r="I430" s="0">
        <f>IF(D430=1,'7805'!C56&amp;"","")</f>
        <v/>
      </c>
      <c r="J430" s="0">
        <f>IF(D430=1,'7805'!E56&amp;"","")</f>
        <v/>
      </c>
      <c r="K430" s="0">
        <f>IF(D430=1,'7805'!D56&amp;"","")</f>
        <v/>
      </c>
      <c r="L430" s="0">
        <f>IF(D430=1,IF('7805'!F56="","",'7805'!F56),"")</f>
        <v/>
      </c>
    </row>
    <row r="431">
      <c r="A431" s="0" t="inlineStr">
        <is>
          <t>7805 – Cultivating Professional Capacity</t>
        </is>
      </c>
      <c r="B431" s="0" t="inlineStr">
        <is>
          <t>7805</t>
        </is>
      </c>
      <c r="C431" s="0" t="n">
        <v>57</v>
      </c>
      <c r="D431" s="0">
        <f>IF(AND(UPPER(TRIM('7805'!A57))="CHOICE",LEN(TRIM('7805'!E57&amp;'7805'!F57))&gt;0),1,0)</f>
        <v/>
      </c>
      <c r="E431" s="0">
        <f>IF(D431=1,MAX(E$1:E430)+1,"")</f>
        <v/>
      </c>
      <c r="F431" s="0">
        <f>IF(D431=1,IFERROR(CHOOSE(MATCH("X",'7805'!G57:L57,0),"①","②","③","④","⑤","⑥"),""),"")</f>
        <v/>
      </c>
      <c r="G431" s="0">
        <f>IF(D431=1,IF('7805'!B57="","",'7805'!B57),"")</f>
        <v/>
      </c>
      <c r="H431" s="0">
        <f>IF(D431=1,'7805'!N57&amp;"","")</f>
        <v/>
      </c>
      <c r="I431" s="0">
        <f>IF(D431=1,'7805'!C57&amp;"","")</f>
        <v/>
      </c>
      <c r="J431" s="0">
        <f>IF(D431=1,'7805'!E57&amp;"","")</f>
        <v/>
      </c>
      <c r="K431" s="0">
        <f>IF(D431=1,'7805'!D57&amp;"","")</f>
        <v/>
      </c>
      <c r="L431" s="0">
        <f>IF(D431=1,IF('7805'!F57="","",'7805'!F57),"")</f>
        <v/>
      </c>
    </row>
    <row r="432">
      <c r="A432" s="0" t="inlineStr">
        <is>
          <t>7805 – Cultivating Professional Capacity</t>
        </is>
      </c>
      <c r="B432" s="0" t="inlineStr">
        <is>
          <t>7805</t>
        </is>
      </c>
      <c r="C432" s="0" t="n">
        <v>58</v>
      </c>
      <c r="D432" s="0">
        <f>IF(AND(UPPER(TRIM('7805'!A58))="CHOICE",LEN(TRIM('7805'!E58&amp;'7805'!F58))&gt;0),1,0)</f>
        <v/>
      </c>
      <c r="E432" s="0">
        <f>IF(D432=1,MAX(E$1:E431)+1,"")</f>
        <v/>
      </c>
      <c r="F432" s="0">
        <f>IF(D432=1,IFERROR(CHOOSE(MATCH("X",'7805'!G58:L58,0),"①","②","③","④","⑤","⑥"),""),"")</f>
        <v/>
      </c>
      <c r="G432" s="0">
        <f>IF(D432=1,IF('7805'!B58="","",'7805'!B58),"")</f>
        <v/>
      </c>
      <c r="H432" s="0">
        <f>IF(D432=1,'7805'!N58&amp;"","")</f>
        <v/>
      </c>
      <c r="I432" s="0">
        <f>IF(D432=1,'7805'!C58&amp;"","")</f>
        <v/>
      </c>
      <c r="J432" s="0">
        <f>IF(D432=1,'7805'!E58&amp;"","")</f>
        <v/>
      </c>
      <c r="K432" s="0">
        <f>IF(D432=1,'7805'!D58&amp;"","")</f>
        <v/>
      </c>
      <c r="L432" s="0">
        <f>IF(D432=1,IF('7805'!F58="","",'7805'!F58),"")</f>
        <v/>
      </c>
    </row>
    <row r="433">
      <c r="A433" s="0" t="inlineStr">
        <is>
          <t>7805 – Cultivating Professional Capacity</t>
        </is>
      </c>
      <c r="B433" s="0" t="inlineStr">
        <is>
          <t>7805</t>
        </is>
      </c>
      <c r="C433" s="0" t="n">
        <v>59</v>
      </c>
      <c r="D433" s="0">
        <f>IF(AND(UPPER(TRIM('7805'!A59))="CHOICE",LEN(TRIM('7805'!E59&amp;'7805'!F59))&gt;0),1,0)</f>
        <v/>
      </c>
      <c r="E433" s="0">
        <f>IF(D433=1,MAX(E$1:E432)+1,"")</f>
        <v/>
      </c>
      <c r="F433" s="0">
        <f>IF(D433=1,IFERROR(CHOOSE(MATCH("X",'7805'!G59:L59,0),"①","②","③","④","⑤","⑥"),""),"")</f>
        <v/>
      </c>
      <c r="G433" s="0">
        <f>IF(D433=1,IF('7805'!B59="","",'7805'!B59),"")</f>
        <v/>
      </c>
      <c r="H433" s="0">
        <f>IF(D433=1,'7805'!N59&amp;"","")</f>
        <v/>
      </c>
      <c r="I433" s="0">
        <f>IF(D433=1,'7805'!C59&amp;"","")</f>
        <v/>
      </c>
      <c r="J433" s="0">
        <f>IF(D433=1,'7805'!E59&amp;"","")</f>
        <v/>
      </c>
      <c r="K433" s="0">
        <f>IF(D433=1,'7805'!D59&amp;"","")</f>
        <v/>
      </c>
      <c r="L433" s="0">
        <f>IF(D433=1,IF('7805'!F59="","",'7805'!F59),"")</f>
        <v/>
      </c>
    </row>
    <row r="434">
      <c r="A434" s="0" t="inlineStr">
        <is>
          <t>7813 – Educational Technology</t>
        </is>
      </c>
      <c r="B434" s="0" t="inlineStr">
        <is>
          <t>7813</t>
        </is>
      </c>
      <c r="C434" s="0" t="n">
        <v>6</v>
      </c>
      <c r="D434" s="0">
        <f>IF(AND(UPPER(TRIM('7813'!A6))="CHOICE",LEN(TRIM('7813'!E6&amp;'7813'!F6))&gt;0),1,0)</f>
        <v/>
      </c>
      <c r="E434" s="0">
        <f>IF(D434=1,MAX(E$1:E433)+1,"")</f>
        <v/>
      </c>
      <c r="F434" s="0">
        <f>IF(D434=1,IFERROR(CHOOSE(MATCH("X",'7813'!G6:L6,0),"①","②","③","④","⑤","⑥"),""),"")</f>
        <v/>
      </c>
      <c r="G434" s="0">
        <f>IF(D434=1,IF('7813'!B6="","",'7813'!B6),"")</f>
        <v/>
      </c>
      <c r="H434" s="0">
        <f>IF(D434=1,'7813'!N6&amp;"","")</f>
        <v/>
      </c>
      <c r="I434" s="0">
        <f>IF(D434=1,'7813'!C6&amp;"","")</f>
        <v/>
      </c>
      <c r="J434" s="0">
        <f>IF(D434=1,'7813'!E6&amp;"","")</f>
        <v/>
      </c>
      <c r="K434" s="0">
        <f>IF(D434=1,'7813'!D6&amp;"","")</f>
        <v/>
      </c>
      <c r="L434" s="0">
        <f>IF(D434=1,IF('7813'!F6="","",'7813'!F6),"")</f>
        <v/>
      </c>
    </row>
    <row r="435">
      <c r="A435" s="0" t="inlineStr">
        <is>
          <t>7813 – Educational Technology</t>
        </is>
      </c>
      <c r="B435" s="0" t="inlineStr">
        <is>
          <t>7813</t>
        </is>
      </c>
      <c r="C435" s="0" t="n">
        <v>7</v>
      </c>
      <c r="D435" s="0">
        <f>IF(AND(UPPER(TRIM('7813'!A7))="CHOICE",LEN(TRIM('7813'!E7&amp;'7813'!F7))&gt;0),1,0)</f>
        <v/>
      </c>
      <c r="E435" s="0">
        <f>IF(D435=1,MAX(E$1:E434)+1,"")</f>
        <v/>
      </c>
      <c r="F435" s="0">
        <f>IF(D435=1,IFERROR(CHOOSE(MATCH("X",'7813'!G7:L7,0),"①","②","③","④","⑤","⑥"),""),"")</f>
        <v/>
      </c>
      <c r="G435" s="0">
        <f>IF(D435=1,IF('7813'!B7="","",'7813'!B7),"")</f>
        <v/>
      </c>
      <c r="H435" s="0">
        <f>IF(D435=1,'7813'!N7&amp;"","")</f>
        <v/>
      </c>
      <c r="I435" s="0">
        <f>IF(D435=1,'7813'!C7&amp;"","")</f>
        <v/>
      </c>
      <c r="J435" s="0">
        <f>IF(D435=1,'7813'!E7&amp;"","")</f>
        <v/>
      </c>
      <c r="K435" s="0">
        <f>IF(D435=1,'7813'!D7&amp;"","")</f>
        <v/>
      </c>
      <c r="L435" s="0">
        <f>IF(D435=1,IF('7813'!F7="","",'7813'!F7),"")</f>
        <v/>
      </c>
    </row>
    <row r="436">
      <c r="A436" s="0" t="inlineStr">
        <is>
          <t>7813 – Educational Technology</t>
        </is>
      </c>
      <c r="B436" s="0" t="inlineStr">
        <is>
          <t>7813</t>
        </is>
      </c>
      <c r="C436" s="0" t="n">
        <v>8</v>
      </c>
      <c r="D436" s="0">
        <f>IF(AND(UPPER(TRIM('7813'!A8))="CHOICE",LEN(TRIM('7813'!E8&amp;'7813'!F8))&gt;0),1,0)</f>
        <v/>
      </c>
      <c r="E436" s="0">
        <f>IF(D436=1,MAX(E$1:E435)+1,"")</f>
        <v/>
      </c>
      <c r="F436" s="0">
        <f>IF(D436=1,IFERROR(CHOOSE(MATCH("X",'7813'!G8:L8,0),"①","②","③","④","⑤","⑥"),""),"")</f>
        <v/>
      </c>
      <c r="G436" s="0">
        <f>IF(D436=1,IF('7813'!B8="","",'7813'!B8),"")</f>
        <v/>
      </c>
      <c r="H436" s="0">
        <f>IF(D436=1,'7813'!N8&amp;"","")</f>
        <v/>
      </c>
      <c r="I436" s="0">
        <f>IF(D436=1,'7813'!C8&amp;"","")</f>
        <v/>
      </c>
      <c r="J436" s="0">
        <f>IF(D436=1,'7813'!E8&amp;"","")</f>
        <v/>
      </c>
      <c r="K436" s="0">
        <f>IF(D436=1,'7813'!D8&amp;"","")</f>
        <v/>
      </c>
      <c r="L436" s="0">
        <f>IF(D436=1,IF('7813'!F8="","",'7813'!F8),"")</f>
        <v/>
      </c>
    </row>
    <row r="437">
      <c r="A437" s="0" t="inlineStr">
        <is>
          <t>7813 – Educational Technology</t>
        </is>
      </c>
      <c r="B437" s="0" t="inlineStr">
        <is>
          <t>7813</t>
        </is>
      </c>
      <c r="C437" s="0" t="n">
        <v>9</v>
      </c>
      <c r="D437" s="0">
        <f>IF(AND(UPPER(TRIM('7813'!A9))="CHOICE",LEN(TRIM('7813'!E9&amp;'7813'!F9))&gt;0),1,0)</f>
        <v/>
      </c>
      <c r="E437" s="0">
        <f>IF(D437=1,MAX(E$1:E436)+1,"")</f>
        <v/>
      </c>
      <c r="F437" s="0">
        <f>IF(D437=1,IFERROR(CHOOSE(MATCH("X",'7813'!G9:L9,0),"①","②","③","④","⑤","⑥"),""),"")</f>
        <v/>
      </c>
      <c r="G437" s="0">
        <f>IF(D437=1,IF('7813'!B9="","",'7813'!B9),"")</f>
        <v/>
      </c>
      <c r="H437" s="0">
        <f>IF(D437=1,'7813'!N9&amp;"","")</f>
        <v/>
      </c>
      <c r="I437" s="0">
        <f>IF(D437=1,'7813'!C9&amp;"","")</f>
        <v/>
      </c>
      <c r="J437" s="0">
        <f>IF(D437=1,'7813'!E9&amp;"","")</f>
        <v/>
      </c>
      <c r="K437" s="0">
        <f>IF(D437=1,'7813'!D9&amp;"","")</f>
        <v/>
      </c>
      <c r="L437" s="0">
        <f>IF(D437=1,IF('7813'!F9="","",'7813'!F9),"")</f>
        <v/>
      </c>
    </row>
    <row r="438">
      <c r="A438" s="0" t="inlineStr">
        <is>
          <t>7813 – Educational Technology</t>
        </is>
      </c>
      <c r="B438" s="0" t="inlineStr">
        <is>
          <t>7813</t>
        </is>
      </c>
      <c r="C438" s="0" t="n">
        <v>10</v>
      </c>
      <c r="D438" s="0">
        <f>IF(AND(UPPER(TRIM('7813'!A10))="CHOICE",LEN(TRIM('7813'!E10&amp;'7813'!F10))&gt;0),1,0)</f>
        <v/>
      </c>
      <c r="E438" s="0">
        <f>IF(D438=1,MAX(E$1:E437)+1,"")</f>
        <v/>
      </c>
      <c r="F438" s="0">
        <f>IF(D438=1,IFERROR(CHOOSE(MATCH("X",'7813'!G10:L10,0),"①","②","③","④","⑤","⑥"),""),"")</f>
        <v/>
      </c>
      <c r="G438" s="0">
        <f>IF(D438=1,IF('7813'!B10="","",'7813'!B10),"")</f>
        <v/>
      </c>
      <c r="H438" s="0">
        <f>IF(D438=1,'7813'!N10&amp;"","")</f>
        <v/>
      </c>
      <c r="I438" s="0">
        <f>IF(D438=1,'7813'!C10&amp;"","")</f>
        <v/>
      </c>
      <c r="J438" s="0">
        <f>IF(D438=1,'7813'!E10&amp;"","")</f>
        <v/>
      </c>
      <c r="K438" s="0">
        <f>IF(D438=1,'7813'!D10&amp;"","")</f>
        <v/>
      </c>
      <c r="L438" s="0">
        <f>IF(D438=1,IF('7813'!F10="","",'7813'!F10),"")</f>
        <v/>
      </c>
    </row>
    <row r="439">
      <c r="A439" s="0" t="inlineStr">
        <is>
          <t>7813 – Educational Technology</t>
        </is>
      </c>
      <c r="B439" s="0" t="inlineStr">
        <is>
          <t>7813</t>
        </is>
      </c>
      <c r="C439" s="0" t="n">
        <v>11</v>
      </c>
      <c r="D439" s="0">
        <f>IF(AND(UPPER(TRIM('7813'!A11))="CHOICE",LEN(TRIM('7813'!E11&amp;'7813'!F11))&gt;0),1,0)</f>
        <v/>
      </c>
      <c r="E439" s="0">
        <f>IF(D439=1,MAX(E$1:E438)+1,"")</f>
        <v/>
      </c>
      <c r="F439" s="0">
        <f>IF(D439=1,IFERROR(CHOOSE(MATCH("X",'7813'!G11:L11,0),"①","②","③","④","⑤","⑥"),""),"")</f>
        <v/>
      </c>
      <c r="G439" s="0">
        <f>IF(D439=1,IF('7813'!B11="","",'7813'!B11),"")</f>
        <v/>
      </c>
      <c r="H439" s="0">
        <f>IF(D439=1,'7813'!N11&amp;"","")</f>
        <v/>
      </c>
      <c r="I439" s="0">
        <f>IF(D439=1,'7813'!C11&amp;"","")</f>
        <v/>
      </c>
      <c r="J439" s="0">
        <f>IF(D439=1,'7813'!E11&amp;"","")</f>
        <v/>
      </c>
      <c r="K439" s="0">
        <f>IF(D439=1,'7813'!D11&amp;"","")</f>
        <v/>
      </c>
      <c r="L439" s="0">
        <f>IF(D439=1,IF('7813'!F11="","",'7813'!F11),"")</f>
        <v/>
      </c>
    </row>
    <row r="440">
      <c r="A440" s="0" t="inlineStr">
        <is>
          <t>7813 – Educational Technology</t>
        </is>
      </c>
      <c r="B440" s="0" t="inlineStr">
        <is>
          <t>7813</t>
        </is>
      </c>
      <c r="C440" s="0" t="n">
        <v>12</v>
      </c>
      <c r="D440" s="0">
        <f>IF(AND(UPPER(TRIM('7813'!A12))="CHOICE",LEN(TRIM('7813'!E12&amp;'7813'!F12))&gt;0),1,0)</f>
        <v/>
      </c>
      <c r="E440" s="0">
        <f>IF(D440=1,MAX(E$1:E439)+1,"")</f>
        <v/>
      </c>
      <c r="F440" s="0">
        <f>IF(D440=1,IFERROR(CHOOSE(MATCH("X",'7813'!G12:L12,0),"①","②","③","④","⑤","⑥"),""),"")</f>
        <v/>
      </c>
      <c r="G440" s="0">
        <f>IF(D440=1,IF('7813'!B12="","",'7813'!B12),"")</f>
        <v/>
      </c>
      <c r="H440" s="0">
        <f>IF(D440=1,'7813'!N12&amp;"","")</f>
        <v/>
      </c>
      <c r="I440" s="0">
        <f>IF(D440=1,'7813'!C12&amp;"","")</f>
        <v/>
      </c>
      <c r="J440" s="0">
        <f>IF(D440=1,'7813'!E12&amp;"","")</f>
        <v/>
      </c>
      <c r="K440" s="0">
        <f>IF(D440=1,'7813'!D12&amp;"","")</f>
        <v/>
      </c>
      <c r="L440" s="0">
        <f>IF(D440=1,IF('7813'!F12="","",'7813'!F12),"")</f>
        <v/>
      </c>
    </row>
    <row r="441">
      <c r="A441" s="0" t="inlineStr">
        <is>
          <t>7813 – Educational Technology</t>
        </is>
      </c>
      <c r="B441" s="0" t="inlineStr">
        <is>
          <t>7813</t>
        </is>
      </c>
      <c r="C441" s="0" t="n">
        <v>13</v>
      </c>
      <c r="D441" s="0">
        <f>IF(AND(UPPER(TRIM('7813'!A13))="CHOICE",LEN(TRIM('7813'!E13&amp;'7813'!F13))&gt;0),1,0)</f>
        <v/>
      </c>
      <c r="E441" s="0">
        <f>IF(D441=1,MAX(E$1:E440)+1,"")</f>
        <v/>
      </c>
      <c r="F441" s="0">
        <f>IF(D441=1,IFERROR(CHOOSE(MATCH("X",'7813'!G13:L13,0),"①","②","③","④","⑤","⑥"),""),"")</f>
        <v/>
      </c>
      <c r="G441" s="0">
        <f>IF(D441=1,IF('7813'!B13="","",'7813'!B13),"")</f>
        <v/>
      </c>
      <c r="H441" s="0">
        <f>IF(D441=1,'7813'!N13&amp;"","")</f>
        <v/>
      </c>
      <c r="I441" s="0">
        <f>IF(D441=1,'7813'!C13&amp;"","")</f>
        <v/>
      </c>
      <c r="J441" s="0">
        <f>IF(D441=1,'7813'!E13&amp;"","")</f>
        <v/>
      </c>
      <c r="K441" s="0">
        <f>IF(D441=1,'7813'!D13&amp;"","")</f>
        <v/>
      </c>
      <c r="L441" s="0">
        <f>IF(D441=1,IF('7813'!F13="","",'7813'!F13),"")</f>
        <v/>
      </c>
    </row>
    <row r="442">
      <c r="A442" s="0" t="inlineStr">
        <is>
          <t>7813 – Educational Technology</t>
        </is>
      </c>
      <c r="B442" s="0" t="inlineStr">
        <is>
          <t>7813</t>
        </is>
      </c>
      <c r="C442" s="0" t="n">
        <v>14</v>
      </c>
      <c r="D442" s="0">
        <f>IF(AND(UPPER(TRIM('7813'!A14))="CHOICE",LEN(TRIM('7813'!E14&amp;'7813'!F14))&gt;0),1,0)</f>
        <v/>
      </c>
      <c r="E442" s="0">
        <f>IF(D442=1,MAX(E$1:E441)+1,"")</f>
        <v/>
      </c>
      <c r="F442" s="0">
        <f>IF(D442=1,IFERROR(CHOOSE(MATCH("X",'7813'!G14:L14,0),"①","②","③","④","⑤","⑥"),""),"")</f>
        <v/>
      </c>
      <c r="G442" s="0">
        <f>IF(D442=1,IF('7813'!B14="","",'7813'!B14),"")</f>
        <v/>
      </c>
      <c r="H442" s="0">
        <f>IF(D442=1,'7813'!N14&amp;"","")</f>
        <v/>
      </c>
      <c r="I442" s="0">
        <f>IF(D442=1,'7813'!C14&amp;"","")</f>
        <v/>
      </c>
      <c r="J442" s="0">
        <f>IF(D442=1,'7813'!E14&amp;"","")</f>
        <v/>
      </c>
      <c r="K442" s="0">
        <f>IF(D442=1,'7813'!D14&amp;"","")</f>
        <v/>
      </c>
      <c r="L442" s="0">
        <f>IF(D442=1,IF('7813'!F14="","",'7813'!F14),"")</f>
        <v/>
      </c>
    </row>
    <row r="443">
      <c r="A443" s="0" t="inlineStr">
        <is>
          <t>7813 – Educational Technology</t>
        </is>
      </c>
      <c r="B443" s="0" t="inlineStr">
        <is>
          <t>7813</t>
        </is>
      </c>
      <c r="C443" s="0" t="n">
        <v>15</v>
      </c>
      <c r="D443" s="0">
        <f>IF(AND(UPPER(TRIM('7813'!A15))="CHOICE",LEN(TRIM('7813'!E15&amp;'7813'!F15))&gt;0),1,0)</f>
        <v/>
      </c>
      <c r="E443" s="0">
        <f>IF(D443=1,MAX(E$1:E442)+1,"")</f>
        <v/>
      </c>
      <c r="F443" s="0">
        <f>IF(D443=1,IFERROR(CHOOSE(MATCH("X",'7813'!G15:L15,0),"①","②","③","④","⑤","⑥"),""),"")</f>
        <v/>
      </c>
      <c r="G443" s="0">
        <f>IF(D443=1,IF('7813'!B15="","",'7813'!B15),"")</f>
        <v/>
      </c>
      <c r="H443" s="0">
        <f>IF(D443=1,'7813'!N15&amp;"","")</f>
        <v/>
      </c>
      <c r="I443" s="0">
        <f>IF(D443=1,'7813'!C15&amp;"","")</f>
        <v/>
      </c>
      <c r="J443" s="0">
        <f>IF(D443=1,'7813'!E15&amp;"","")</f>
        <v/>
      </c>
      <c r="K443" s="0">
        <f>IF(D443=1,'7813'!D15&amp;"","")</f>
        <v/>
      </c>
      <c r="L443" s="0">
        <f>IF(D443=1,IF('7813'!F15="","",'7813'!F15),"")</f>
        <v/>
      </c>
    </row>
    <row r="444">
      <c r="A444" s="0" t="inlineStr">
        <is>
          <t>7813 – Educational Technology</t>
        </is>
      </c>
      <c r="B444" s="0" t="inlineStr">
        <is>
          <t>7813</t>
        </is>
      </c>
      <c r="C444" s="0" t="n">
        <v>16</v>
      </c>
      <c r="D444" s="0">
        <f>IF(AND(UPPER(TRIM('7813'!A16))="CHOICE",LEN(TRIM('7813'!E16&amp;'7813'!F16))&gt;0),1,0)</f>
        <v/>
      </c>
      <c r="E444" s="0">
        <f>IF(D444=1,MAX(E$1:E443)+1,"")</f>
        <v/>
      </c>
      <c r="F444" s="0">
        <f>IF(D444=1,IFERROR(CHOOSE(MATCH("X",'7813'!G16:L16,0),"①","②","③","④","⑤","⑥"),""),"")</f>
        <v/>
      </c>
      <c r="G444" s="0">
        <f>IF(D444=1,IF('7813'!B16="","",'7813'!B16),"")</f>
        <v/>
      </c>
      <c r="H444" s="0">
        <f>IF(D444=1,'7813'!N16&amp;"","")</f>
        <v/>
      </c>
      <c r="I444" s="0">
        <f>IF(D444=1,'7813'!C16&amp;"","")</f>
        <v/>
      </c>
      <c r="J444" s="0">
        <f>IF(D444=1,'7813'!E16&amp;"","")</f>
        <v/>
      </c>
      <c r="K444" s="0">
        <f>IF(D444=1,'7813'!D16&amp;"","")</f>
        <v/>
      </c>
      <c r="L444" s="0">
        <f>IF(D444=1,IF('7813'!F16="","",'7813'!F16),"")</f>
        <v/>
      </c>
    </row>
    <row r="445">
      <c r="A445" s="0" t="inlineStr">
        <is>
          <t>7813 – Educational Technology</t>
        </is>
      </c>
      <c r="B445" s="0" t="inlineStr">
        <is>
          <t>7813</t>
        </is>
      </c>
      <c r="C445" s="0" t="n">
        <v>17</v>
      </c>
      <c r="D445" s="0">
        <f>IF(AND(UPPER(TRIM('7813'!A17))="CHOICE",LEN(TRIM('7813'!E17&amp;'7813'!F17))&gt;0),1,0)</f>
        <v/>
      </c>
      <c r="E445" s="0">
        <f>IF(D445=1,MAX(E$1:E444)+1,"")</f>
        <v/>
      </c>
      <c r="F445" s="0">
        <f>IF(D445=1,IFERROR(CHOOSE(MATCH("X",'7813'!G17:L17,0),"①","②","③","④","⑤","⑥"),""),"")</f>
        <v/>
      </c>
      <c r="G445" s="0">
        <f>IF(D445=1,IF('7813'!B17="","",'7813'!B17),"")</f>
        <v/>
      </c>
      <c r="H445" s="0">
        <f>IF(D445=1,'7813'!N17&amp;"","")</f>
        <v/>
      </c>
      <c r="I445" s="0">
        <f>IF(D445=1,'7813'!C17&amp;"","")</f>
        <v/>
      </c>
      <c r="J445" s="0">
        <f>IF(D445=1,'7813'!E17&amp;"","")</f>
        <v/>
      </c>
      <c r="K445" s="0">
        <f>IF(D445=1,'7813'!D17&amp;"","")</f>
        <v/>
      </c>
      <c r="L445" s="0">
        <f>IF(D445=1,IF('7813'!F17="","",'7813'!F17),"")</f>
        <v/>
      </c>
    </row>
    <row r="446">
      <c r="A446" s="0" t="inlineStr">
        <is>
          <t>7813 – Educational Technology</t>
        </is>
      </c>
      <c r="B446" s="0" t="inlineStr">
        <is>
          <t>7813</t>
        </is>
      </c>
      <c r="C446" s="0" t="n">
        <v>18</v>
      </c>
      <c r="D446" s="0">
        <f>IF(AND(UPPER(TRIM('7813'!A18))="CHOICE",LEN(TRIM('7813'!E18&amp;'7813'!F18))&gt;0),1,0)</f>
        <v/>
      </c>
      <c r="E446" s="0">
        <f>IF(D446=1,MAX(E$1:E445)+1,"")</f>
        <v/>
      </c>
      <c r="F446" s="0">
        <f>IF(D446=1,IFERROR(CHOOSE(MATCH("X",'7813'!G18:L18,0),"①","②","③","④","⑤","⑥"),""),"")</f>
        <v/>
      </c>
      <c r="G446" s="0">
        <f>IF(D446=1,IF('7813'!B18="","",'7813'!B18),"")</f>
        <v/>
      </c>
      <c r="H446" s="0">
        <f>IF(D446=1,'7813'!N18&amp;"","")</f>
        <v/>
      </c>
      <c r="I446" s="0">
        <f>IF(D446=1,'7813'!C18&amp;"","")</f>
        <v/>
      </c>
      <c r="J446" s="0">
        <f>IF(D446=1,'7813'!E18&amp;"","")</f>
        <v/>
      </c>
      <c r="K446" s="0">
        <f>IF(D446=1,'7813'!D18&amp;"","")</f>
        <v/>
      </c>
      <c r="L446" s="0">
        <f>IF(D446=1,IF('7813'!F18="","",'7813'!F18),"")</f>
        <v/>
      </c>
    </row>
    <row r="447">
      <c r="A447" s="0" t="inlineStr">
        <is>
          <t>7813 – Educational Technology</t>
        </is>
      </c>
      <c r="B447" s="0" t="inlineStr">
        <is>
          <t>7813</t>
        </is>
      </c>
      <c r="C447" s="0" t="n">
        <v>19</v>
      </c>
      <c r="D447" s="0">
        <f>IF(AND(UPPER(TRIM('7813'!A19))="CHOICE",LEN(TRIM('7813'!E19&amp;'7813'!F19))&gt;0),1,0)</f>
        <v/>
      </c>
      <c r="E447" s="0">
        <f>IF(D447=1,MAX(E$1:E446)+1,"")</f>
        <v/>
      </c>
      <c r="F447" s="0">
        <f>IF(D447=1,IFERROR(CHOOSE(MATCH("X",'7813'!G19:L19,0),"①","②","③","④","⑤","⑥"),""),"")</f>
        <v/>
      </c>
      <c r="G447" s="0">
        <f>IF(D447=1,IF('7813'!B19="","",'7813'!B19),"")</f>
        <v/>
      </c>
      <c r="H447" s="0">
        <f>IF(D447=1,'7813'!N19&amp;"","")</f>
        <v/>
      </c>
      <c r="I447" s="0">
        <f>IF(D447=1,'7813'!C19&amp;"","")</f>
        <v/>
      </c>
      <c r="J447" s="0">
        <f>IF(D447=1,'7813'!E19&amp;"","")</f>
        <v/>
      </c>
      <c r="K447" s="0">
        <f>IF(D447=1,'7813'!D19&amp;"","")</f>
        <v/>
      </c>
      <c r="L447" s="0">
        <f>IF(D447=1,IF('7813'!F19="","",'7813'!F19),"")</f>
        <v/>
      </c>
    </row>
    <row r="448">
      <c r="A448" s="0" t="inlineStr">
        <is>
          <t>7813 – Educational Technology</t>
        </is>
      </c>
      <c r="B448" s="0" t="inlineStr">
        <is>
          <t>7813</t>
        </is>
      </c>
      <c r="C448" s="0" t="n">
        <v>20</v>
      </c>
      <c r="D448" s="0">
        <f>IF(AND(UPPER(TRIM('7813'!A20))="CHOICE",LEN(TRIM('7813'!E20&amp;'7813'!F20))&gt;0),1,0)</f>
        <v/>
      </c>
      <c r="E448" s="0">
        <f>IF(D448=1,MAX(E$1:E447)+1,"")</f>
        <v/>
      </c>
      <c r="F448" s="0">
        <f>IF(D448=1,IFERROR(CHOOSE(MATCH("X",'7813'!G20:L20,0),"①","②","③","④","⑤","⑥"),""),"")</f>
        <v/>
      </c>
      <c r="G448" s="0">
        <f>IF(D448=1,IF('7813'!B20="","",'7813'!B20),"")</f>
        <v/>
      </c>
      <c r="H448" s="0">
        <f>IF(D448=1,'7813'!N20&amp;"","")</f>
        <v/>
      </c>
      <c r="I448" s="0">
        <f>IF(D448=1,'7813'!C20&amp;"","")</f>
        <v/>
      </c>
      <c r="J448" s="0">
        <f>IF(D448=1,'7813'!E20&amp;"","")</f>
        <v/>
      </c>
      <c r="K448" s="0">
        <f>IF(D448=1,'7813'!D20&amp;"","")</f>
        <v/>
      </c>
      <c r="L448" s="0">
        <f>IF(D448=1,IF('7813'!F20="","",'7813'!F20),"")</f>
        <v/>
      </c>
    </row>
    <row r="449">
      <c r="A449" s="0" t="inlineStr">
        <is>
          <t>7813 – Educational Technology</t>
        </is>
      </c>
      <c r="B449" s="0" t="inlineStr">
        <is>
          <t>7813</t>
        </is>
      </c>
      <c r="C449" s="0" t="n">
        <v>21</v>
      </c>
      <c r="D449" s="0">
        <f>IF(AND(UPPER(TRIM('7813'!A21))="CHOICE",LEN(TRIM('7813'!E21&amp;'7813'!F21))&gt;0),1,0)</f>
        <v/>
      </c>
      <c r="E449" s="0">
        <f>IF(D449=1,MAX(E$1:E448)+1,"")</f>
        <v/>
      </c>
      <c r="F449" s="0">
        <f>IF(D449=1,IFERROR(CHOOSE(MATCH("X",'7813'!G21:L21,0),"①","②","③","④","⑤","⑥"),""),"")</f>
        <v/>
      </c>
      <c r="G449" s="0">
        <f>IF(D449=1,IF('7813'!B21="","",'7813'!B21),"")</f>
        <v/>
      </c>
      <c r="H449" s="0">
        <f>IF(D449=1,'7813'!N21&amp;"","")</f>
        <v/>
      </c>
      <c r="I449" s="0">
        <f>IF(D449=1,'7813'!C21&amp;"","")</f>
        <v/>
      </c>
      <c r="J449" s="0">
        <f>IF(D449=1,'7813'!E21&amp;"","")</f>
        <v/>
      </c>
      <c r="K449" s="0">
        <f>IF(D449=1,'7813'!D21&amp;"","")</f>
        <v/>
      </c>
      <c r="L449" s="0">
        <f>IF(D449=1,IF('7813'!F21="","",'7813'!F21),"")</f>
        <v/>
      </c>
    </row>
    <row r="450">
      <c r="A450" s="0" t="inlineStr">
        <is>
          <t>7813 – Educational Technology</t>
        </is>
      </c>
      <c r="B450" s="0" t="inlineStr">
        <is>
          <t>7813</t>
        </is>
      </c>
      <c r="C450" s="0" t="n">
        <v>22</v>
      </c>
      <c r="D450" s="0">
        <f>IF(AND(UPPER(TRIM('7813'!A22))="CHOICE",LEN(TRIM('7813'!E22&amp;'7813'!F22))&gt;0),1,0)</f>
        <v/>
      </c>
      <c r="E450" s="0">
        <f>IF(D450=1,MAX(E$1:E449)+1,"")</f>
        <v/>
      </c>
      <c r="F450" s="0">
        <f>IF(D450=1,IFERROR(CHOOSE(MATCH("X",'7813'!G22:L22,0),"①","②","③","④","⑤","⑥"),""),"")</f>
        <v/>
      </c>
      <c r="G450" s="0">
        <f>IF(D450=1,IF('7813'!B22="","",'7813'!B22),"")</f>
        <v/>
      </c>
      <c r="H450" s="0">
        <f>IF(D450=1,'7813'!N22&amp;"","")</f>
        <v/>
      </c>
      <c r="I450" s="0">
        <f>IF(D450=1,'7813'!C22&amp;"","")</f>
        <v/>
      </c>
      <c r="J450" s="0">
        <f>IF(D450=1,'7813'!E22&amp;"","")</f>
        <v/>
      </c>
      <c r="K450" s="0">
        <f>IF(D450=1,'7813'!D22&amp;"","")</f>
        <v/>
      </c>
      <c r="L450" s="0">
        <f>IF(D450=1,IF('7813'!F22="","",'7813'!F22),"")</f>
        <v/>
      </c>
    </row>
    <row r="451">
      <c r="A451" s="0" t="inlineStr">
        <is>
          <t>7813 – Educational Technology</t>
        </is>
      </c>
      <c r="B451" s="0" t="inlineStr">
        <is>
          <t>7813</t>
        </is>
      </c>
      <c r="C451" s="0" t="n">
        <v>23</v>
      </c>
      <c r="D451" s="0">
        <f>IF(AND(UPPER(TRIM('7813'!A23))="CHOICE",LEN(TRIM('7813'!E23&amp;'7813'!F23))&gt;0),1,0)</f>
        <v/>
      </c>
      <c r="E451" s="0">
        <f>IF(D451=1,MAX(E$1:E450)+1,"")</f>
        <v/>
      </c>
      <c r="F451" s="0">
        <f>IF(D451=1,IFERROR(CHOOSE(MATCH("X",'7813'!G23:L23,0),"①","②","③","④","⑤","⑥"),""),"")</f>
        <v/>
      </c>
      <c r="G451" s="0">
        <f>IF(D451=1,IF('7813'!B23="","",'7813'!B23),"")</f>
        <v/>
      </c>
      <c r="H451" s="0">
        <f>IF(D451=1,'7813'!N23&amp;"","")</f>
        <v/>
      </c>
      <c r="I451" s="0">
        <f>IF(D451=1,'7813'!C23&amp;"","")</f>
        <v/>
      </c>
      <c r="J451" s="0">
        <f>IF(D451=1,'7813'!E23&amp;"","")</f>
        <v/>
      </c>
      <c r="K451" s="0">
        <f>IF(D451=1,'7813'!D23&amp;"","")</f>
        <v/>
      </c>
      <c r="L451" s="0">
        <f>IF(D451=1,IF('7813'!F23="","",'7813'!F23),"")</f>
        <v/>
      </c>
    </row>
    <row r="452">
      <c r="A452" s="0" t="inlineStr">
        <is>
          <t>7813 – Educational Technology</t>
        </is>
      </c>
      <c r="B452" s="0" t="inlineStr">
        <is>
          <t>7813</t>
        </is>
      </c>
      <c r="C452" s="0" t="n">
        <v>24</v>
      </c>
      <c r="D452" s="0">
        <f>IF(AND(UPPER(TRIM('7813'!A24))="CHOICE",LEN(TRIM('7813'!E24&amp;'7813'!F24))&gt;0),1,0)</f>
        <v/>
      </c>
      <c r="E452" s="0">
        <f>IF(D452=1,MAX(E$1:E451)+1,"")</f>
        <v/>
      </c>
      <c r="F452" s="0">
        <f>IF(D452=1,IFERROR(CHOOSE(MATCH("X",'7813'!G24:L24,0),"①","②","③","④","⑤","⑥"),""),"")</f>
        <v/>
      </c>
      <c r="G452" s="0">
        <f>IF(D452=1,IF('7813'!B24="","",'7813'!B24),"")</f>
        <v/>
      </c>
      <c r="H452" s="0">
        <f>IF(D452=1,'7813'!N24&amp;"","")</f>
        <v/>
      </c>
      <c r="I452" s="0">
        <f>IF(D452=1,'7813'!C24&amp;"","")</f>
        <v/>
      </c>
      <c r="J452" s="0">
        <f>IF(D452=1,'7813'!E24&amp;"","")</f>
        <v/>
      </c>
      <c r="K452" s="0">
        <f>IF(D452=1,'7813'!D24&amp;"","")</f>
        <v/>
      </c>
      <c r="L452" s="0">
        <f>IF(D452=1,IF('7813'!F24="","",'7813'!F24),"")</f>
        <v/>
      </c>
    </row>
    <row r="453">
      <c r="A453" s="0" t="inlineStr">
        <is>
          <t>7813 – Educational Technology</t>
        </is>
      </c>
      <c r="B453" s="0" t="inlineStr">
        <is>
          <t>7813</t>
        </is>
      </c>
      <c r="C453" s="0" t="n">
        <v>25</v>
      </c>
      <c r="D453" s="0">
        <f>IF(AND(UPPER(TRIM('7813'!A25))="CHOICE",LEN(TRIM('7813'!E25&amp;'7813'!F25))&gt;0),1,0)</f>
        <v/>
      </c>
      <c r="E453" s="0">
        <f>IF(D453=1,MAX(E$1:E452)+1,"")</f>
        <v/>
      </c>
      <c r="F453" s="0">
        <f>IF(D453=1,IFERROR(CHOOSE(MATCH("X",'7813'!G25:L25,0),"①","②","③","④","⑤","⑥"),""),"")</f>
        <v/>
      </c>
      <c r="G453" s="0">
        <f>IF(D453=1,IF('7813'!B25="","",'7813'!B25),"")</f>
        <v/>
      </c>
      <c r="H453" s="0">
        <f>IF(D453=1,'7813'!N25&amp;"","")</f>
        <v/>
      </c>
      <c r="I453" s="0">
        <f>IF(D453=1,'7813'!C25&amp;"","")</f>
        <v/>
      </c>
      <c r="J453" s="0">
        <f>IF(D453=1,'7813'!E25&amp;"","")</f>
        <v/>
      </c>
      <c r="K453" s="0">
        <f>IF(D453=1,'7813'!D25&amp;"","")</f>
        <v/>
      </c>
      <c r="L453" s="0">
        <f>IF(D453=1,IF('7813'!F25="","",'7813'!F25),"")</f>
        <v/>
      </c>
    </row>
    <row r="454">
      <c r="A454" s="0" t="inlineStr">
        <is>
          <t>7813 – Educational Technology</t>
        </is>
      </c>
      <c r="B454" s="0" t="inlineStr">
        <is>
          <t>7813</t>
        </is>
      </c>
      <c r="C454" s="0" t="n">
        <v>26</v>
      </c>
      <c r="D454" s="0">
        <f>IF(AND(UPPER(TRIM('7813'!A26))="CHOICE",LEN(TRIM('7813'!E26&amp;'7813'!F26))&gt;0),1,0)</f>
        <v/>
      </c>
      <c r="E454" s="0">
        <f>IF(D454=1,MAX(E$1:E453)+1,"")</f>
        <v/>
      </c>
      <c r="F454" s="0">
        <f>IF(D454=1,IFERROR(CHOOSE(MATCH("X",'7813'!G26:L26,0),"①","②","③","④","⑤","⑥"),""),"")</f>
        <v/>
      </c>
      <c r="G454" s="0">
        <f>IF(D454=1,IF('7813'!B26="","",'7813'!B26),"")</f>
        <v/>
      </c>
      <c r="H454" s="0">
        <f>IF(D454=1,'7813'!N26&amp;"","")</f>
        <v/>
      </c>
      <c r="I454" s="0">
        <f>IF(D454=1,'7813'!C26&amp;"","")</f>
        <v/>
      </c>
      <c r="J454" s="0">
        <f>IF(D454=1,'7813'!E26&amp;"","")</f>
        <v/>
      </c>
      <c r="K454" s="0">
        <f>IF(D454=1,'7813'!D26&amp;"","")</f>
        <v/>
      </c>
      <c r="L454" s="0">
        <f>IF(D454=1,IF('7813'!F26="","",'7813'!F26),"")</f>
        <v/>
      </c>
    </row>
    <row r="455">
      <c r="A455" s="0" t="inlineStr">
        <is>
          <t>7813 – Educational Technology</t>
        </is>
      </c>
      <c r="B455" s="0" t="inlineStr">
        <is>
          <t>7813</t>
        </is>
      </c>
      <c r="C455" s="0" t="n">
        <v>27</v>
      </c>
      <c r="D455" s="0">
        <f>IF(AND(UPPER(TRIM('7813'!A27))="CHOICE",LEN(TRIM('7813'!E27&amp;'7813'!F27))&gt;0),1,0)</f>
        <v/>
      </c>
      <c r="E455" s="0">
        <f>IF(D455=1,MAX(E$1:E454)+1,"")</f>
        <v/>
      </c>
      <c r="F455" s="0">
        <f>IF(D455=1,IFERROR(CHOOSE(MATCH("X",'7813'!G27:L27,0),"①","②","③","④","⑤","⑥"),""),"")</f>
        <v/>
      </c>
      <c r="G455" s="0">
        <f>IF(D455=1,IF('7813'!B27="","",'7813'!B27),"")</f>
        <v/>
      </c>
      <c r="H455" s="0">
        <f>IF(D455=1,'7813'!N27&amp;"","")</f>
        <v/>
      </c>
      <c r="I455" s="0">
        <f>IF(D455=1,'7813'!C27&amp;"","")</f>
        <v/>
      </c>
      <c r="J455" s="0">
        <f>IF(D455=1,'7813'!E27&amp;"","")</f>
        <v/>
      </c>
      <c r="K455" s="0">
        <f>IF(D455=1,'7813'!D27&amp;"","")</f>
        <v/>
      </c>
      <c r="L455" s="0">
        <f>IF(D455=1,IF('7813'!F27="","",'7813'!F27),"")</f>
        <v/>
      </c>
    </row>
    <row r="456">
      <c r="A456" s="0" t="inlineStr">
        <is>
          <t>7813 – Educational Technology</t>
        </is>
      </c>
      <c r="B456" s="0" t="inlineStr">
        <is>
          <t>7813</t>
        </is>
      </c>
      <c r="C456" s="0" t="n">
        <v>28</v>
      </c>
      <c r="D456" s="0">
        <f>IF(AND(UPPER(TRIM('7813'!A28))="CHOICE",LEN(TRIM('7813'!E28&amp;'7813'!F28))&gt;0),1,0)</f>
        <v/>
      </c>
      <c r="E456" s="0">
        <f>IF(D456=1,MAX(E$1:E455)+1,"")</f>
        <v/>
      </c>
      <c r="F456" s="0">
        <f>IF(D456=1,IFERROR(CHOOSE(MATCH("X",'7813'!G28:L28,0),"①","②","③","④","⑤","⑥"),""),"")</f>
        <v/>
      </c>
      <c r="G456" s="0">
        <f>IF(D456=1,IF('7813'!B28="","",'7813'!B28),"")</f>
        <v/>
      </c>
      <c r="H456" s="0">
        <f>IF(D456=1,'7813'!N28&amp;"","")</f>
        <v/>
      </c>
      <c r="I456" s="0">
        <f>IF(D456=1,'7813'!C28&amp;"","")</f>
        <v/>
      </c>
      <c r="J456" s="0">
        <f>IF(D456=1,'7813'!E28&amp;"","")</f>
        <v/>
      </c>
      <c r="K456" s="0">
        <f>IF(D456=1,'7813'!D28&amp;"","")</f>
        <v/>
      </c>
      <c r="L456" s="0">
        <f>IF(D456=1,IF('7813'!F28="","",'7813'!F28),"")</f>
        <v/>
      </c>
    </row>
    <row r="457">
      <c r="A457" s="0" t="inlineStr">
        <is>
          <t>7813 – Educational Technology</t>
        </is>
      </c>
      <c r="B457" s="0" t="inlineStr">
        <is>
          <t>7813</t>
        </is>
      </c>
      <c r="C457" s="0" t="n">
        <v>29</v>
      </c>
      <c r="D457" s="0">
        <f>IF(AND(UPPER(TRIM('7813'!A29))="CHOICE",LEN(TRIM('7813'!E29&amp;'7813'!F29))&gt;0),1,0)</f>
        <v/>
      </c>
      <c r="E457" s="0">
        <f>IF(D457=1,MAX(E$1:E456)+1,"")</f>
        <v/>
      </c>
      <c r="F457" s="0">
        <f>IF(D457=1,IFERROR(CHOOSE(MATCH("X",'7813'!G29:L29,0),"①","②","③","④","⑤","⑥"),""),"")</f>
        <v/>
      </c>
      <c r="G457" s="0">
        <f>IF(D457=1,IF('7813'!B29="","",'7813'!B29),"")</f>
        <v/>
      </c>
      <c r="H457" s="0">
        <f>IF(D457=1,'7813'!N29&amp;"","")</f>
        <v/>
      </c>
      <c r="I457" s="0">
        <f>IF(D457=1,'7813'!C29&amp;"","")</f>
        <v/>
      </c>
      <c r="J457" s="0">
        <f>IF(D457=1,'7813'!E29&amp;"","")</f>
        <v/>
      </c>
      <c r="K457" s="0">
        <f>IF(D457=1,'7813'!D29&amp;"","")</f>
        <v/>
      </c>
      <c r="L457" s="0">
        <f>IF(D457=1,IF('7813'!F29="","",'7813'!F29),"")</f>
        <v/>
      </c>
    </row>
    <row r="458">
      <c r="A458" s="0" t="inlineStr">
        <is>
          <t>7813 – Educational Technology</t>
        </is>
      </c>
      <c r="B458" s="0" t="inlineStr">
        <is>
          <t>7813</t>
        </is>
      </c>
      <c r="C458" s="0" t="n">
        <v>30</v>
      </c>
      <c r="D458" s="0">
        <f>IF(AND(UPPER(TRIM('7813'!A30))="CHOICE",LEN(TRIM('7813'!E30&amp;'7813'!F30))&gt;0),1,0)</f>
        <v/>
      </c>
      <c r="E458" s="0">
        <f>IF(D458=1,MAX(E$1:E457)+1,"")</f>
        <v/>
      </c>
      <c r="F458" s="0">
        <f>IF(D458=1,IFERROR(CHOOSE(MATCH("X",'7813'!G30:L30,0),"①","②","③","④","⑤","⑥"),""),"")</f>
        <v/>
      </c>
      <c r="G458" s="0">
        <f>IF(D458=1,IF('7813'!B30="","",'7813'!B30),"")</f>
        <v/>
      </c>
      <c r="H458" s="0">
        <f>IF(D458=1,'7813'!N30&amp;"","")</f>
        <v/>
      </c>
      <c r="I458" s="0">
        <f>IF(D458=1,'7813'!C30&amp;"","")</f>
        <v/>
      </c>
      <c r="J458" s="0">
        <f>IF(D458=1,'7813'!E30&amp;"","")</f>
        <v/>
      </c>
      <c r="K458" s="0">
        <f>IF(D458=1,'7813'!D30&amp;"","")</f>
        <v/>
      </c>
      <c r="L458" s="0">
        <f>IF(D458=1,IF('7813'!F30="","",'7813'!F30),"")</f>
        <v/>
      </c>
    </row>
    <row r="459">
      <c r="A459" s="0" t="inlineStr">
        <is>
          <t>7813 – Educational Technology</t>
        </is>
      </c>
      <c r="B459" s="0" t="inlineStr">
        <is>
          <t>7813</t>
        </is>
      </c>
      <c r="C459" s="0" t="n">
        <v>31</v>
      </c>
      <c r="D459" s="0">
        <f>IF(AND(UPPER(TRIM('7813'!A31))="CHOICE",LEN(TRIM('7813'!E31&amp;'7813'!F31))&gt;0),1,0)</f>
        <v/>
      </c>
      <c r="E459" s="0">
        <f>IF(D459=1,MAX(E$1:E458)+1,"")</f>
        <v/>
      </c>
      <c r="F459" s="0">
        <f>IF(D459=1,IFERROR(CHOOSE(MATCH("X",'7813'!G31:L31,0),"①","②","③","④","⑤","⑥"),""),"")</f>
        <v/>
      </c>
      <c r="G459" s="0">
        <f>IF(D459=1,IF('7813'!B31="","",'7813'!B31),"")</f>
        <v/>
      </c>
      <c r="H459" s="0">
        <f>IF(D459=1,'7813'!N31&amp;"","")</f>
        <v/>
      </c>
      <c r="I459" s="0">
        <f>IF(D459=1,'7813'!C31&amp;"","")</f>
        <v/>
      </c>
      <c r="J459" s="0">
        <f>IF(D459=1,'7813'!E31&amp;"","")</f>
        <v/>
      </c>
      <c r="K459" s="0">
        <f>IF(D459=1,'7813'!D31&amp;"","")</f>
        <v/>
      </c>
      <c r="L459" s="0">
        <f>IF(D459=1,IF('7813'!F31="","",'7813'!F31),"")</f>
        <v/>
      </c>
    </row>
    <row r="460">
      <c r="A460" s="0" t="inlineStr">
        <is>
          <t>7813 – Educational Technology</t>
        </is>
      </c>
      <c r="B460" s="0" t="inlineStr">
        <is>
          <t>7813</t>
        </is>
      </c>
      <c r="C460" s="0" t="n">
        <v>32</v>
      </c>
      <c r="D460" s="0">
        <f>IF(AND(UPPER(TRIM('7813'!A32))="CHOICE",LEN(TRIM('7813'!E32&amp;'7813'!F32))&gt;0),1,0)</f>
        <v/>
      </c>
      <c r="E460" s="0">
        <f>IF(D460=1,MAX(E$1:E459)+1,"")</f>
        <v/>
      </c>
      <c r="F460" s="0">
        <f>IF(D460=1,IFERROR(CHOOSE(MATCH("X",'7813'!G32:L32,0),"①","②","③","④","⑤","⑥"),""),"")</f>
        <v/>
      </c>
      <c r="G460" s="0">
        <f>IF(D460=1,IF('7813'!B32="","",'7813'!B32),"")</f>
        <v/>
      </c>
      <c r="H460" s="0">
        <f>IF(D460=1,'7813'!N32&amp;"","")</f>
        <v/>
      </c>
      <c r="I460" s="0">
        <f>IF(D460=1,'7813'!C32&amp;"","")</f>
        <v/>
      </c>
      <c r="J460" s="0">
        <f>IF(D460=1,'7813'!E32&amp;"","")</f>
        <v/>
      </c>
      <c r="K460" s="0">
        <f>IF(D460=1,'7813'!D32&amp;"","")</f>
        <v/>
      </c>
      <c r="L460" s="0">
        <f>IF(D460=1,IF('7813'!F32="","",'7813'!F32),"")</f>
        <v/>
      </c>
    </row>
    <row r="461">
      <c r="A461" s="0" t="inlineStr">
        <is>
          <t>7813 – Educational Technology</t>
        </is>
      </c>
      <c r="B461" s="0" t="inlineStr">
        <is>
          <t>7813</t>
        </is>
      </c>
      <c r="C461" s="0" t="n">
        <v>33</v>
      </c>
      <c r="D461" s="0">
        <f>IF(AND(UPPER(TRIM('7813'!A33))="CHOICE",LEN(TRIM('7813'!E33&amp;'7813'!F33))&gt;0),1,0)</f>
        <v/>
      </c>
      <c r="E461" s="0">
        <f>IF(D461=1,MAX(E$1:E460)+1,"")</f>
        <v/>
      </c>
      <c r="F461" s="0">
        <f>IF(D461=1,IFERROR(CHOOSE(MATCH("X",'7813'!G33:L33,0),"①","②","③","④","⑤","⑥"),""),"")</f>
        <v/>
      </c>
      <c r="G461" s="0">
        <f>IF(D461=1,IF('7813'!B33="","",'7813'!B33),"")</f>
        <v/>
      </c>
      <c r="H461" s="0">
        <f>IF(D461=1,'7813'!N33&amp;"","")</f>
        <v/>
      </c>
      <c r="I461" s="0">
        <f>IF(D461=1,'7813'!C33&amp;"","")</f>
        <v/>
      </c>
      <c r="J461" s="0">
        <f>IF(D461=1,'7813'!E33&amp;"","")</f>
        <v/>
      </c>
      <c r="K461" s="0">
        <f>IF(D461=1,'7813'!D33&amp;"","")</f>
        <v/>
      </c>
      <c r="L461" s="0">
        <f>IF(D461=1,IF('7813'!F33="","",'7813'!F33),"")</f>
        <v/>
      </c>
    </row>
    <row r="462">
      <c r="A462" s="0" t="inlineStr">
        <is>
          <t>7813 – Educational Technology</t>
        </is>
      </c>
      <c r="B462" s="0" t="inlineStr">
        <is>
          <t>7813</t>
        </is>
      </c>
      <c r="C462" s="0" t="n">
        <v>34</v>
      </c>
      <c r="D462" s="0">
        <f>IF(AND(UPPER(TRIM('7813'!A34))="CHOICE",LEN(TRIM('7813'!E34&amp;'7813'!F34))&gt;0),1,0)</f>
        <v/>
      </c>
      <c r="E462" s="0">
        <f>IF(D462=1,MAX(E$1:E461)+1,"")</f>
        <v/>
      </c>
      <c r="F462" s="0">
        <f>IF(D462=1,IFERROR(CHOOSE(MATCH("X",'7813'!G34:L34,0),"①","②","③","④","⑤","⑥"),""),"")</f>
        <v/>
      </c>
      <c r="G462" s="0">
        <f>IF(D462=1,IF('7813'!B34="","",'7813'!B34),"")</f>
        <v/>
      </c>
      <c r="H462" s="0">
        <f>IF(D462=1,'7813'!N34&amp;"","")</f>
        <v/>
      </c>
      <c r="I462" s="0">
        <f>IF(D462=1,'7813'!C34&amp;"","")</f>
        <v/>
      </c>
      <c r="J462" s="0">
        <f>IF(D462=1,'7813'!E34&amp;"","")</f>
        <v/>
      </c>
      <c r="K462" s="0">
        <f>IF(D462=1,'7813'!D34&amp;"","")</f>
        <v/>
      </c>
      <c r="L462" s="0">
        <f>IF(D462=1,IF('7813'!F34="","",'7813'!F34),"")</f>
        <v/>
      </c>
    </row>
    <row r="463">
      <c r="A463" s="0" t="inlineStr">
        <is>
          <t>7813 – Educational Technology</t>
        </is>
      </c>
      <c r="B463" s="0" t="inlineStr">
        <is>
          <t>7813</t>
        </is>
      </c>
      <c r="C463" s="0" t="n">
        <v>35</v>
      </c>
      <c r="D463" s="0">
        <f>IF(AND(UPPER(TRIM('7813'!A35))="CHOICE",LEN(TRIM('7813'!E35&amp;'7813'!F35))&gt;0),1,0)</f>
        <v/>
      </c>
      <c r="E463" s="0">
        <f>IF(D463=1,MAX(E$1:E462)+1,"")</f>
        <v/>
      </c>
      <c r="F463" s="0">
        <f>IF(D463=1,IFERROR(CHOOSE(MATCH("X",'7813'!G35:L35,0),"①","②","③","④","⑤","⑥"),""),"")</f>
        <v/>
      </c>
      <c r="G463" s="0">
        <f>IF(D463=1,IF('7813'!B35="","",'7813'!B35),"")</f>
        <v/>
      </c>
      <c r="H463" s="0">
        <f>IF(D463=1,'7813'!N35&amp;"","")</f>
        <v/>
      </c>
      <c r="I463" s="0">
        <f>IF(D463=1,'7813'!C35&amp;"","")</f>
        <v/>
      </c>
      <c r="J463" s="0">
        <f>IF(D463=1,'7813'!E35&amp;"","")</f>
        <v/>
      </c>
      <c r="K463" s="0">
        <f>IF(D463=1,'7813'!D35&amp;"","")</f>
        <v/>
      </c>
      <c r="L463" s="0">
        <f>IF(D463=1,IF('7813'!F35="","",'7813'!F35),"")</f>
        <v/>
      </c>
    </row>
    <row r="464">
      <c r="A464" s="0" t="inlineStr">
        <is>
          <t>7813 – Educational Technology</t>
        </is>
      </c>
      <c r="B464" s="0" t="inlineStr">
        <is>
          <t>7813</t>
        </is>
      </c>
      <c r="C464" s="0" t="n">
        <v>36</v>
      </c>
      <c r="D464" s="0">
        <f>IF(AND(UPPER(TRIM('7813'!A36))="CHOICE",LEN(TRIM('7813'!E36&amp;'7813'!F36))&gt;0),1,0)</f>
        <v/>
      </c>
      <c r="E464" s="0">
        <f>IF(D464=1,MAX(E$1:E463)+1,"")</f>
        <v/>
      </c>
      <c r="F464" s="0">
        <f>IF(D464=1,IFERROR(CHOOSE(MATCH("X",'7813'!G36:L36,0),"①","②","③","④","⑤","⑥"),""),"")</f>
        <v/>
      </c>
      <c r="G464" s="0">
        <f>IF(D464=1,IF('7813'!B36="","",'7813'!B36),"")</f>
        <v/>
      </c>
      <c r="H464" s="0">
        <f>IF(D464=1,'7813'!N36&amp;"","")</f>
        <v/>
      </c>
      <c r="I464" s="0">
        <f>IF(D464=1,'7813'!C36&amp;"","")</f>
        <v/>
      </c>
      <c r="J464" s="0">
        <f>IF(D464=1,'7813'!E36&amp;"","")</f>
        <v/>
      </c>
      <c r="K464" s="0">
        <f>IF(D464=1,'7813'!D36&amp;"","")</f>
        <v/>
      </c>
      <c r="L464" s="0">
        <f>IF(D464=1,IF('7813'!F36="","",'7813'!F36),"")</f>
        <v/>
      </c>
    </row>
    <row r="465">
      <c r="A465" s="0" t="inlineStr">
        <is>
          <t>7813 – Educational Technology</t>
        </is>
      </c>
      <c r="B465" s="0" t="inlineStr">
        <is>
          <t>7813</t>
        </is>
      </c>
      <c r="C465" s="0" t="n">
        <v>37</v>
      </c>
      <c r="D465" s="0">
        <f>IF(AND(UPPER(TRIM('7813'!A37))="CHOICE",LEN(TRIM('7813'!E37&amp;'7813'!F37))&gt;0),1,0)</f>
        <v/>
      </c>
      <c r="E465" s="0">
        <f>IF(D465=1,MAX(E$1:E464)+1,"")</f>
        <v/>
      </c>
      <c r="F465" s="0">
        <f>IF(D465=1,IFERROR(CHOOSE(MATCH("X",'7813'!G37:L37,0),"①","②","③","④","⑤","⑥"),""),"")</f>
        <v/>
      </c>
      <c r="G465" s="0">
        <f>IF(D465=1,IF('7813'!B37="","",'7813'!B37),"")</f>
        <v/>
      </c>
      <c r="H465" s="0">
        <f>IF(D465=1,'7813'!N37&amp;"","")</f>
        <v/>
      </c>
      <c r="I465" s="0">
        <f>IF(D465=1,'7813'!C37&amp;"","")</f>
        <v/>
      </c>
      <c r="J465" s="0">
        <f>IF(D465=1,'7813'!E37&amp;"","")</f>
        <v/>
      </c>
      <c r="K465" s="0">
        <f>IF(D465=1,'7813'!D37&amp;"","")</f>
        <v/>
      </c>
      <c r="L465" s="0">
        <f>IF(D465=1,IF('7813'!F37="","",'7813'!F37),"")</f>
        <v/>
      </c>
    </row>
    <row r="466">
      <c r="A466" s="0" t="inlineStr">
        <is>
          <t>7813 – Educational Technology</t>
        </is>
      </c>
      <c r="B466" s="0" t="inlineStr">
        <is>
          <t>7813</t>
        </is>
      </c>
      <c r="C466" s="0" t="n">
        <v>38</v>
      </c>
      <c r="D466" s="0">
        <f>IF(AND(UPPER(TRIM('7813'!A38))="CHOICE",LEN(TRIM('7813'!E38&amp;'7813'!F38))&gt;0),1,0)</f>
        <v/>
      </c>
      <c r="E466" s="0">
        <f>IF(D466=1,MAX(E$1:E465)+1,"")</f>
        <v/>
      </c>
      <c r="F466" s="0">
        <f>IF(D466=1,IFERROR(CHOOSE(MATCH("X",'7813'!G38:L38,0),"①","②","③","④","⑤","⑥"),""),"")</f>
        <v/>
      </c>
      <c r="G466" s="0">
        <f>IF(D466=1,IF('7813'!B38="","",'7813'!B38),"")</f>
        <v/>
      </c>
      <c r="H466" s="0">
        <f>IF(D466=1,'7813'!N38&amp;"","")</f>
        <v/>
      </c>
      <c r="I466" s="0">
        <f>IF(D466=1,'7813'!C38&amp;"","")</f>
        <v/>
      </c>
      <c r="J466" s="0">
        <f>IF(D466=1,'7813'!E38&amp;"","")</f>
        <v/>
      </c>
      <c r="K466" s="0">
        <f>IF(D466=1,'7813'!D38&amp;"","")</f>
        <v/>
      </c>
      <c r="L466" s="0">
        <f>IF(D466=1,IF('7813'!F38="","",'7813'!F38),"")</f>
        <v/>
      </c>
    </row>
    <row r="467">
      <c r="A467" s="0" t="inlineStr">
        <is>
          <t>7813 – Educational Technology</t>
        </is>
      </c>
      <c r="B467" s="0" t="inlineStr">
        <is>
          <t>7813</t>
        </is>
      </c>
      <c r="C467" s="0" t="n">
        <v>39</v>
      </c>
      <c r="D467" s="0">
        <f>IF(AND(UPPER(TRIM('7813'!A39))="CHOICE",LEN(TRIM('7813'!E39&amp;'7813'!F39))&gt;0),1,0)</f>
        <v/>
      </c>
      <c r="E467" s="0">
        <f>IF(D467=1,MAX(E$1:E466)+1,"")</f>
        <v/>
      </c>
      <c r="F467" s="0">
        <f>IF(D467=1,IFERROR(CHOOSE(MATCH("X",'7813'!G39:L39,0),"①","②","③","④","⑤","⑥"),""),"")</f>
        <v/>
      </c>
      <c r="G467" s="0">
        <f>IF(D467=1,IF('7813'!B39="","",'7813'!B39),"")</f>
        <v/>
      </c>
      <c r="H467" s="0">
        <f>IF(D467=1,'7813'!N39&amp;"","")</f>
        <v/>
      </c>
      <c r="I467" s="0">
        <f>IF(D467=1,'7813'!C39&amp;"","")</f>
        <v/>
      </c>
      <c r="J467" s="0">
        <f>IF(D467=1,'7813'!E39&amp;"","")</f>
        <v/>
      </c>
      <c r="K467" s="0">
        <f>IF(D467=1,'7813'!D39&amp;"","")</f>
        <v/>
      </c>
      <c r="L467" s="0">
        <f>IF(D467=1,IF('7813'!F39="","",'7813'!F39),"")</f>
        <v/>
      </c>
    </row>
    <row r="468">
      <c r="A468" s="0" t="inlineStr">
        <is>
          <t>7813 – Educational Technology</t>
        </is>
      </c>
      <c r="B468" s="0" t="inlineStr">
        <is>
          <t>7813</t>
        </is>
      </c>
      <c r="C468" s="0" t="n">
        <v>40</v>
      </c>
      <c r="D468" s="0">
        <f>IF(AND(UPPER(TRIM('7813'!A40))="CHOICE",LEN(TRIM('7813'!E40&amp;'7813'!F40))&gt;0),1,0)</f>
        <v/>
      </c>
      <c r="E468" s="0">
        <f>IF(D468=1,MAX(E$1:E467)+1,"")</f>
        <v/>
      </c>
      <c r="F468" s="0">
        <f>IF(D468=1,IFERROR(CHOOSE(MATCH("X",'7813'!G40:L40,0),"①","②","③","④","⑤","⑥"),""),"")</f>
        <v/>
      </c>
      <c r="G468" s="0">
        <f>IF(D468=1,IF('7813'!B40="","",'7813'!B40),"")</f>
        <v/>
      </c>
      <c r="H468" s="0">
        <f>IF(D468=1,'7813'!N40&amp;"","")</f>
        <v/>
      </c>
      <c r="I468" s="0">
        <f>IF(D468=1,'7813'!C40&amp;"","")</f>
        <v/>
      </c>
      <c r="J468" s="0">
        <f>IF(D468=1,'7813'!E40&amp;"","")</f>
        <v/>
      </c>
      <c r="K468" s="0">
        <f>IF(D468=1,'7813'!D40&amp;"","")</f>
        <v/>
      </c>
      <c r="L468" s="0">
        <f>IF(D468=1,IF('7813'!F40="","",'7813'!F40),"")</f>
        <v/>
      </c>
    </row>
    <row r="469">
      <c r="A469" s="0" t="inlineStr">
        <is>
          <t>7813 – Educational Technology</t>
        </is>
      </c>
      <c r="B469" s="0" t="inlineStr">
        <is>
          <t>7813</t>
        </is>
      </c>
      <c r="C469" s="0" t="n">
        <v>41</v>
      </c>
      <c r="D469" s="0">
        <f>IF(AND(UPPER(TRIM('7813'!A41))="CHOICE",LEN(TRIM('7813'!E41&amp;'7813'!F41))&gt;0),1,0)</f>
        <v/>
      </c>
      <c r="E469" s="0">
        <f>IF(D469=1,MAX(E$1:E468)+1,"")</f>
        <v/>
      </c>
      <c r="F469" s="0">
        <f>IF(D469=1,IFERROR(CHOOSE(MATCH("X",'7813'!G41:L41,0),"①","②","③","④","⑤","⑥"),""),"")</f>
        <v/>
      </c>
      <c r="G469" s="0">
        <f>IF(D469=1,IF('7813'!B41="","",'7813'!B41),"")</f>
        <v/>
      </c>
      <c r="H469" s="0">
        <f>IF(D469=1,'7813'!N41&amp;"","")</f>
        <v/>
      </c>
      <c r="I469" s="0">
        <f>IF(D469=1,'7813'!C41&amp;"","")</f>
        <v/>
      </c>
      <c r="J469" s="0">
        <f>IF(D469=1,'7813'!E41&amp;"","")</f>
        <v/>
      </c>
      <c r="K469" s="0">
        <f>IF(D469=1,'7813'!D41&amp;"","")</f>
        <v/>
      </c>
      <c r="L469" s="0">
        <f>IF(D469=1,IF('7813'!F41="","",'7813'!F41),"")</f>
        <v/>
      </c>
    </row>
    <row r="470">
      <c r="A470" s="0" t="inlineStr">
        <is>
          <t>7813 – Educational Technology</t>
        </is>
      </c>
      <c r="B470" s="0" t="inlineStr">
        <is>
          <t>7813</t>
        </is>
      </c>
      <c r="C470" s="0" t="n">
        <v>42</v>
      </c>
      <c r="D470" s="0">
        <f>IF(AND(UPPER(TRIM('7813'!A42))="CHOICE",LEN(TRIM('7813'!E42&amp;'7813'!F42))&gt;0),1,0)</f>
        <v/>
      </c>
      <c r="E470" s="0">
        <f>IF(D470=1,MAX(E$1:E469)+1,"")</f>
        <v/>
      </c>
      <c r="F470" s="0">
        <f>IF(D470=1,IFERROR(CHOOSE(MATCH("X",'7813'!G42:L42,0),"①","②","③","④","⑤","⑥"),""),"")</f>
        <v/>
      </c>
      <c r="G470" s="0">
        <f>IF(D470=1,IF('7813'!B42="","",'7813'!B42),"")</f>
        <v/>
      </c>
      <c r="H470" s="0">
        <f>IF(D470=1,'7813'!N42&amp;"","")</f>
        <v/>
      </c>
      <c r="I470" s="0">
        <f>IF(D470=1,'7813'!C42&amp;"","")</f>
        <v/>
      </c>
      <c r="J470" s="0">
        <f>IF(D470=1,'7813'!E42&amp;"","")</f>
        <v/>
      </c>
      <c r="K470" s="0">
        <f>IF(D470=1,'7813'!D42&amp;"","")</f>
        <v/>
      </c>
      <c r="L470" s="0">
        <f>IF(D470=1,IF('7813'!F42="","",'7813'!F42),"")</f>
        <v/>
      </c>
    </row>
    <row r="471">
      <c r="A471" s="0" t="inlineStr">
        <is>
          <t>7813 – Educational Technology</t>
        </is>
      </c>
      <c r="B471" s="0" t="inlineStr">
        <is>
          <t>7813</t>
        </is>
      </c>
      <c r="C471" s="0" t="n">
        <v>43</v>
      </c>
      <c r="D471" s="0">
        <f>IF(AND(UPPER(TRIM('7813'!A43))="CHOICE",LEN(TRIM('7813'!E43&amp;'7813'!F43))&gt;0),1,0)</f>
        <v/>
      </c>
      <c r="E471" s="0">
        <f>IF(D471=1,MAX(E$1:E470)+1,"")</f>
        <v/>
      </c>
      <c r="F471" s="0">
        <f>IF(D471=1,IFERROR(CHOOSE(MATCH("X",'7813'!G43:L43,0),"①","②","③","④","⑤","⑥"),""),"")</f>
        <v/>
      </c>
      <c r="G471" s="0">
        <f>IF(D471=1,IF('7813'!B43="","",'7813'!B43),"")</f>
        <v/>
      </c>
      <c r="H471" s="0">
        <f>IF(D471=1,'7813'!N43&amp;"","")</f>
        <v/>
      </c>
      <c r="I471" s="0">
        <f>IF(D471=1,'7813'!C43&amp;"","")</f>
        <v/>
      </c>
      <c r="J471" s="0">
        <f>IF(D471=1,'7813'!E43&amp;"","")</f>
        <v/>
      </c>
      <c r="K471" s="0">
        <f>IF(D471=1,'7813'!D43&amp;"","")</f>
        <v/>
      </c>
      <c r="L471" s="0">
        <f>IF(D471=1,IF('7813'!F43="","",'7813'!F43),"")</f>
        <v/>
      </c>
    </row>
    <row r="472">
      <c r="A472" s="0" t="inlineStr">
        <is>
          <t>7813 – Educational Technology</t>
        </is>
      </c>
      <c r="B472" s="0" t="inlineStr">
        <is>
          <t>7813</t>
        </is>
      </c>
      <c r="C472" s="0" t="n">
        <v>44</v>
      </c>
      <c r="D472" s="0">
        <f>IF(AND(UPPER(TRIM('7813'!A44))="CHOICE",LEN(TRIM('7813'!E44&amp;'7813'!F44))&gt;0),1,0)</f>
        <v/>
      </c>
      <c r="E472" s="0">
        <f>IF(D472=1,MAX(E$1:E471)+1,"")</f>
        <v/>
      </c>
      <c r="F472" s="0">
        <f>IF(D472=1,IFERROR(CHOOSE(MATCH("X",'7813'!G44:L44,0),"①","②","③","④","⑤","⑥"),""),"")</f>
        <v/>
      </c>
      <c r="G472" s="0">
        <f>IF(D472=1,IF('7813'!B44="","",'7813'!B44),"")</f>
        <v/>
      </c>
      <c r="H472" s="0">
        <f>IF(D472=1,'7813'!N44&amp;"","")</f>
        <v/>
      </c>
      <c r="I472" s="0">
        <f>IF(D472=1,'7813'!C44&amp;"","")</f>
        <v/>
      </c>
      <c r="J472" s="0">
        <f>IF(D472=1,'7813'!E44&amp;"","")</f>
        <v/>
      </c>
      <c r="K472" s="0">
        <f>IF(D472=1,'7813'!D44&amp;"","")</f>
        <v/>
      </c>
      <c r="L472" s="0">
        <f>IF(D472=1,IF('7813'!F44="","",'7813'!F44),"")</f>
        <v/>
      </c>
    </row>
    <row r="473">
      <c r="A473" s="0" t="inlineStr">
        <is>
          <t>7813 – Educational Technology</t>
        </is>
      </c>
      <c r="B473" s="0" t="inlineStr">
        <is>
          <t>7813</t>
        </is>
      </c>
      <c r="C473" s="0" t="n">
        <v>45</v>
      </c>
      <c r="D473" s="0">
        <f>IF(AND(UPPER(TRIM('7813'!A45))="CHOICE",LEN(TRIM('7813'!E45&amp;'7813'!F45))&gt;0),1,0)</f>
        <v/>
      </c>
      <c r="E473" s="0">
        <f>IF(D473=1,MAX(E$1:E472)+1,"")</f>
        <v/>
      </c>
      <c r="F473" s="0">
        <f>IF(D473=1,IFERROR(CHOOSE(MATCH("X",'7813'!G45:L45,0),"①","②","③","④","⑤","⑥"),""),"")</f>
        <v/>
      </c>
      <c r="G473" s="0">
        <f>IF(D473=1,IF('7813'!B45="","",'7813'!B45),"")</f>
        <v/>
      </c>
      <c r="H473" s="0">
        <f>IF(D473=1,'7813'!N45&amp;"","")</f>
        <v/>
      </c>
      <c r="I473" s="0">
        <f>IF(D473=1,'7813'!C45&amp;"","")</f>
        <v/>
      </c>
      <c r="J473" s="0">
        <f>IF(D473=1,'7813'!E45&amp;"","")</f>
        <v/>
      </c>
      <c r="K473" s="0">
        <f>IF(D473=1,'7813'!D45&amp;"","")</f>
        <v/>
      </c>
      <c r="L473" s="0">
        <f>IF(D473=1,IF('7813'!F45="","",'7813'!F45),"")</f>
        <v/>
      </c>
    </row>
    <row r="474">
      <c r="A474" s="0" t="inlineStr">
        <is>
          <t>7813 – Educational Technology</t>
        </is>
      </c>
      <c r="B474" s="0" t="inlineStr">
        <is>
          <t>7813</t>
        </is>
      </c>
      <c r="C474" s="0" t="n">
        <v>46</v>
      </c>
      <c r="D474" s="0">
        <f>IF(AND(UPPER(TRIM('7813'!A46))="CHOICE",LEN(TRIM('7813'!E46&amp;'7813'!F46))&gt;0),1,0)</f>
        <v/>
      </c>
      <c r="E474" s="0">
        <f>IF(D474=1,MAX(E$1:E473)+1,"")</f>
        <v/>
      </c>
      <c r="F474" s="0">
        <f>IF(D474=1,IFERROR(CHOOSE(MATCH("X",'7813'!G46:L46,0),"①","②","③","④","⑤","⑥"),""),"")</f>
        <v/>
      </c>
      <c r="G474" s="0">
        <f>IF(D474=1,IF('7813'!B46="","",'7813'!B46),"")</f>
        <v/>
      </c>
      <c r="H474" s="0">
        <f>IF(D474=1,'7813'!N46&amp;"","")</f>
        <v/>
      </c>
      <c r="I474" s="0">
        <f>IF(D474=1,'7813'!C46&amp;"","")</f>
        <v/>
      </c>
      <c r="J474" s="0">
        <f>IF(D474=1,'7813'!E46&amp;"","")</f>
        <v/>
      </c>
      <c r="K474" s="0">
        <f>IF(D474=1,'7813'!D46&amp;"","")</f>
        <v/>
      </c>
      <c r="L474" s="0">
        <f>IF(D474=1,IF('7813'!F46="","",'7813'!F46),"")</f>
        <v/>
      </c>
    </row>
    <row r="475">
      <c r="A475" s="0" t="inlineStr">
        <is>
          <t>7813 – Educational Technology</t>
        </is>
      </c>
      <c r="B475" s="0" t="inlineStr">
        <is>
          <t>7813</t>
        </is>
      </c>
      <c r="C475" s="0" t="n">
        <v>47</v>
      </c>
      <c r="D475" s="0">
        <f>IF(AND(UPPER(TRIM('7813'!A47))="CHOICE",LEN(TRIM('7813'!E47&amp;'7813'!F47))&gt;0),1,0)</f>
        <v/>
      </c>
      <c r="E475" s="0">
        <f>IF(D475=1,MAX(E$1:E474)+1,"")</f>
        <v/>
      </c>
      <c r="F475" s="0">
        <f>IF(D475=1,IFERROR(CHOOSE(MATCH("X",'7813'!G47:L47,0),"①","②","③","④","⑤","⑥"),""),"")</f>
        <v/>
      </c>
      <c r="G475" s="0">
        <f>IF(D475=1,IF('7813'!B47="","",'7813'!B47),"")</f>
        <v/>
      </c>
      <c r="H475" s="0">
        <f>IF(D475=1,'7813'!N47&amp;"","")</f>
        <v/>
      </c>
      <c r="I475" s="0">
        <f>IF(D475=1,'7813'!C47&amp;"","")</f>
        <v/>
      </c>
      <c r="J475" s="0">
        <f>IF(D475=1,'7813'!E47&amp;"","")</f>
        <v/>
      </c>
      <c r="K475" s="0">
        <f>IF(D475=1,'7813'!D47&amp;"","")</f>
        <v/>
      </c>
      <c r="L475" s="0">
        <f>IF(D475=1,IF('7813'!F47="","",'7813'!F47),"")</f>
        <v/>
      </c>
    </row>
    <row r="476">
      <c r="A476" s="0" t="inlineStr">
        <is>
          <t>7813 – Educational Technology</t>
        </is>
      </c>
      <c r="B476" s="0" t="inlineStr">
        <is>
          <t>7813</t>
        </is>
      </c>
      <c r="C476" s="0" t="n">
        <v>48</v>
      </c>
      <c r="D476" s="0">
        <f>IF(AND(UPPER(TRIM('7813'!A48))="CHOICE",LEN(TRIM('7813'!E48&amp;'7813'!F48))&gt;0),1,0)</f>
        <v/>
      </c>
      <c r="E476" s="0">
        <f>IF(D476=1,MAX(E$1:E475)+1,"")</f>
        <v/>
      </c>
      <c r="F476" s="0">
        <f>IF(D476=1,IFERROR(CHOOSE(MATCH("X",'7813'!G48:L48,0),"①","②","③","④","⑤","⑥"),""),"")</f>
        <v/>
      </c>
      <c r="G476" s="0">
        <f>IF(D476=1,IF('7813'!B48="","",'7813'!B48),"")</f>
        <v/>
      </c>
      <c r="H476" s="0">
        <f>IF(D476=1,'7813'!N48&amp;"","")</f>
        <v/>
      </c>
      <c r="I476" s="0">
        <f>IF(D476=1,'7813'!C48&amp;"","")</f>
        <v/>
      </c>
      <c r="J476" s="0">
        <f>IF(D476=1,'7813'!E48&amp;"","")</f>
        <v/>
      </c>
      <c r="K476" s="0">
        <f>IF(D476=1,'7813'!D48&amp;"","")</f>
        <v/>
      </c>
      <c r="L476" s="0">
        <f>IF(D476=1,IF('7813'!F48="","",'7813'!F48),"")</f>
        <v/>
      </c>
    </row>
    <row r="477">
      <c r="A477" s="0" t="inlineStr">
        <is>
          <t>7813 – Educational Technology</t>
        </is>
      </c>
      <c r="B477" s="0" t="inlineStr">
        <is>
          <t>7813</t>
        </is>
      </c>
      <c r="C477" s="0" t="n">
        <v>49</v>
      </c>
      <c r="D477" s="0">
        <f>IF(AND(UPPER(TRIM('7813'!A49))="CHOICE",LEN(TRIM('7813'!E49&amp;'7813'!F49))&gt;0),1,0)</f>
        <v/>
      </c>
      <c r="E477" s="0">
        <f>IF(D477=1,MAX(E$1:E476)+1,"")</f>
        <v/>
      </c>
      <c r="F477" s="0">
        <f>IF(D477=1,IFERROR(CHOOSE(MATCH("X",'7813'!G49:L49,0),"①","②","③","④","⑤","⑥"),""),"")</f>
        <v/>
      </c>
      <c r="G477" s="0">
        <f>IF(D477=1,IF('7813'!B49="","",'7813'!B49),"")</f>
        <v/>
      </c>
      <c r="H477" s="0">
        <f>IF(D477=1,'7813'!N49&amp;"","")</f>
        <v/>
      </c>
      <c r="I477" s="0">
        <f>IF(D477=1,'7813'!C49&amp;"","")</f>
        <v/>
      </c>
      <c r="J477" s="0">
        <f>IF(D477=1,'7813'!E49&amp;"","")</f>
        <v/>
      </c>
      <c r="K477" s="0">
        <f>IF(D477=1,'7813'!D49&amp;"","")</f>
        <v/>
      </c>
      <c r="L477" s="0">
        <f>IF(D477=1,IF('7813'!F49="","",'7813'!F49),"")</f>
        <v/>
      </c>
    </row>
    <row r="478">
      <c r="A478" s="0" t="inlineStr">
        <is>
          <t>7813 – Educational Technology</t>
        </is>
      </c>
      <c r="B478" s="0" t="inlineStr">
        <is>
          <t>7813</t>
        </is>
      </c>
      <c r="C478" s="0" t="n">
        <v>50</v>
      </c>
      <c r="D478" s="0">
        <f>IF(AND(UPPER(TRIM('7813'!A50))="CHOICE",LEN(TRIM('7813'!E50&amp;'7813'!F50))&gt;0),1,0)</f>
        <v/>
      </c>
      <c r="E478" s="0">
        <f>IF(D478=1,MAX(E$1:E477)+1,"")</f>
        <v/>
      </c>
      <c r="F478" s="0">
        <f>IF(D478=1,IFERROR(CHOOSE(MATCH("X",'7813'!G50:L50,0),"①","②","③","④","⑤","⑥"),""),"")</f>
        <v/>
      </c>
      <c r="G478" s="0">
        <f>IF(D478=1,IF('7813'!B50="","",'7813'!B50),"")</f>
        <v/>
      </c>
      <c r="H478" s="0">
        <f>IF(D478=1,'7813'!N50&amp;"","")</f>
        <v/>
      </c>
      <c r="I478" s="0">
        <f>IF(D478=1,'7813'!C50&amp;"","")</f>
        <v/>
      </c>
      <c r="J478" s="0">
        <f>IF(D478=1,'7813'!E50&amp;"","")</f>
        <v/>
      </c>
      <c r="K478" s="0">
        <f>IF(D478=1,'7813'!D50&amp;"","")</f>
        <v/>
      </c>
      <c r="L478" s="0">
        <f>IF(D478=1,IF('7813'!F50="","",'7813'!F50),"")</f>
        <v/>
      </c>
    </row>
    <row r="479">
      <c r="A479" s="0" t="inlineStr">
        <is>
          <t>7813 – Educational Technology</t>
        </is>
      </c>
      <c r="B479" s="0" t="inlineStr">
        <is>
          <t>7813</t>
        </is>
      </c>
      <c r="C479" s="0" t="n">
        <v>51</v>
      </c>
      <c r="D479" s="0">
        <f>IF(AND(UPPER(TRIM('7813'!A51))="CHOICE",LEN(TRIM('7813'!E51&amp;'7813'!F51))&gt;0),1,0)</f>
        <v/>
      </c>
      <c r="E479" s="0">
        <f>IF(D479=1,MAX(E$1:E478)+1,"")</f>
        <v/>
      </c>
      <c r="F479" s="0">
        <f>IF(D479=1,IFERROR(CHOOSE(MATCH("X",'7813'!G51:L51,0),"①","②","③","④","⑤","⑥"),""),"")</f>
        <v/>
      </c>
      <c r="G479" s="0">
        <f>IF(D479=1,IF('7813'!B51="","",'7813'!B51),"")</f>
        <v/>
      </c>
      <c r="H479" s="0">
        <f>IF(D479=1,'7813'!N51&amp;"","")</f>
        <v/>
      </c>
      <c r="I479" s="0">
        <f>IF(D479=1,'7813'!C51&amp;"","")</f>
        <v/>
      </c>
      <c r="J479" s="0">
        <f>IF(D479=1,'7813'!E51&amp;"","")</f>
        <v/>
      </c>
      <c r="K479" s="0">
        <f>IF(D479=1,'7813'!D51&amp;"","")</f>
        <v/>
      </c>
      <c r="L479" s="0">
        <f>IF(D479=1,IF('7813'!F51="","",'7813'!F51),"")</f>
        <v/>
      </c>
    </row>
    <row r="480">
      <c r="A480" s="0" t="inlineStr">
        <is>
          <t>7813 – Educational Technology</t>
        </is>
      </c>
      <c r="B480" s="0" t="inlineStr">
        <is>
          <t>7813</t>
        </is>
      </c>
      <c r="C480" s="0" t="n">
        <v>52</v>
      </c>
      <c r="D480" s="0">
        <f>IF(AND(UPPER(TRIM('7813'!A52))="CHOICE",LEN(TRIM('7813'!E52&amp;'7813'!F52))&gt;0),1,0)</f>
        <v/>
      </c>
      <c r="E480" s="0">
        <f>IF(D480=1,MAX(E$1:E479)+1,"")</f>
        <v/>
      </c>
      <c r="F480" s="0">
        <f>IF(D480=1,IFERROR(CHOOSE(MATCH("X",'7813'!G52:L52,0),"①","②","③","④","⑤","⑥"),""),"")</f>
        <v/>
      </c>
      <c r="G480" s="0">
        <f>IF(D480=1,IF('7813'!B52="","",'7813'!B52),"")</f>
        <v/>
      </c>
      <c r="H480" s="0">
        <f>IF(D480=1,'7813'!N52&amp;"","")</f>
        <v/>
      </c>
      <c r="I480" s="0">
        <f>IF(D480=1,'7813'!C52&amp;"","")</f>
        <v/>
      </c>
      <c r="J480" s="0">
        <f>IF(D480=1,'7813'!E52&amp;"","")</f>
        <v/>
      </c>
      <c r="K480" s="0">
        <f>IF(D480=1,'7813'!D52&amp;"","")</f>
        <v/>
      </c>
      <c r="L480" s="0">
        <f>IF(D480=1,IF('7813'!F52="","",'7813'!F52),"")</f>
        <v/>
      </c>
    </row>
    <row r="481">
      <c r="A481" s="0" t="inlineStr">
        <is>
          <t>7813 – Educational Technology</t>
        </is>
      </c>
      <c r="B481" s="0" t="inlineStr">
        <is>
          <t>7813</t>
        </is>
      </c>
      <c r="C481" s="0" t="n">
        <v>53</v>
      </c>
      <c r="D481" s="0">
        <f>IF(AND(UPPER(TRIM('7813'!A53))="CHOICE",LEN(TRIM('7813'!E53&amp;'7813'!F53))&gt;0),1,0)</f>
        <v/>
      </c>
      <c r="E481" s="0">
        <f>IF(D481=1,MAX(E$1:E480)+1,"")</f>
        <v/>
      </c>
      <c r="F481" s="0">
        <f>IF(D481=1,IFERROR(CHOOSE(MATCH("X",'7813'!G53:L53,0),"①","②","③","④","⑤","⑥"),""),"")</f>
        <v/>
      </c>
      <c r="G481" s="0">
        <f>IF(D481=1,IF('7813'!B53="","",'7813'!B53),"")</f>
        <v/>
      </c>
      <c r="H481" s="0">
        <f>IF(D481=1,'7813'!N53&amp;"","")</f>
        <v/>
      </c>
      <c r="I481" s="0">
        <f>IF(D481=1,'7813'!C53&amp;"","")</f>
        <v/>
      </c>
      <c r="J481" s="0">
        <f>IF(D481=1,'7813'!E53&amp;"","")</f>
        <v/>
      </c>
      <c r="K481" s="0">
        <f>IF(D481=1,'7813'!D53&amp;"","")</f>
        <v/>
      </c>
      <c r="L481" s="0">
        <f>IF(D481=1,IF('7813'!F53="","",'7813'!F53),"")</f>
        <v/>
      </c>
    </row>
    <row r="482">
      <c r="A482" s="0" t="inlineStr">
        <is>
          <t>7813 – Educational Technology</t>
        </is>
      </c>
      <c r="B482" s="0" t="inlineStr">
        <is>
          <t>7813</t>
        </is>
      </c>
      <c r="C482" s="0" t="n">
        <v>54</v>
      </c>
      <c r="D482" s="0">
        <f>IF(AND(UPPER(TRIM('7813'!A54))="CHOICE",LEN(TRIM('7813'!E54&amp;'7813'!F54))&gt;0),1,0)</f>
        <v/>
      </c>
      <c r="E482" s="0">
        <f>IF(D482=1,MAX(E$1:E481)+1,"")</f>
        <v/>
      </c>
      <c r="F482" s="0">
        <f>IF(D482=1,IFERROR(CHOOSE(MATCH("X",'7813'!G54:L54,0),"①","②","③","④","⑤","⑥"),""),"")</f>
        <v/>
      </c>
      <c r="G482" s="0">
        <f>IF(D482=1,IF('7813'!B54="","",'7813'!B54),"")</f>
        <v/>
      </c>
      <c r="H482" s="0">
        <f>IF(D482=1,'7813'!N54&amp;"","")</f>
        <v/>
      </c>
      <c r="I482" s="0">
        <f>IF(D482=1,'7813'!C54&amp;"","")</f>
        <v/>
      </c>
      <c r="J482" s="0">
        <f>IF(D482=1,'7813'!E54&amp;"","")</f>
        <v/>
      </c>
      <c r="K482" s="0">
        <f>IF(D482=1,'7813'!D54&amp;"","")</f>
        <v/>
      </c>
      <c r="L482" s="0">
        <f>IF(D482=1,IF('7813'!F54="","",'7813'!F54),"")</f>
        <v/>
      </c>
    </row>
    <row r="483">
      <c r="A483" s="0" t="inlineStr">
        <is>
          <t>7813 – Educational Technology</t>
        </is>
      </c>
      <c r="B483" s="0" t="inlineStr">
        <is>
          <t>7813</t>
        </is>
      </c>
      <c r="C483" s="0" t="n">
        <v>55</v>
      </c>
      <c r="D483" s="0">
        <f>IF(AND(UPPER(TRIM('7813'!A55))="CHOICE",LEN(TRIM('7813'!E55&amp;'7813'!F55))&gt;0),1,0)</f>
        <v/>
      </c>
      <c r="E483" s="0">
        <f>IF(D483=1,MAX(E$1:E482)+1,"")</f>
        <v/>
      </c>
      <c r="F483" s="0">
        <f>IF(D483=1,IFERROR(CHOOSE(MATCH("X",'7813'!G55:L55,0),"①","②","③","④","⑤","⑥"),""),"")</f>
        <v/>
      </c>
      <c r="G483" s="0">
        <f>IF(D483=1,IF('7813'!B55="","",'7813'!B55),"")</f>
        <v/>
      </c>
      <c r="H483" s="0">
        <f>IF(D483=1,'7813'!N55&amp;"","")</f>
        <v/>
      </c>
      <c r="I483" s="0">
        <f>IF(D483=1,'7813'!C55&amp;"","")</f>
        <v/>
      </c>
      <c r="J483" s="0">
        <f>IF(D483=1,'7813'!E55&amp;"","")</f>
        <v/>
      </c>
      <c r="K483" s="0">
        <f>IF(D483=1,'7813'!D55&amp;"","")</f>
        <v/>
      </c>
      <c r="L483" s="0">
        <f>IF(D483=1,IF('7813'!F55="","",'7813'!F55),"")</f>
        <v/>
      </c>
    </row>
    <row r="484">
      <c r="A484" s="0" t="inlineStr">
        <is>
          <t>7813 – Educational Technology</t>
        </is>
      </c>
      <c r="B484" s="0" t="inlineStr">
        <is>
          <t>7813</t>
        </is>
      </c>
      <c r="C484" s="0" t="n">
        <v>56</v>
      </c>
      <c r="D484" s="0">
        <f>IF(AND(UPPER(TRIM('7813'!A56))="CHOICE",LEN(TRIM('7813'!E56&amp;'7813'!F56))&gt;0),1,0)</f>
        <v/>
      </c>
      <c r="E484" s="0">
        <f>IF(D484=1,MAX(E$1:E483)+1,"")</f>
        <v/>
      </c>
      <c r="F484" s="0">
        <f>IF(D484=1,IFERROR(CHOOSE(MATCH("X",'7813'!G56:L56,0),"①","②","③","④","⑤","⑥"),""),"")</f>
        <v/>
      </c>
      <c r="G484" s="0">
        <f>IF(D484=1,IF('7813'!B56="","",'7813'!B56),"")</f>
        <v/>
      </c>
      <c r="H484" s="0">
        <f>IF(D484=1,'7813'!N56&amp;"","")</f>
        <v/>
      </c>
      <c r="I484" s="0">
        <f>IF(D484=1,'7813'!C56&amp;"","")</f>
        <v/>
      </c>
      <c r="J484" s="0">
        <f>IF(D484=1,'7813'!E56&amp;"","")</f>
        <v/>
      </c>
      <c r="K484" s="0">
        <f>IF(D484=1,'7813'!D56&amp;"","")</f>
        <v/>
      </c>
      <c r="L484" s="0">
        <f>IF(D484=1,IF('7813'!F56="","",'7813'!F56),"")</f>
        <v/>
      </c>
    </row>
    <row r="485">
      <c r="A485" s="0" t="inlineStr">
        <is>
          <t>7813 – Educational Technology</t>
        </is>
      </c>
      <c r="B485" s="0" t="inlineStr">
        <is>
          <t>7813</t>
        </is>
      </c>
      <c r="C485" s="0" t="n">
        <v>57</v>
      </c>
      <c r="D485" s="0">
        <f>IF(AND(UPPER(TRIM('7813'!A57))="CHOICE",LEN(TRIM('7813'!E57&amp;'7813'!F57))&gt;0),1,0)</f>
        <v/>
      </c>
      <c r="E485" s="0">
        <f>IF(D485=1,MAX(E$1:E484)+1,"")</f>
        <v/>
      </c>
      <c r="F485" s="0">
        <f>IF(D485=1,IFERROR(CHOOSE(MATCH("X",'7813'!G57:L57,0),"①","②","③","④","⑤","⑥"),""),"")</f>
        <v/>
      </c>
      <c r="G485" s="0">
        <f>IF(D485=1,IF('7813'!B57="","",'7813'!B57),"")</f>
        <v/>
      </c>
      <c r="H485" s="0">
        <f>IF(D485=1,'7813'!N57&amp;"","")</f>
        <v/>
      </c>
      <c r="I485" s="0">
        <f>IF(D485=1,'7813'!C57&amp;"","")</f>
        <v/>
      </c>
      <c r="J485" s="0">
        <f>IF(D485=1,'7813'!E57&amp;"","")</f>
        <v/>
      </c>
      <c r="K485" s="0">
        <f>IF(D485=1,'7813'!D57&amp;"","")</f>
        <v/>
      </c>
      <c r="L485" s="0">
        <f>IF(D485=1,IF('7813'!F57="","",'7813'!F57),"")</f>
        <v/>
      </c>
    </row>
    <row r="486">
      <c r="A486" s="0" t="inlineStr">
        <is>
          <t>7813 – Educational Technology</t>
        </is>
      </c>
      <c r="B486" s="0" t="inlineStr">
        <is>
          <t>7813</t>
        </is>
      </c>
      <c r="C486" s="0" t="n">
        <v>58</v>
      </c>
      <c r="D486" s="0">
        <f>IF(AND(UPPER(TRIM('7813'!A58))="CHOICE",LEN(TRIM('7813'!E58&amp;'7813'!F58))&gt;0),1,0)</f>
        <v/>
      </c>
      <c r="E486" s="0">
        <f>IF(D486=1,MAX(E$1:E485)+1,"")</f>
        <v/>
      </c>
      <c r="F486" s="0">
        <f>IF(D486=1,IFERROR(CHOOSE(MATCH("X",'7813'!G58:L58,0),"①","②","③","④","⑤","⑥"),""),"")</f>
        <v/>
      </c>
      <c r="G486" s="0">
        <f>IF(D486=1,IF('7813'!B58="","",'7813'!B58),"")</f>
        <v/>
      </c>
      <c r="H486" s="0">
        <f>IF(D486=1,'7813'!N58&amp;"","")</f>
        <v/>
      </c>
      <c r="I486" s="0">
        <f>IF(D486=1,'7813'!C58&amp;"","")</f>
        <v/>
      </c>
      <c r="J486" s="0">
        <f>IF(D486=1,'7813'!E58&amp;"","")</f>
        <v/>
      </c>
      <c r="K486" s="0">
        <f>IF(D486=1,'7813'!D58&amp;"","")</f>
        <v/>
      </c>
      <c r="L486" s="0">
        <f>IF(D486=1,IF('7813'!F58="","",'7813'!F58),"")</f>
        <v/>
      </c>
    </row>
    <row r="487">
      <c r="A487" s="0" t="inlineStr">
        <is>
          <t>7813 – Educational Technology</t>
        </is>
      </c>
      <c r="B487" s="0" t="inlineStr">
        <is>
          <t>7813</t>
        </is>
      </c>
      <c r="C487" s="0" t="n">
        <v>59</v>
      </c>
      <c r="D487" s="0">
        <f>IF(AND(UPPER(TRIM('7813'!A59))="CHOICE",LEN(TRIM('7813'!E59&amp;'7813'!F59))&gt;0),1,0)</f>
        <v/>
      </c>
      <c r="E487" s="0">
        <f>IF(D487=1,MAX(E$1:E486)+1,"")</f>
        <v/>
      </c>
      <c r="F487" s="0">
        <f>IF(D487=1,IFERROR(CHOOSE(MATCH("X",'7813'!G59:L59,0),"①","②","③","④","⑤","⑥"),""),"")</f>
        <v/>
      </c>
      <c r="G487" s="0">
        <f>IF(D487=1,IF('7813'!B59="","",'7813'!B59),"")</f>
        <v/>
      </c>
      <c r="H487" s="0">
        <f>IF(D487=1,'7813'!N59&amp;"","")</f>
        <v/>
      </c>
      <c r="I487" s="0">
        <f>IF(D487=1,'7813'!C59&amp;"","")</f>
        <v/>
      </c>
      <c r="J487" s="0">
        <f>IF(D487=1,'7813'!E59&amp;"","")</f>
        <v/>
      </c>
      <c r="K487" s="0">
        <f>IF(D487=1,'7813'!D59&amp;"","")</f>
        <v/>
      </c>
      <c r="L487" s="0">
        <f>IF(D487=1,IF('7813'!F59="","",'7813'!F59),"")</f>
        <v/>
      </c>
    </row>
    <row r="488">
      <c r="A488" s="0" t="inlineStr">
        <is>
          <t>7815 – Leadership for Diverse Learners</t>
        </is>
      </c>
      <c r="B488" s="0" t="inlineStr">
        <is>
          <t>7815</t>
        </is>
      </c>
      <c r="C488" s="0" t="n">
        <v>6</v>
      </c>
      <c r="D488" s="0">
        <f>IF(AND(UPPER(TRIM('7815'!A6))="CHOICE",LEN(TRIM('7815'!E6&amp;'7815'!F6))&gt;0),1,0)</f>
        <v/>
      </c>
      <c r="E488" s="0">
        <f>IF(D488=1,MAX(E$1:E487)+1,"")</f>
        <v/>
      </c>
      <c r="F488" s="0">
        <f>IF(D488=1,IFERROR(CHOOSE(MATCH("X",'7815'!G6:L6,0),"①","②","③","④","⑤","⑥"),""),"")</f>
        <v/>
      </c>
      <c r="G488" s="0">
        <f>IF(D488=1,IF('7815'!B6="","",'7815'!B6),"")</f>
        <v/>
      </c>
      <c r="H488" s="0">
        <f>IF(D488=1,'7815'!N6&amp;"","")</f>
        <v/>
      </c>
      <c r="I488" s="0">
        <f>IF(D488=1,'7815'!C6&amp;"","")</f>
        <v/>
      </c>
      <c r="J488" s="0">
        <f>IF(D488=1,'7815'!E6&amp;"","")</f>
        <v/>
      </c>
      <c r="K488" s="0">
        <f>IF(D488=1,'7815'!D6&amp;"","")</f>
        <v/>
      </c>
      <c r="L488" s="0">
        <f>IF(D488=1,IF('7815'!F6="","",'7815'!F6),"")</f>
        <v/>
      </c>
    </row>
    <row r="489">
      <c r="A489" s="0" t="inlineStr">
        <is>
          <t>7815 – Leadership for Diverse Learners</t>
        </is>
      </c>
      <c r="B489" s="0" t="inlineStr">
        <is>
          <t>7815</t>
        </is>
      </c>
      <c r="C489" s="0" t="n">
        <v>7</v>
      </c>
      <c r="D489" s="0">
        <f>IF(AND(UPPER(TRIM('7815'!A7))="CHOICE",LEN(TRIM('7815'!E7&amp;'7815'!F7))&gt;0),1,0)</f>
        <v/>
      </c>
      <c r="E489" s="0">
        <f>IF(D489=1,MAX(E$1:E488)+1,"")</f>
        <v/>
      </c>
      <c r="F489" s="0">
        <f>IF(D489=1,IFERROR(CHOOSE(MATCH("X",'7815'!G7:L7,0),"①","②","③","④","⑤","⑥"),""),"")</f>
        <v/>
      </c>
      <c r="G489" s="0">
        <f>IF(D489=1,IF('7815'!B7="","",'7815'!B7),"")</f>
        <v/>
      </c>
      <c r="H489" s="0">
        <f>IF(D489=1,'7815'!N7&amp;"","")</f>
        <v/>
      </c>
      <c r="I489" s="0">
        <f>IF(D489=1,'7815'!C7&amp;"","")</f>
        <v/>
      </c>
      <c r="J489" s="0">
        <f>IF(D489=1,'7815'!E7&amp;"","")</f>
        <v/>
      </c>
      <c r="K489" s="0">
        <f>IF(D489=1,'7815'!D7&amp;"","")</f>
        <v/>
      </c>
      <c r="L489" s="0">
        <f>IF(D489=1,IF('7815'!F7="","",'7815'!F7),"")</f>
        <v/>
      </c>
    </row>
    <row r="490">
      <c r="A490" s="0" t="inlineStr">
        <is>
          <t>7815 – Leadership for Diverse Learners</t>
        </is>
      </c>
      <c r="B490" s="0" t="inlineStr">
        <is>
          <t>7815</t>
        </is>
      </c>
      <c r="C490" s="0" t="n">
        <v>8</v>
      </c>
      <c r="D490" s="0">
        <f>IF(AND(UPPER(TRIM('7815'!A8))="CHOICE",LEN(TRIM('7815'!E8&amp;'7815'!F8))&gt;0),1,0)</f>
        <v/>
      </c>
      <c r="E490" s="0">
        <f>IF(D490=1,MAX(E$1:E489)+1,"")</f>
        <v/>
      </c>
      <c r="F490" s="0">
        <f>IF(D490=1,IFERROR(CHOOSE(MATCH("X",'7815'!G8:L8,0),"①","②","③","④","⑤","⑥"),""),"")</f>
        <v/>
      </c>
      <c r="G490" s="0">
        <f>IF(D490=1,IF('7815'!B8="","",'7815'!B8),"")</f>
        <v/>
      </c>
      <c r="H490" s="0">
        <f>IF(D490=1,'7815'!N8&amp;"","")</f>
        <v/>
      </c>
      <c r="I490" s="0">
        <f>IF(D490=1,'7815'!C8&amp;"","")</f>
        <v/>
      </c>
      <c r="J490" s="0">
        <f>IF(D490=1,'7815'!E8&amp;"","")</f>
        <v/>
      </c>
      <c r="K490" s="0">
        <f>IF(D490=1,'7815'!D8&amp;"","")</f>
        <v/>
      </c>
      <c r="L490" s="0">
        <f>IF(D490=1,IF('7815'!F8="","",'7815'!F8),"")</f>
        <v/>
      </c>
    </row>
    <row r="491">
      <c r="A491" s="0" t="inlineStr">
        <is>
          <t>7815 – Leadership for Diverse Learners</t>
        </is>
      </c>
      <c r="B491" s="0" t="inlineStr">
        <is>
          <t>7815</t>
        </is>
      </c>
      <c r="C491" s="0" t="n">
        <v>9</v>
      </c>
      <c r="D491" s="0">
        <f>IF(AND(UPPER(TRIM('7815'!A9))="CHOICE",LEN(TRIM('7815'!E9&amp;'7815'!F9))&gt;0),1,0)</f>
        <v/>
      </c>
      <c r="E491" s="0">
        <f>IF(D491=1,MAX(E$1:E490)+1,"")</f>
        <v/>
      </c>
      <c r="F491" s="0">
        <f>IF(D491=1,IFERROR(CHOOSE(MATCH("X",'7815'!G9:L9,0),"①","②","③","④","⑤","⑥"),""),"")</f>
        <v/>
      </c>
      <c r="G491" s="0">
        <f>IF(D491=1,IF('7815'!B9="","",'7815'!B9),"")</f>
        <v/>
      </c>
      <c r="H491" s="0">
        <f>IF(D491=1,'7815'!N9&amp;"","")</f>
        <v/>
      </c>
      <c r="I491" s="0">
        <f>IF(D491=1,'7815'!C9&amp;"","")</f>
        <v/>
      </c>
      <c r="J491" s="0">
        <f>IF(D491=1,'7815'!E9&amp;"","")</f>
        <v/>
      </c>
      <c r="K491" s="0">
        <f>IF(D491=1,'7815'!D9&amp;"","")</f>
        <v/>
      </c>
      <c r="L491" s="0">
        <f>IF(D491=1,IF('7815'!F9="","",'7815'!F9),"")</f>
        <v/>
      </c>
    </row>
    <row r="492">
      <c r="A492" s="0" t="inlineStr">
        <is>
          <t>7815 – Leadership for Diverse Learners</t>
        </is>
      </c>
      <c r="B492" s="0" t="inlineStr">
        <is>
          <t>7815</t>
        </is>
      </c>
      <c r="C492" s="0" t="n">
        <v>10</v>
      </c>
      <c r="D492" s="0">
        <f>IF(AND(UPPER(TRIM('7815'!A10))="CHOICE",LEN(TRIM('7815'!E10&amp;'7815'!F10))&gt;0),1,0)</f>
        <v/>
      </c>
      <c r="E492" s="0">
        <f>IF(D492=1,MAX(E$1:E491)+1,"")</f>
        <v/>
      </c>
      <c r="F492" s="0">
        <f>IF(D492=1,IFERROR(CHOOSE(MATCH("X",'7815'!G10:L10,0),"①","②","③","④","⑤","⑥"),""),"")</f>
        <v/>
      </c>
      <c r="G492" s="0">
        <f>IF(D492=1,IF('7815'!B10="","",'7815'!B10),"")</f>
        <v/>
      </c>
      <c r="H492" s="0">
        <f>IF(D492=1,'7815'!N10&amp;"","")</f>
        <v/>
      </c>
      <c r="I492" s="0">
        <f>IF(D492=1,'7815'!C10&amp;"","")</f>
        <v/>
      </c>
      <c r="J492" s="0">
        <f>IF(D492=1,'7815'!E10&amp;"","")</f>
        <v/>
      </c>
      <c r="K492" s="0">
        <f>IF(D492=1,'7815'!D10&amp;"","")</f>
        <v/>
      </c>
      <c r="L492" s="0">
        <f>IF(D492=1,IF('7815'!F10="","",'7815'!F10),"")</f>
        <v/>
      </c>
    </row>
    <row r="493">
      <c r="A493" s="0" t="inlineStr">
        <is>
          <t>7815 – Leadership for Diverse Learners</t>
        </is>
      </c>
      <c r="B493" s="0" t="inlineStr">
        <is>
          <t>7815</t>
        </is>
      </c>
      <c r="C493" s="0" t="n">
        <v>11</v>
      </c>
      <c r="D493" s="0">
        <f>IF(AND(UPPER(TRIM('7815'!A11))="CHOICE",LEN(TRIM('7815'!E11&amp;'7815'!F11))&gt;0),1,0)</f>
        <v/>
      </c>
      <c r="E493" s="0">
        <f>IF(D493=1,MAX(E$1:E492)+1,"")</f>
        <v/>
      </c>
      <c r="F493" s="0">
        <f>IF(D493=1,IFERROR(CHOOSE(MATCH("X",'7815'!G11:L11,0),"①","②","③","④","⑤","⑥"),""),"")</f>
        <v/>
      </c>
      <c r="G493" s="0">
        <f>IF(D493=1,IF('7815'!B11="","",'7815'!B11),"")</f>
        <v/>
      </c>
      <c r="H493" s="0">
        <f>IF(D493=1,'7815'!N11&amp;"","")</f>
        <v/>
      </c>
      <c r="I493" s="0">
        <f>IF(D493=1,'7815'!C11&amp;"","")</f>
        <v/>
      </c>
      <c r="J493" s="0">
        <f>IF(D493=1,'7815'!E11&amp;"","")</f>
        <v/>
      </c>
      <c r="K493" s="0">
        <f>IF(D493=1,'7815'!D11&amp;"","")</f>
        <v/>
      </c>
      <c r="L493" s="0">
        <f>IF(D493=1,IF('7815'!F11="","",'7815'!F11),"")</f>
        <v/>
      </c>
    </row>
    <row r="494">
      <c r="A494" s="0" t="inlineStr">
        <is>
          <t>7815 – Leadership for Diverse Learners</t>
        </is>
      </c>
      <c r="B494" s="0" t="inlineStr">
        <is>
          <t>7815</t>
        </is>
      </c>
      <c r="C494" s="0" t="n">
        <v>12</v>
      </c>
      <c r="D494" s="0">
        <f>IF(AND(UPPER(TRIM('7815'!A12))="CHOICE",LEN(TRIM('7815'!E12&amp;'7815'!F12))&gt;0),1,0)</f>
        <v/>
      </c>
      <c r="E494" s="0">
        <f>IF(D494=1,MAX(E$1:E493)+1,"")</f>
        <v/>
      </c>
      <c r="F494" s="0">
        <f>IF(D494=1,IFERROR(CHOOSE(MATCH("X",'7815'!G12:L12,0),"①","②","③","④","⑤","⑥"),""),"")</f>
        <v/>
      </c>
      <c r="G494" s="0">
        <f>IF(D494=1,IF('7815'!B12="","",'7815'!B12),"")</f>
        <v/>
      </c>
      <c r="H494" s="0">
        <f>IF(D494=1,'7815'!N12&amp;"","")</f>
        <v/>
      </c>
      <c r="I494" s="0">
        <f>IF(D494=1,'7815'!C12&amp;"","")</f>
        <v/>
      </c>
      <c r="J494" s="0">
        <f>IF(D494=1,'7815'!E12&amp;"","")</f>
        <v/>
      </c>
      <c r="K494" s="0">
        <f>IF(D494=1,'7815'!D12&amp;"","")</f>
        <v/>
      </c>
      <c r="L494" s="0">
        <f>IF(D494=1,IF('7815'!F12="","",'7815'!F12),"")</f>
        <v/>
      </c>
    </row>
    <row r="495">
      <c r="A495" s="0" t="inlineStr">
        <is>
          <t>7815 – Leadership for Diverse Learners</t>
        </is>
      </c>
      <c r="B495" s="0" t="inlineStr">
        <is>
          <t>7815</t>
        </is>
      </c>
      <c r="C495" s="0" t="n">
        <v>13</v>
      </c>
      <c r="D495" s="0">
        <f>IF(AND(UPPER(TRIM('7815'!A13))="CHOICE",LEN(TRIM('7815'!E13&amp;'7815'!F13))&gt;0),1,0)</f>
        <v/>
      </c>
      <c r="E495" s="0">
        <f>IF(D495=1,MAX(E$1:E494)+1,"")</f>
        <v/>
      </c>
      <c r="F495" s="0">
        <f>IF(D495=1,IFERROR(CHOOSE(MATCH("X",'7815'!G13:L13,0),"①","②","③","④","⑤","⑥"),""),"")</f>
        <v/>
      </c>
      <c r="G495" s="0">
        <f>IF(D495=1,IF('7815'!B13="","",'7815'!B13),"")</f>
        <v/>
      </c>
      <c r="H495" s="0">
        <f>IF(D495=1,'7815'!N13&amp;"","")</f>
        <v/>
      </c>
      <c r="I495" s="0">
        <f>IF(D495=1,'7815'!C13&amp;"","")</f>
        <v/>
      </c>
      <c r="J495" s="0">
        <f>IF(D495=1,'7815'!E13&amp;"","")</f>
        <v/>
      </c>
      <c r="K495" s="0">
        <f>IF(D495=1,'7815'!D13&amp;"","")</f>
        <v/>
      </c>
      <c r="L495" s="0">
        <f>IF(D495=1,IF('7815'!F13="","",'7815'!F13),"")</f>
        <v/>
      </c>
    </row>
    <row r="496">
      <c r="A496" s="0" t="inlineStr">
        <is>
          <t>7815 – Leadership for Diverse Learners</t>
        </is>
      </c>
      <c r="B496" s="0" t="inlineStr">
        <is>
          <t>7815</t>
        </is>
      </c>
      <c r="C496" s="0" t="n">
        <v>14</v>
      </c>
      <c r="D496" s="0">
        <f>IF(AND(UPPER(TRIM('7815'!A14))="CHOICE",LEN(TRIM('7815'!E14&amp;'7815'!F14))&gt;0),1,0)</f>
        <v/>
      </c>
      <c r="E496" s="0">
        <f>IF(D496=1,MAX(E$1:E495)+1,"")</f>
        <v/>
      </c>
      <c r="F496" s="0">
        <f>IF(D496=1,IFERROR(CHOOSE(MATCH("X",'7815'!G14:L14,0),"①","②","③","④","⑤","⑥"),""),"")</f>
        <v/>
      </c>
      <c r="G496" s="0">
        <f>IF(D496=1,IF('7815'!B14="","",'7815'!B14),"")</f>
        <v/>
      </c>
      <c r="H496" s="0">
        <f>IF(D496=1,'7815'!N14&amp;"","")</f>
        <v/>
      </c>
      <c r="I496" s="0">
        <f>IF(D496=1,'7815'!C14&amp;"","")</f>
        <v/>
      </c>
      <c r="J496" s="0">
        <f>IF(D496=1,'7815'!E14&amp;"","")</f>
        <v/>
      </c>
      <c r="K496" s="0">
        <f>IF(D496=1,'7815'!D14&amp;"","")</f>
        <v/>
      </c>
      <c r="L496" s="0">
        <f>IF(D496=1,IF('7815'!F14="","",'7815'!F14),"")</f>
        <v/>
      </c>
    </row>
    <row r="497">
      <c r="A497" s="0" t="inlineStr">
        <is>
          <t>7815 – Leadership for Diverse Learners</t>
        </is>
      </c>
      <c r="B497" s="0" t="inlineStr">
        <is>
          <t>7815</t>
        </is>
      </c>
      <c r="C497" s="0" t="n">
        <v>15</v>
      </c>
      <c r="D497" s="0">
        <f>IF(AND(UPPER(TRIM('7815'!A15))="CHOICE",LEN(TRIM('7815'!E15&amp;'7815'!F15))&gt;0),1,0)</f>
        <v/>
      </c>
      <c r="E497" s="0">
        <f>IF(D497=1,MAX(E$1:E496)+1,"")</f>
        <v/>
      </c>
      <c r="F497" s="0">
        <f>IF(D497=1,IFERROR(CHOOSE(MATCH("X",'7815'!G15:L15,0),"①","②","③","④","⑤","⑥"),""),"")</f>
        <v/>
      </c>
      <c r="G497" s="0">
        <f>IF(D497=1,IF('7815'!B15="","",'7815'!B15),"")</f>
        <v/>
      </c>
      <c r="H497" s="0">
        <f>IF(D497=1,'7815'!N15&amp;"","")</f>
        <v/>
      </c>
      <c r="I497" s="0">
        <f>IF(D497=1,'7815'!C15&amp;"","")</f>
        <v/>
      </c>
      <c r="J497" s="0">
        <f>IF(D497=1,'7815'!E15&amp;"","")</f>
        <v/>
      </c>
      <c r="K497" s="0">
        <f>IF(D497=1,'7815'!D15&amp;"","")</f>
        <v/>
      </c>
      <c r="L497" s="0">
        <f>IF(D497=1,IF('7815'!F15="","",'7815'!F15),"")</f>
        <v/>
      </c>
    </row>
    <row r="498">
      <c r="A498" s="0" t="inlineStr">
        <is>
          <t>7815 – Leadership for Diverse Learners</t>
        </is>
      </c>
      <c r="B498" s="0" t="inlineStr">
        <is>
          <t>7815</t>
        </is>
      </c>
      <c r="C498" s="0" t="n">
        <v>16</v>
      </c>
      <c r="D498" s="0">
        <f>IF(AND(UPPER(TRIM('7815'!A16))="CHOICE",LEN(TRIM('7815'!E16&amp;'7815'!F16))&gt;0),1,0)</f>
        <v/>
      </c>
      <c r="E498" s="0">
        <f>IF(D498=1,MAX(E$1:E497)+1,"")</f>
        <v/>
      </c>
      <c r="F498" s="0">
        <f>IF(D498=1,IFERROR(CHOOSE(MATCH("X",'7815'!G16:L16,0),"①","②","③","④","⑤","⑥"),""),"")</f>
        <v/>
      </c>
      <c r="G498" s="0">
        <f>IF(D498=1,IF('7815'!B16="","",'7815'!B16),"")</f>
        <v/>
      </c>
      <c r="H498" s="0">
        <f>IF(D498=1,'7815'!N16&amp;"","")</f>
        <v/>
      </c>
      <c r="I498" s="0">
        <f>IF(D498=1,'7815'!C16&amp;"","")</f>
        <v/>
      </c>
      <c r="J498" s="0">
        <f>IF(D498=1,'7815'!E16&amp;"","")</f>
        <v/>
      </c>
      <c r="K498" s="0">
        <f>IF(D498=1,'7815'!D16&amp;"","")</f>
        <v/>
      </c>
      <c r="L498" s="0">
        <f>IF(D498=1,IF('7815'!F16="","",'7815'!F16),"")</f>
        <v/>
      </c>
    </row>
    <row r="499">
      <c r="A499" s="0" t="inlineStr">
        <is>
          <t>7815 – Leadership for Diverse Learners</t>
        </is>
      </c>
      <c r="B499" s="0" t="inlineStr">
        <is>
          <t>7815</t>
        </is>
      </c>
      <c r="C499" s="0" t="n">
        <v>17</v>
      </c>
      <c r="D499" s="0">
        <f>IF(AND(UPPER(TRIM('7815'!A17))="CHOICE",LEN(TRIM('7815'!E17&amp;'7815'!F17))&gt;0),1,0)</f>
        <v/>
      </c>
      <c r="E499" s="0">
        <f>IF(D499=1,MAX(E$1:E498)+1,"")</f>
        <v/>
      </c>
      <c r="F499" s="0">
        <f>IF(D499=1,IFERROR(CHOOSE(MATCH("X",'7815'!G17:L17,0),"①","②","③","④","⑤","⑥"),""),"")</f>
        <v/>
      </c>
      <c r="G499" s="0">
        <f>IF(D499=1,IF('7815'!B17="","",'7815'!B17),"")</f>
        <v/>
      </c>
      <c r="H499" s="0">
        <f>IF(D499=1,'7815'!N17&amp;"","")</f>
        <v/>
      </c>
      <c r="I499" s="0">
        <f>IF(D499=1,'7815'!C17&amp;"","")</f>
        <v/>
      </c>
      <c r="J499" s="0">
        <f>IF(D499=1,'7815'!E17&amp;"","")</f>
        <v/>
      </c>
      <c r="K499" s="0">
        <f>IF(D499=1,'7815'!D17&amp;"","")</f>
        <v/>
      </c>
      <c r="L499" s="0">
        <f>IF(D499=1,IF('7815'!F17="","",'7815'!F17),"")</f>
        <v/>
      </c>
    </row>
    <row r="500">
      <c r="A500" s="0" t="inlineStr">
        <is>
          <t>7815 – Leadership for Diverse Learners</t>
        </is>
      </c>
      <c r="B500" s="0" t="inlineStr">
        <is>
          <t>7815</t>
        </is>
      </c>
      <c r="C500" s="0" t="n">
        <v>18</v>
      </c>
      <c r="D500" s="0">
        <f>IF(AND(UPPER(TRIM('7815'!A18))="CHOICE",LEN(TRIM('7815'!E18&amp;'7815'!F18))&gt;0),1,0)</f>
        <v/>
      </c>
      <c r="E500" s="0">
        <f>IF(D500=1,MAX(E$1:E499)+1,"")</f>
        <v/>
      </c>
      <c r="F500" s="0">
        <f>IF(D500=1,IFERROR(CHOOSE(MATCH("X",'7815'!G18:L18,0),"①","②","③","④","⑤","⑥"),""),"")</f>
        <v/>
      </c>
      <c r="G500" s="0">
        <f>IF(D500=1,IF('7815'!B18="","",'7815'!B18),"")</f>
        <v/>
      </c>
      <c r="H500" s="0">
        <f>IF(D500=1,'7815'!N18&amp;"","")</f>
        <v/>
      </c>
      <c r="I500" s="0">
        <f>IF(D500=1,'7815'!C18&amp;"","")</f>
        <v/>
      </c>
      <c r="J500" s="0">
        <f>IF(D500=1,'7815'!E18&amp;"","")</f>
        <v/>
      </c>
      <c r="K500" s="0">
        <f>IF(D500=1,'7815'!D18&amp;"","")</f>
        <v/>
      </c>
      <c r="L500" s="0">
        <f>IF(D500=1,IF('7815'!F18="","",'7815'!F18),"")</f>
        <v/>
      </c>
    </row>
    <row r="501">
      <c r="A501" s="0" t="inlineStr">
        <is>
          <t>7815 – Leadership for Diverse Learners</t>
        </is>
      </c>
      <c r="B501" s="0" t="inlineStr">
        <is>
          <t>7815</t>
        </is>
      </c>
      <c r="C501" s="0" t="n">
        <v>19</v>
      </c>
      <c r="D501" s="0">
        <f>IF(AND(UPPER(TRIM('7815'!A19))="CHOICE",LEN(TRIM('7815'!E19&amp;'7815'!F19))&gt;0),1,0)</f>
        <v/>
      </c>
      <c r="E501" s="0">
        <f>IF(D501=1,MAX(E$1:E500)+1,"")</f>
        <v/>
      </c>
      <c r="F501" s="0">
        <f>IF(D501=1,IFERROR(CHOOSE(MATCH("X",'7815'!G19:L19,0),"①","②","③","④","⑤","⑥"),""),"")</f>
        <v/>
      </c>
      <c r="G501" s="0">
        <f>IF(D501=1,IF('7815'!B19="","",'7815'!B19),"")</f>
        <v/>
      </c>
      <c r="H501" s="0">
        <f>IF(D501=1,'7815'!N19&amp;"","")</f>
        <v/>
      </c>
      <c r="I501" s="0">
        <f>IF(D501=1,'7815'!C19&amp;"","")</f>
        <v/>
      </c>
      <c r="J501" s="0">
        <f>IF(D501=1,'7815'!E19&amp;"","")</f>
        <v/>
      </c>
      <c r="K501" s="0">
        <f>IF(D501=1,'7815'!D19&amp;"","")</f>
        <v/>
      </c>
      <c r="L501" s="0">
        <f>IF(D501=1,IF('7815'!F19="","",'7815'!F19),"")</f>
        <v/>
      </c>
    </row>
    <row r="502">
      <c r="A502" s="0" t="inlineStr">
        <is>
          <t>7815 – Leadership for Diverse Learners</t>
        </is>
      </c>
      <c r="B502" s="0" t="inlineStr">
        <is>
          <t>7815</t>
        </is>
      </c>
      <c r="C502" s="0" t="n">
        <v>20</v>
      </c>
      <c r="D502" s="0">
        <f>IF(AND(UPPER(TRIM('7815'!A20))="CHOICE",LEN(TRIM('7815'!E20&amp;'7815'!F20))&gt;0),1,0)</f>
        <v/>
      </c>
      <c r="E502" s="0">
        <f>IF(D502=1,MAX(E$1:E501)+1,"")</f>
        <v/>
      </c>
      <c r="F502" s="0">
        <f>IF(D502=1,IFERROR(CHOOSE(MATCH("X",'7815'!G20:L20,0),"①","②","③","④","⑤","⑥"),""),"")</f>
        <v/>
      </c>
      <c r="G502" s="0">
        <f>IF(D502=1,IF('7815'!B20="","",'7815'!B20),"")</f>
        <v/>
      </c>
      <c r="H502" s="0">
        <f>IF(D502=1,'7815'!N20&amp;"","")</f>
        <v/>
      </c>
      <c r="I502" s="0">
        <f>IF(D502=1,'7815'!C20&amp;"","")</f>
        <v/>
      </c>
      <c r="J502" s="0">
        <f>IF(D502=1,'7815'!E20&amp;"","")</f>
        <v/>
      </c>
      <c r="K502" s="0">
        <f>IF(D502=1,'7815'!D20&amp;"","")</f>
        <v/>
      </c>
      <c r="L502" s="0">
        <f>IF(D502=1,IF('7815'!F20="","",'7815'!F20),"")</f>
        <v/>
      </c>
    </row>
    <row r="503">
      <c r="A503" s="0" t="inlineStr">
        <is>
          <t>7815 – Leadership for Diverse Learners</t>
        </is>
      </c>
      <c r="B503" s="0" t="inlineStr">
        <is>
          <t>7815</t>
        </is>
      </c>
      <c r="C503" s="0" t="n">
        <v>21</v>
      </c>
      <c r="D503" s="0">
        <f>IF(AND(UPPER(TRIM('7815'!A21))="CHOICE",LEN(TRIM('7815'!E21&amp;'7815'!F21))&gt;0),1,0)</f>
        <v/>
      </c>
      <c r="E503" s="0">
        <f>IF(D503=1,MAX(E$1:E502)+1,"")</f>
        <v/>
      </c>
      <c r="F503" s="0">
        <f>IF(D503=1,IFERROR(CHOOSE(MATCH("X",'7815'!G21:L21,0),"①","②","③","④","⑤","⑥"),""),"")</f>
        <v/>
      </c>
      <c r="G503" s="0">
        <f>IF(D503=1,IF('7815'!B21="","",'7815'!B21),"")</f>
        <v/>
      </c>
      <c r="H503" s="0">
        <f>IF(D503=1,'7815'!N21&amp;"","")</f>
        <v/>
      </c>
      <c r="I503" s="0">
        <f>IF(D503=1,'7815'!C21&amp;"","")</f>
        <v/>
      </c>
      <c r="J503" s="0">
        <f>IF(D503=1,'7815'!E21&amp;"","")</f>
        <v/>
      </c>
      <c r="K503" s="0">
        <f>IF(D503=1,'7815'!D21&amp;"","")</f>
        <v/>
      </c>
      <c r="L503" s="0">
        <f>IF(D503=1,IF('7815'!F21="","",'7815'!F21),"")</f>
        <v/>
      </c>
    </row>
    <row r="504">
      <c r="A504" s="0" t="inlineStr">
        <is>
          <t>7815 – Leadership for Diverse Learners</t>
        </is>
      </c>
      <c r="B504" s="0" t="inlineStr">
        <is>
          <t>7815</t>
        </is>
      </c>
      <c r="C504" s="0" t="n">
        <v>22</v>
      </c>
      <c r="D504" s="0">
        <f>IF(AND(UPPER(TRIM('7815'!A22))="CHOICE",LEN(TRIM('7815'!E22&amp;'7815'!F22))&gt;0),1,0)</f>
        <v/>
      </c>
      <c r="E504" s="0">
        <f>IF(D504=1,MAX(E$1:E503)+1,"")</f>
        <v/>
      </c>
      <c r="F504" s="0">
        <f>IF(D504=1,IFERROR(CHOOSE(MATCH("X",'7815'!G22:L22,0),"①","②","③","④","⑤","⑥"),""),"")</f>
        <v/>
      </c>
      <c r="G504" s="0">
        <f>IF(D504=1,IF('7815'!B22="","",'7815'!B22),"")</f>
        <v/>
      </c>
      <c r="H504" s="0">
        <f>IF(D504=1,'7815'!N22&amp;"","")</f>
        <v/>
      </c>
      <c r="I504" s="0">
        <f>IF(D504=1,'7815'!C22&amp;"","")</f>
        <v/>
      </c>
      <c r="J504" s="0">
        <f>IF(D504=1,'7815'!E22&amp;"","")</f>
        <v/>
      </c>
      <c r="K504" s="0">
        <f>IF(D504=1,'7815'!D22&amp;"","")</f>
        <v/>
      </c>
      <c r="L504" s="0">
        <f>IF(D504=1,IF('7815'!F22="","",'7815'!F22),"")</f>
        <v/>
      </c>
    </row>
    <row r="505">
      <c r="A505" s="0" t="inlineStr">
        <is>
          <t>7815 – Leadership for Diverse Learners</t>
        </is>
      </c>
      <c r="B505" s="0" t="inlineStr">
        <is>
          <t>7815</t>
        </is>
      </c>
      <c r="C505" s="0" t="n">
        <v>23</v>
      </c>
      <c r="D505" s="0">
        <f>IF(AND(UPPER(TRIM('7815'!A23))="CHOICE",LEN(TRIM('7815'!E23&amp;'7815'!F23))&gt;0),1,0)</f>
        <v/>
      </c>
      <c r="E505" s="0">
        <f>IF(D505=1,MAX(E$1:E504)+1,"")</f>
        <v/>
      </c>
      <c r="F505" s="0">
        <f>IF(D505=1,IFERROR(CHOOSE(MATCH("X",'7815'!G23:L23,0),"①","②","③","④","⑤","⑥"),""),"")</f>
        <v/>
      </c>
      <c r="G505" s="0">
        <f>IF(D505=1,IF('7815'!B23="","",'7815'!B23),"")</f>
        <v/>
      </c>
      <c r="H505" s="0">
        <f>IF(D505=1,'7815'!N23&amp;"","")</f>
        <v/>
      </c>
      <c r="I505" s="0">
        <f>IF(D505=1,'7815'!C23&amp;"","")</f>
        <v/>
      </c>
      <c r="J505" s="0">
        <f>IF(D505=1,'7815'!E23&amp;"","")</f>
        <v/>
      </c>
      <c r="K505" s="0">
        <f>IF(D505=1,'7815'!D23&amp;"","")</f>
        <v/>
      </c>
      <c r="L505" s="0">
        <f>IF(D505=1,IF('7815'!F23="","",'7815'!F23),"")</f>
        <v/>
      </c>
    </row>
    <row r="506">
      <c r="A506" s="0" t="inlineStr">
        <is>
          <t>7815 – Leadership for Diverse Learners</t>
        </is>
      </c>
      <c r="B506" s="0" t="inlineStr">
        <is>
          <t>7815</t>
        </is>
      </c>
      <c r="C506" s="0" t="n">
        <v>24</v>
      </c>
      <c r="D506" s="0">
        <f>IF(AND(UPPER(TRIM('7815'!A24))="CHOICE",LEN(TRIM('7815'!E24&amp;'7815'!F24))&gt;0),1,0)</f>
        <v/>
      </c>
      <c r="E506" s="0">
        <f>IF(D506=1,MAX(E$1:E505)+1,"")</f>
        <v/>
      </c>
      <c r="F506" s="0">
        <f>IF(D506=1,IFERROR(CHOOSE(MATCH("X",'7815'!G24:L24,0),"①","②","③","④","⑤","⑥"),""),"")</f>
        <v/>
      </c>
      <c r="G506" s="0">
        <f>IF(D506=1,IF('7815'!B24="","",'7815'!B24),"")</f>
        <v/>
      </c>
      <c r="H506" s="0">
        <f>IF(D506=1,'7815'!N24&amp;"","")</f>
        <v/>
      </c>
      <c r="I506" s="0">
        <f>IF(D506=1,'7815'!C24&amp;"","")</f>
        <v/>
      </c>
      <c r="J506" s="0">
        <f>IF(D506=1,'7815'!E24&amp;"","")</f>
        <v/>
      </c>
      <c r="K506" s="0">
        <f>IF(D506=1,'7815'!D24&amp;"","")</f>
        <v/>
      </c>
      <c r="L506" s="0">
        <f>IF(D506=1,IF('7815'!F24="","",'7815'!F24),"")</f>
        <v/>
      </c>
    </row>
    <row r="507">
      <c r="A507" s="0" t="inlineStr">
        <is>
          <t>7815 – Leadership for Diverse Learners</t>
        </is>
      </c>
      <c r="B507" s="0" t="inlineStr">
        <is>
          <t>7815</t>
        </is>
      </c>
      <c r="C507" s="0" t="n">
        <v>25</v>
      </c>
      <c r="D507" s="0">
        <f>IF(AND(UPPER(TRIM('7815'!A25))="CHOICE",LEN(TRIM('7815'!E25&amp;'7815'!F25))&gt;0),1,0)</f>
        <v/>
      </c>
      <c r="E507" s="0">
        <f>IF(D507=1,MAX(E$1:E506)+1,"")</f>
        <v/>
      </c>
      <c r="F507" s="0">
        <f>IF(D507=1,IFERROR(CHOOSE(MATCH("X",'7815'!G25:L25,0),"①","②","③","④","⑤","⑥"),""),"")</f>
        <v/>
      </c>
      <c r="G507" s="0">
        <f>IF(D507=1,IF('7815'!B25="","",'7815'!B25),"")</f>
        <v/>
      </c>
      <c r="H507" s="0">
        <f>IF(D507=1,'7815'!N25&amp;"","")</f>
        <v/>
      </c>
      <c r="I507" s="0">
        <f>IF(D507=1,'7815'!C25&amp;"","")</f>
        <v/>
      </c>
      <c r="J507" s="0">
        <f>IF(D507=1,'7815'!E25&amp;"","")</f>
        <v/>
      </c>
      <c r="K507" s="0">
        <f>IF(D507=1,'7815'!D25&amp;"","")</f>
        <v/>
      </c>
      <c r="L507" s="0">
        <f>IF(D507=1,IF('7815'!F25="","",'7815'!F25),"")</f>
        <v/>
      </c>
    </row>
    <row r="508">
      <c r="A508" s="0" t="inlineStr">
        <is>
          <t>7815 – Leadership for Diverse Learners</t>
        </is>
      </c>
      <c r="B508" s="0" t="inlineStr">
        <is>
          <t>7815</t>
        </is>
      </c>
      <c r="C508" s="0" t="n">
        <v>26</v>
      </c>
      <c r="D508" s="0">
        <f>IF(AND(UPPER(TRIM('7815'!A26))="CHOICE",LEN(TRIM('7815'!E26&amp;'7815'!F26))&gt;0),1,0)</f>
        <v/>
      </c>
      <c r="E508" s="0">
        <f>IF(D508=1,MAX(E$1:E507)+1,"")</f>
        <v/>
      </c>
      <c r="F508" s="0">
        <f>IF(D508=1,IFERROR(CHOOSE(MATCH("X",'7815'!G26:L26,0),"①","②","③","④","⑤","⑥"),""),"")</f>
        <v/>
      </c>
      <c r="G508" s="0">
        <f>IF(D508=1,IF('7815'!B26="","",'7815'!B26),"")</f>
        <v/>
      </c>
      <c r="H508" s="0">
        <f>IF(D508=1,'7815'!N26&amp;"","")</f>
        <v/>
      </c>
      <c r="I508" s="0">
        <f>IF(D508=1,'7815'!C26&amp;"","")</f>
        <v/>
      </c>
      <c r="J508" s="0">
        <f>IF(D508=1,'7815'!E26&amp;"","")</f>
        <v/>
      </c>
      <c r="K508" s="0">
        <f>IF(D508=1,'7815'!D26&amp;"","")</f>
        <v/>
      </c>
      <c r="L508" s="0">
        <f>IF(D508=1,IF('7815'!F26="","",'7815'!F26),"")</f>
        <v/>
      </c>
    </row>
    <row r="509">
      <c r="A509" s="0" t="inlineStr">
        <is>
          <t>7815 – Leadership for Diverse Learners</t>
        </is>
      </c>
      <c r="B509" s="0" t="inlineStr">
        <is>
          <t>7815</t>
        </is>
      </c>
      <c r="C509" s="0" t="n">
        <v>27</v>
      </c>
      <c r="D509" s="0">
        <f>IF(AND(UPPER(TRIM('7815'!A27))="CHOICE",LEN(TRIM('7815'!E27&amp;'7815'!F27))&gt;0),1,0)</f>
        <v/>
      </c>
      <c r="E509" s="0">
        <f>IF(D509=1,MAX(E$1:E508)+1,"")</f>
        <v/>
      </c>
      <c r="F509" s="0">
        <f>IF(D509=1,IFERROR(CHOOSE(MATCH("X",'7815'!G27:L27,0),"①","②","③","④","⑤","⑥"),""),"")</f>
        <v/>
      </c>
      <c r="G509" s="0">
        <f>IF(D509=1,IF('7815'!B27="","",'7815'!B27),"")</f>
        <v/>
      </c>
      <c r="H509" s="0">
        <f>IF(D509=1,'7815'!N27&amp;"","")</f>
        <v/>
      </c>
      <c r="I509" s="0">
        <f>IF(D509=1,'7815'!C27&amp;"","")</f>
        <v/>
      </c>
      <c r="J509" s="0">
        <f>IF(D509=1,'7815'!E27&amp;"","")</f>
        <v/>
      </c>
      <c r="K509" s="0">
        <f>IF(D509=1,'7815'!D27&amp;"","")</f>
        <v/>
      </c>
      <c r="L509" s="0">
        <f>IF(D509=1,IF('7815'!F27="","",'7815'!F27),"")</f>
        <v/>
      </c>
    </row>
    <row r="510">
      <c r="A510" s="0" t="inlineStr">
        <is>
          <t>7815 – Leadership for Diverse Learners</t>
        </is>
      </c>
      <c r="B510" s="0" t="inlineStr">
        <is>
          <t>7815</t>
        </is>
      </c>
      <c r="C510" s="0" t="n">
        <v>28</v>
      </c>
      <c r="D510" s="0">
        <f>IF(AND(UPPER(TRIM('7815'!A28))="CHOICE",LEN(TRIM('7815'!E28&amp;'7815'!F28))&gt;0),1,0)</f>
        <v/>
      </c>
      <c r="E510" s="0">
        <f>IF(D510=1,MAX(E$1:E509)+1,"")</f>
        <v/>
      </c>
      <c r="F510" s="0">
        <f>IF(D510=1,IFERROR(CHOOSE(MATCH("X",'7815'!G28:L28,0),"①","②","③","④","⑤","⑥"),""),"")</f>
        <v/>
      </c>
      <c r="G510" s="0">
        <f>IF(D510=1,IF('7815'!B28="","",'7815'!B28),"")</f>
        <v/>
      </c>
      <c r="H510" s="0">
        <f>IF(D510=1,'7815'!N28&amp;"","")</f>
        <v/>
      </c>
      <c r="I510" s="0">
        <f>IF(D510=1,'7815'!C28&amp;"","")</f>
        <v/>
      </c>
      <c r="J510" s="0">
        <f>IF(D510=1,'7815'!E28&amp;"","")</f>
        <v/>
      </c>
      <c r="K510" s="0">
        <f>IF(D510=1,'7815'!D28&amp;"","")</f>
        <v/>
      </c>
      <c r="L510" s="0">
        <f>IF(D510=1,IF('7815'!F28="","",'7815'!F28),"")</f>
        <v/>
      </c>
    </row>
    <row r="511">
      <c r="A511" s="0" t="inlineStr">
        <is>
          <t>7815 – Leadership for Diverse Learners</t>
        </is>
      </c>
      <c r="B511" s="0" t="inlineStr">
        <is>
          <t>7815</t>
        </is>
      </c>
      <c r="C511" s="0" t="n">
        <v>29</v>
      </c>
      <c r="D511" s="0">
        <f>IF(AND(UPPER(TRIM('7815'!A29))="CHOICE",LEN(TRIM('7815'!E29&amp;'7815'!F29))&gt;0),1,0)</f>
        <v/>
      </c>
      <c r="E511" s="0">
        <f>IF(D511=1,MAX(E$1:E510)+1,"")</f>
        <v/>
      </c>
      <c r="F511" s="0">
        <f>IF(D511=1,IFERROR(CHOOSE(MATCH("X",'7815'!G29:L29,0),"①","②","③","④","⑤","⑥"),""),"")</f>
        <v/>
      </c>
      <c r="G511" s="0">
        <f>IF(D511=1,IF('7815'!B29="","",'7815'!B29),"")</f>
        <v/>
      </c>
      <c r="H511" s="0">
        <f>IF(D511=1,'7815'!N29&amp;"","")</f>
        <v/>
      </c>
      <c r="I511" s="0">
        <f>IF(D511=1,'7815'!C29&amp;"","")</f>
        <v/>
      </c>
      <c r="J511" s="0">
        <f>IF(D511=1,'7815'!E29&amp;"","")</f>
        <v/>
      </c>
      <c r="K511" s="0">
        <f>IF(D511=1,'7815'!D29&amp;"","")</f>
        <v/>
      </c>
      <c r="L511" s="0">
        <f>IF(D511=1,IF('7815'!F29="","",'7815'!F29),"")</f>
        <v/>
      </c>
    </row>
    <row r="512">
      <c r="A512" s="0" t="inlineStr">
        <is>
          <t>7815 – Leadership for Diverse Learners</t>
        </is>
      </c>
      <c r="B512" s="0" t="inlineStr">
        <is>
          <t>7815</t>
        </is>
      </c>
      <c r="C512" s="0" t="n">
        <v>30</v>
      </c>
      <c r="D512" s="0">
        <f>IF(AND(UPPER(TRIM('7815'!A30))="CHOICE",LEN(TRIM('7815'!E30&amp;'7815'!F30))&gt;0),1,0)</f>
        <v/>
      </c>
      <c r="E512" s="0">
        <f>IF(D512=1,MAX(E$1:E511)+1,"")</f>
        <v/>
      </c>
      <c r="F512" s="0">
        <f>IF(D512=1,IFERROR(CHOOSE(MATCH("X",'7815'!G30:L30,0),"①","②","③","④","⑤","⑥"),""),"")</f>
        <v/>
      </c>
      <c r="G512" s="0">
        <f>IF(D512=1,IF('7815'!B30="","",'7815'!B30),"")</f>
        <v/>
      </c>
      <c r="H512" s="0">
        <f>IF(D512=1,'7815'!N30&amp;"","")</f>
        <v/>
      </c>
      <c r="I512" s="0">
        <f>IF(D512=1,'7815'!C30&amp;"","")</f>
        <v/>
      </c>
      <c r="J512" s="0">
        <f>IF(D512=1,'7815'!E30&amp;"","")</f>
        <v/>
      </c>
      <c r="K512" s="0">
        <f>IF(D512=1,'7815'!D30&amp;"","")</f>
        <v/>
      </c>
      <c r="L512" s="0">
        <f>IF(D512=1,IF('7815'!F30="","",'7815'!F30),"")</f>
        <v/>
      </c>
    </row>
    <row r="513">
      <c r="A513" s="0" t="inlineStr">
        <is>
          <t>7815 – Leadership for Diverse Learners</t>
        </is>
      </c>
      <c r="B513" s="0" t="inlineStr">
        <is>
          <t>7815</t>
        </is>
      </c>
      <c r="C513" s="0" t="n">
        <v>31</v>
      </c>
      <c r="D513" s="0">
        <f>IF(AND(UPPER(TRIM('7815'!A31))="CHOICE",LEN(TRIM('7815'!E31&amp;'7815'!F31))&gt;0),1,0)</f>
        <v/>
      </c>
      <c r="E513" s="0">
        <f>IF(D513=1,MAX(E$1:E512)+1,"")</f>
        <v/>
      </c>
      <c r="F513" s="0">
        <f>IF(D513=1,IFERROR(CHOOSE(MATCH("X",'7815'!G31:L31,0),"①","②","③","④","⑤","⑥"),""),"")</f>
        <v/>
      </c>
      <c r="G513" s="0">
        <f>IF(D513=1,IF('7815'!B31="","",'7815'!B31),"")</f>
        <v/>
      </c>
      <c r="H513" s="0">
        <f>IF(D513=1,'7815'!N31&amp;"","")</f>
        <v/>
      </c>
      <c r="I513" s="0">
        <f>IF(D513=1,'7815'!C31&amp;"","")</f>
        <v/>
      </c>
      <c r="J513" s="0">
        <f>IF(D513=1,'7815'!E31&amp;"","")</f>
        <v/>
      </c>
      <c r="K513" s="0">
        <f>IF(D513=1,'7815'!D31&amp;"","")</f>
        <v/>
      </c>
      <c r="L513" s="0">
        <f>IF(D513=1,IF('7815'!F31="","",'7815'!F31),"")</f>
        <v/>
      </c>
    </row>
    <row r="514">
      <c r="A514" s="0" t="inlineStr">
        <is>
          <t>7815 – Leadership for Diverse Learners</t>
        </is>
      </c>
      <c r="B514" s="0" t="inlineStr">
        <is>
          <t>7815</t>
        </is>
      </c>
      <c r="C514" s="0" t="n">
        <v>32</v>
      </c>
      <c r="D514" s="0">
        <f>IF(AND(UPPER(TRIM('7815'!A32))="CHOICE",LEN(TRIM('7815'!E32&amp;'7815'!F32))&gt;0),1,0)</f>
        <v/>
      </c>
      <c r="E514" s="0">
        <f>IF(D514=1,MAX(E$1:E513)+1,"")</f>
        <v/>
      </c>
      <c r="F514" s="0">
        <f>IF(D514=1,IFERROR(CHOOSE(MATCH("X",'7815'!G32:L32,0),"①","②","③","④","⑤","⑥"),""),"")</f>
        <v/>
      </c>
      <c r="G514" s="0">
        <f>IF(D514=1,IF('7815'!B32="","",'7815'!B32),"")</f>
        <v/>
      </c>
      <c r="H514" s="0">
        <f>IF(D514=1,'7815'!N32&amp;"","")</f>
        <v/>
      </c>
      <c r="I514" s="0">
        <f>IF(D514=1,'7815'!C32&amp;"","")</f>
        <v/>
      </c>
      <c r="J514" s="0">
        <f>IF(D514=1,'7815'!E32&amp;"","")</f>
        <v/>
      </c>
      <c r="K514" s="0">
        <f>IF(D514=1,'7815'!D32&amp;"","")</f>
        <v/>
      </c>
      <c r="L514" s="0">
        <f>IF(D514=1,IF('7815'!F32="","",'7815'!F32),"")</f>
        <v/>
      </c>
    </row>
    <row r="515">
      <c r="A515" s="0" t="inlineStr">
        <is>
          <t>7815 – Leadership for Diverse Learners</t>
        </is>
      </c>
      <c r="B515" s="0" t="inlineStr">
        <is>
          <t>7815</t>
        </is>
      </c>
      <c r="C515" s="0" t="n">
        <v>33</v>
      </c>
      <c r="D515" s="0">
        <f>IF(AND(UPPER(TRIM('7815'!A33))="CHOICE",LEN(TRIM('7815'!E33&amp;'7815'!F33))&gt;0),1,0)</f>
        <v/>
      </c>
      <c r="E515" s="0">
        <f>IF(D515=1,MAX(E$1:E514)+1,"")</f>
        <v/>
      </c>
      <c r="F515" s="0">
        <f>IF(D515=1,IFERROR(CHOOSE(MATCH("X",'7815'!G33:L33,0),"①","②","③","④","⑤","⑥"),""),"")</f>
        <v/>
      </c>
      <c r="G515" s="0">
        <f>IF(D515=1,IF('7815'!B33="","",'7815'!B33),"")</f>
        <v/>
      </c>
      <c r="H515" s="0">
        <f>IF(D515=1,'7815'!N33&amp;"","")</f>
        <v/>
      </c>
      <c r="I515" s="0">
        <f>IF(D515=1,'7815'!C33&amp;"","")</f>
        <v/>
      </c>
      <c r="J515" s="0">
        <f>IF(D515=1,'7815'!E33&amp;"","")</f>
        <v/>
      </c>
      <c r="K515" s="0">
        <f>IF(D515=1,'7815'!D33&amp;"","")</f>
        <v/>
      </c>
      <c r="L515" s="0">
        <f>IF(D515=1,IF('7815'!F33="","",'7815'!F33),"")</f>
        <v/>
      </c>
    </row>
    <row r="516">
      <c r="A516" s="0" t="inlineStr">
        <is>
          <t>7815 – Leadership for Diverse Learners</t>
        </is>
      </c>
      <c r="B516" s="0" t="inlineStr">
        <is>
          <t>7815</t>
        </is>
      </c>
      <c r="C516" s="0" t="n">
        <v>34</v>
      </c>
      <c r="D516" s="0">
        <f>IF(AND(UPPER(TRIM('7815'!A34))="CHOICE",LEN(TRIM('7815'!E34&amp;'7815'!F34))&gt;0),1,0)</f>
        <v/>
      </c>
      <c r="E516" s="0">
        <f>IF(D516=1,MAX(E$1:E515)+1,"")</f>
        <v/>
      </c>
      <c r="F516" s="0">
        <f>IF(D516=1,IFERROR(CHOOSE(MATCH("X",'7815'!G34:L34,0),"①","②","③","④","⑤","⑥"),""),"")</f>
        <v/>
      </c>
      <c r="G516" s="0">
        <f>IF(D516=1,IF('7815'!B34="","",'7815'!B34),"")</f>
        <v/>
      </c>
      <c r="H516" s="0">
        <f>IF(D516=1,'7815'!N34&amp;"","")</f>
        <v/>
      </c>
      <c r="I516" s="0">
        <f>IF(D516=1,'7815'!C34&amp;"","")</f>
        <v/>
      </c>
      <c r="J516" s="0">
        <f>IF(D516=1,'7815'!E34&amp;"","")</f>
        <v/>
      </c>
      <c r="K516" s="0">
        <f>IF(D516=1,'7815'!D34&amp;"","")</f>
        <v/>
      </c>
      <c r="L516" s="0">
        <f>IF(D516=1,IF('7815'!F34="","",'7815'!F34),"")</f>
        <v/>
      </c>
    </row>
    <row r="517">
      <c r="A517" s="0" t="inlineStr">
        <is>
          <t>7815 – Leadership for Diverse Learners</t>
        </is>
      </c>
      <c r="B517" s="0" t="inlineStr">
        <is>
          <t>7815</t>
        </is>
      </c>
      <c r="C517" s="0" t="n">
        <v>35</v>
      </c>
      <c r="D517" s="0">
        <f>IF(AND(UPPER(TRIM('7815'!A35))="CHOICE",LEN(TRIM('7815'!E35&amp;'7815'!F35))&gt;0),1,0)</f>
        <v/>
      </c>
      <c r="E517" s="0">
        <f>IF(D517=1,MAX(E$1:E516)+1,"")</f>
        <v/>
      </c>
      <c r="F517" s="0">
        <f>IF(D517=1,IFERROR(CHOOSE(MATCH("X",'7815'!G35:L35,0),"①","②","③","④","⑤","⑥"),""),"")</f>
        <v/>
      </c>
      <c r="G517" s="0">
        <f>IF(D517=1,IF('7815'!B35="","",'7815'!B35),"")</f>
        <v/>
      </c>
      <c r="H517" s="0">
        <f>IF(D517=1,'7815'!N35&amp;"","")</f>
        <v/>
      </c>
      <c r="I517" s="0">
        <f>IF(D517=1,'7815'!C35&amp;"","")</f>
        <v/>
      </c>
      <c r="J517" s="0">
        <f>IF(D517=1,'7815'!E35&amp;"","")</f>
        <v/>
      </c>
      <c r="K517" s="0">
        <f>IF(D517=1,'7815'!D35&amp;"","")</f>
        <v/>
      </c>
      <c r="L517" s="0">
        <f>IF(D517=1,IF('7815'!F35="","",'7815'!F35),"")</f>
        <v/>
      </c>
    </row>
    <row r="518">
      <c r="A518" s="0" t="inlineStr">
        <is>
          <t>7815 – Leadership for Diverse Learners</t>
        </is>
      </c>
      <c r="B518" s="0" t="inlineStr">
        <is>
          <t>7815</t>
        </is>
      </c>
      <c r="C518" s="0" t="n">
        <v>36</v>
      </c>
      <c r="D518" s="0">
        <f>IF(AND(UPPER(TRIM('7815'!A36))="CHOICE",LEN(TRIM('7815'!E36&amp;'7815'!F36))&gt;0),1,0)</f>
        <v/>
      </c>
      <c r="E518" s="0">
        <f>IF(D518=1,MAX(E$1:E517)+1,"")</f>
        <v/>
      </c>
      <c r="F518" s="0">
        <f>IF(D518=1,IFERROR(CHOOSE(MATCH("X",'7815'!G36:L36,0),"①","②","③","④","⑤","⑥"),""),"")</f>
        <v/>
      </c>
      <c r="G518" s="0">
        <f>IF(D518=1,IF('7815'!B36="","",'7815'!B36),"")</f>
        <v/>
      </c>
      <c r="H518" s="0">
        <f>IF(D518=1,'7815'!N36&amp;"","")</f>
        <v/>
      </c>
      <c r="I518" s="0">
        <f>IF(D518=1,'7815'!C36&amp;"","")</f>
        <v/>
      </c>
      <c r="J518" s="0">
        <f>IF(D518=1,'7815'!E36&amp;"","")</f>
        <v/>
      </c>
      <c r="K518" s="0">
        <f>IF(D518=1,'7815'!D36&amp;"","")</f>
        <v/>
      </c>
      <c r="L518" s="0">
        <f>IF(D518=1,IF('7815'!F36="","",'7815'!F36),"")</f>
        <v/>
      </c>
    </row>
    <row r="519">
      <c r="A519" s="0" t="inlineStr">
        <is>
          <t>7815 – Leadership for Diverse Learners</t>
        </is>
      </c>
      <c r="B519" s="0" t="inlineStr">
        <is>
          <t>7815</t>
        </is>
      </c>
      <c r="C519" s="0" t="n">
        <v>37</v>
      </c>
      <c r="D519" s="0">
        <f>IF(AND(UPPER(TRIM('7815'!A37))="CHOICE",LEN(TRIM('7815'!E37&amp;'7815'!F37))&gt;0),1,0)</f>
        <v/>
      </c>
      <c r="E519" s="0">
        <f>IF(D519=1,MAX(E$1:E518)+1,"")</f>
        <v/>
      </c>
      <c r="F519" s="0">
        <f>IF(D519=1,IFERROR(CHOOSE(MATCH("X",'7815'!G37:L37,0),"①","②","③","④","⑤","⑥"),""),"")</f>
        <v/>
      </c>
      <c r="G519" s="0">
        <f>IF(D519=1,IF('7815'!B37="","",'7815'!B37),"")</f>
        <v/>
      </c>
      <c r="H519" s="0">
        <f>IF(D519=1,'7815'!N37&amp;"","")</f>
        <v/>
      </c>
      <c r="I519" s="0">
        <f>IF(D519=1,'7815'!C37&amp;"","")</f>
        <v/>
      </c>
      <c r="J519" s="0">
        <f>IF(D519=1,'7815'!E37&amp;"","")</f>
        <v/>
      </c>
      <c r="K519" s="0">
        <f>IF(D519=1,'7815'!D37&amp;"","")</f>
        <v/>
      </c>
      <c r="L519" s="0">
        <f>IF(D519=1,IF('7815'!F37="","",'7815'!F37),"")</f>
        <v/>
      </c>
    </row>
    <row r="520">
      <c r="A520" s="0" t="inlineStr">
        <is>
          <t>7815 – Leadership for Diverse Learners</t>
        </is>
      </c>
      <c r="B520" s="0" t="inlineStr">
        <is>
          <t>7815</t>
        </is>
      </c>
      <c r="C520" s="0" t="n">
        <v>38</v>
      </c>
      <c r="D520" s="0">
        <f>IF(AND(UPPER(TRIM('7815'!A38))="CHOICE",LEN(TRIM('7815'!E38&amp;'7815'!F38))&gt;0),1,0)</f>
        <v/>
      </c>
      <c r="E520" s="0">
        <f>IF(D520=1,MAX(E$1:E519)+1,"")</f>
        <v/>
      </c>
      <c r="F520" s="0">
        <f>IF(D520=1,IFERROR(CHOOSE(MATCH("X",'7815'!G38:L38,0),"①","②","③","④","⑤","⑥"),""),"")</f>
        <v/>
      </c>
      <c r="G520" s="0">
        <f>IF(D520=1,IF('7815'!B38="","",'7815'!B38),"")</f>
        <v/>
      </c>
      <c r="H520" s="0">
        <f>IF(D520=1,'7815'!N38&amp;"","")</f>
        <v/>
      </c>
      <c r="I520" s="0">
        <f>IF(D520=1,'7815'!C38&amp;"","")</f>
        <v/>
      </c>
      <c r="J520" s="0">
        <f>IF(D520=1,'7815'!E38&amp;"","")</f>
        <v/>
      </c>
      <c r="K520" s="0">
        <f>IF(D520=1,'7815'!D38&amp;"","")</f>
        <v/>
      </c>
      <c r="L520" s="0">
        <f>IF(D520=1,IF('7815'!F38="","",'7815'!F38),"")</f>
        <v/>
      </c>
    </row>
    <row r="521">
      <c r="A521" s="0" t="inlineStr">
        <is>
          <t>7815 – Leadership for Diverse Learners</t>
        </is>
      </c>
      <c r="B521" s="0" t="inlineStr">
        <is>
          <t>7815</t>
        </is>
      </c>
      <c r="C521" s="0" t="n">
        <v>39</v>
      </c>
      <c r="D521" s="0">
        <f>IF(AND(UPPER(TRIM('7815'!A39))="CHOICE",LEN(TRIM('7815'!E39&amp;'7815'!F39))&gt;0),1,0)</f>
        <v/>
      </c>
      <c r="E521" s="0">
        <f>IF(D521=1,MAX(E$1:E520)+1,"")</f>
        <v/>
      </c>
      <c r="F521" s="0">
        <f>IF(D521=1,IFERROR(CHOOSE(MATCH("X",'7815'!G39:L39,0),"①","②","③","④","⑤","⑥"),""),"")</f>
        <v/>
      </c>
      <c r="G521" s="0">
        <f>IF(D521=1,IF('7815'!B39="","",'7815'!B39),"")</f>
        <v/>
      </c>
      <c r="H521" s="0">
        <f>IF(D521=1,'7815'!N39&amp;"","")</f>
        <v/>
      </c>
      <c r="I521" s="0">
        <f>IF(D521=1,'7815'!C39&amp;"","")</f>
        <v/>
      </c>
      <c r="J521" s="0">
        <f>IF(D521=1,'7815'!E39&amp;"","")</f>
        <v/>
      </c>
      <c r="K521" s="0">
        <f>IF(D521=1,'7815'!D39&amp;"","")</f>
        <v/>
      </c>
      <c r="L521" s="0">
        <f>IF(D521=1,IF('7815'!F39="","",'7815'!F39),"")</f>
        <v/>
      </c>
    </row>
    <row r="522">
      <c r="A522" s="0" t="inlineStr">
        <is>
          <t>7815 – Leadership for Diverse Learners</t>
        </is>
      </c>
      <c r="B522" s="0" t="inlineStr">
        <is>
          <t>7815</t>
        </is>
      </c>
      <c r="C522" s="0" t="n">
        <v>40</v>
      </c>
      <c r="D522" s="0">
        <f>IF(AND(UPPER(TRIM('7815'!A40))="CHOICE",LEN(TRIM('7815'!E40&amp;'7815'!F40))&gt;0),1,0)</f>
        <v/>
      </c>
      <c r="E522" s="0">
        <f>IF(D522=1,MAX(E$1:E521)+1,"")</f>
        <v/>
      </c>
      <c r="F522" s="0">
        <f>IF(D522=1,IFERROR(CHOOSE(MATCH("X",'7815'!G40:L40,0),"①","②","③","④","⑤","⑥"),""),"")</f>
        <v/>
      </c>
      <c r="G522" s="0">
        <f>IF(D522=1,IF('7815'!B40="","",'7815'!B40),"")</f>
        <v/>
      </c>
      <c r="H522" s="0">
        <f>IF(D522=1,'7815'!N40&amp;"","")</f>
        <v/>
      </c>
      <c r="I522" s="0">
        <f>IF(D522=1,'7815'!C40&amp;"","")</f>
        <v/>
      </c>
      <c r="J522" s="0">
        <f>IF(D522=1,'7815'!E40&amp;"","")</f>
        <v/>
      </c>
      <c r="K522" s="0">
        <f>IF(D522=1,'7815'!D40&amp;"","")</f>
        <v/>
      </c>
      <c r="L522" s="0">
        <f>IF(D522=1,IF('7815'!F40="","",'7815'!F40),"")</f>
        <v/>
      </c>
    </row>
    <row r="523">
      <c r="A523" s="0" t="inlineStr">
        <is>
          <t>7815 – Leadership for Diverse Learners</t>
        </is>
      </c>
      <c r="B523" s="0" t="inlineStr">
        <is>
          <t>7815</t>
        </is>
      </c>
      <c r="C523" s="0" t="n">
        <v>41</v>
      </c>
      <c r="D523" s="0">
        <f>IF(AND(UPPER(TRIM('7815'!A41))="CHOICE",LEN(TRIM('7815'!E41&amp;'7815'!F41))&gt;0),1,0)</f>
        <v/>
      </c>
      <c r="E523" s="0">
        <f>IF(D523=1,MAX(E$1:E522)+1,"")</f>
        <v/>
      </c>
      <c r="F523" s="0">
        <f>IF(D523=1,IFERROR(CHOOSE(MATCH("X",'7815'!G41:L41,0),"①","②","③","④","⑤","⑥"),""),"")</f>
        <v/>
      </c>
      <c r="G523" s="0">
        <f>IF(D523=1,IF('7815'!B41="","",'7815'!B41),"")</f>
        <v/>
      </c>
      <c r="H523" s="0">
        <f>IF(D523=1,'7815'!N41&amp;"","")</f>
        <v/>
      </c>
      <c r="I523" s="0">
        <f>IF(D523=1,'7815'!C41&amp;"","")</f>
        <v/>
      </c>
      <c r="J523" s="0">
        <f>IF(D523=1,'7815'!E41&amp;"","")</f>
        <v/>
      </c>
      <c r="K523" s="0">
        <f>IF(D523=1,'7815'!D41&amp;"","")</f>
        <v/>
      </c>
      <c r="L523" s="0">
        <f>IF(D523=1,IF('7815'!F41="","",'7815'!F41),"")</f>
        <v/>
      </c>
    </row>
    <row r="524">
      <c r="A524" s="0" t="inlineStr">
        <is>
          <t>7815 – Leadership for Diverse Learners</t>
        </is>
      </c>
      <c r="B524" s="0" t="inlineStr">
        <is>
          <t>7815</t>
        </is>
      </c>
      <c r="C524" s="0" t="n">
        <v>42</v>
      </c>
      <c r="D524" s="0">
        <f>IF(AND(UPPER(TRIM('7815'!A42))="CHOICE",LEN(TRIM('7815'!E42&amp;'7815'!F42))&gt;0),1,0)</f>
        <v/>
      </c>
      <c r="E524" s="0">
        <f>IF(D524=1,MAX(E$1:E523)+1,"")</f>
        <v/>
      </c>
      <c r="F524" s="0">
        <f>IF(D524=1,IFERROR(CHOOSE(MATCH("X",'7815'!G42:L42,0),"①","②","③","④","⑤","⑥"),""),"")</f>
        <v/>
      </c>
      <c r="G524" s="0">
        <f>IF(D524=1,IF('7815'!B42="","",'7815'!B42),"")</f>
        <v/>
      </c>
      <c r="H524" s="0">
        <f>IF(D524=1,'7815'!N42&amp;"","")</f>
        <v/>
      </c>
      <c r="I524" s="0">
        <f>IF(D524=1,'7815'!C42&amp;"","")</f>
        <v/>
      </c>
      <c r="J524" s="0">
        <f>IF(D524=1,'7815'!E42&amp;"","")</f>
        <v/>
      </c>
      <c r="K524" s="0">
        <f>IF(D524=1,'7815'!D42&amp;"","")</f>
        <v/>
      </c>
      <c r="L524" s="0">
        <f>IF(D524=1,IF('7815'!F42="","",'7815'!F42),"")</f>
        <v/>
      </c>
    </row>
    <row r="525">
      <c r="A525" s="0" t="inlineStr">
        <is>
          <t>7815 – Leadership for Diverse Learners</t>
        </is>
      </c>
      <c r="B525" s="0" t="inlineStr">
        <is>
          <t>7815</t>
        </is>
      </c>
      <c r="C525" s="0" t="n">
        <v>43</v>
      </c>
      <c r="D525" s="0">
        <f>IF(AND(UPPER(TRIM('7815'!A43))="CHOICE",LEN(TRIM('7815'!E43&amp;'7815'!F43))&gt;0),1,0)</f>
        <v/>
      </c>
      <c r="E525" s="0">
        <f>IF(D525=1,MAX(E$1:E524)+1,"")</f>
        <v/>
      </c>
      <c r="F525" s="0">
        <f>IF(D525=1,IFERROR(CHOOSE(MATCH("X",'7815'!G43:L43,0),"①","②","③","④","⑤","⑥"),""),"")</f>
        <v/>
      </c>
      <c r="G525" s="0">
        <f>IF(D525=1,IF('7815'!B43="","",'7815'!B43),"")</f>
        <v/>
      </c>
      <c r="H525" s="0">
        <f>IF(D525=1,'7815'!N43&amp;"","")</f>
        <v/>
      </c>
      <c r="I525" s="0">
        <f>IF(D525=1,'7815'!C43&amp;"","")</f>
        <v/>
      </c>
      <c r="J525" s="0">
        <f>IF(D525=1,'7815'!E43&amp;"","")</f>
        <v/>
      </c>
      <c r="K525" s="0">
        <f>IF(D525=1,'7815'!D43&amp;"","")</f>
        <v/>
      </c>
      <c r="L525" s="0">
        <f>IF(D525=1,IF('7815'!F43="","",'7815'!F43),"")</f>
        <v/>
      </c>
    </row>
    <row r="526">
      <c r="A526" s="0" t="inlineStr">
        <is>
          <t>7815 – Leadership for Diverse Learners</t>
        </is>
      </c>
      <c r="B526" s="0" t="inlineStr">
        <is>
          <t>7815</t>
        </is>
      </c>
      <c r="C526" s="0" t="n">
        <v>44</v>
      </c>
      <c r="D526" s="0">
        <f>IF(AND(UPPER(TRIM('7815'!A44))="CHOICE",LEN(TRIM('7815'!E44&amp;'7815'!F44))&gt;0),1,0)</f>
        <v/>
      </c>
      <c r="E526" s="0">
        <f>IF(D526=1,MAX(E$1:E525)+1,"")</f>
        <v/>
      </c>
      <c r="F526" s="0">
        <f>IF(D526=1,IFERROR(CHOOSE(MATCH("X",'7815'!G44:L44,0),"①","②","③","④","⑤","⑥"),""),"")</f>
        <v/>
      </c>
      <c r="G526" s="0">
        <f>IF(D526=1,IF('7815'!B44="","",'7815'!B44),"")</f>
        <v/>
      </c>
      <c r="H526" s="0">
        <f>IF(D526=1,'7815'!N44&amp;"","")</f>
        <v/>
      </c>
      <c r="I526" s="0">
        <f>IF(D526=1,'7815'!C44&amp;"","")</f>
        <v/>
      </c>
      <c r="J526" s="0">
        <f>IF(D526=1,'7815'!E44&amp;"","")</f>
        <v/>
      </c>
      <c r="K526" s="0">
        <f>IF(D526=1,'7815'!D44&amp;"","")</f>
        <v/>
      </c>
      <c r="L526" s="0">
        <f>IF(D526=1,IF('7815'!F44="","",'7815'!F44),"")</f>
        <v/>
      </c>
    </row>
    <row r="527">
      <c r="A527" s="0" t="inlineStr">
        <is>
          <t>7815 – Leadership for Diverse Learners</t>
        </is>
      </c>
      <c r="B527" s="0" t="inlineStr">
        <is>
          <t>7815</t>
        </is>
      </c>
      <c r="C527" s="0" t="n">
        <v>45</v>
      </c>
      <c r="D527" s="0">
        <f>IF(AND(UPPER(TRIM('7815'!A45))="CHOICE",LEN(TRIM('7815'!E45&amp;'7815'!F45))&gt;0),1,0)</f>
        <v/>
      </c>
      <c r="E527" s="0">
        <f>IF(D527=1,MAX(E$1:E526)+1,"")</f>
        <v/>
      </c>
      <c r="F527" s="0">
        <f>IF(D527=1,IFERROR(CHOOSE(MATCH("X",'7815'!G45:L45,0),"①","②","③","④","⑤","⑥"),""),"")</f>
        <v/>
      </c>
      <c r="G527" s="0">
        <f>IF(D527=1,IF('7815'!B45="","",'7815'!B45),"")</f>
        <v/>
      </c>
      <c r="H527" s="0">
        <f>IF(D527=1,'7815'!N45&amp;"","")</f>
        <v/>
      </c>
      <c r="I527" s="0">
        <f>IF(D527=1,'7815'!C45&amp;"","")</f>
        <v/>
      </c>
      <c r="J527" s="0">
        <f>IF(D527=1,'7815'!E45&amp;"","")</f>
        <v/>
      </c>
      <c r="K527" s="0">
        <f>IF(D527=1,'7815'!D45&amp;"","")</f>
        <v/>
      </c>
      <c r="L527" s="0">
        <f>IF(D527=1,IF('7815'!F45="","",'7815'!F45),"")</f>
        <v/>
      </c>
    </row>
    <row r="528">
      <c r="A528" s="0" t="inlineStr">
        <is>
          <t>7815 – Leadership for Diverse Learners</t>
        </is>
      </c>
      <c r="B528" s="0" t="inlineStr">
        <is>
          <t>7815</t>
        </is>
      </c>
      <c r="C528" s="0" t="n">
        <v>46</v>
      </c>
      <c r="D528" s="0">
        <f>IF(AND(UPPER(TRIM('7815'!A46))="CHOICE",LEN(TRIM('7815'!E46&amp;'7815'!F46))&gt;0),1,0)</f>
        <v/>
      </c>
      <c r="E528" s="0">
        <f>IF(D528=1,MAX(E$1:E527)+1,"")</f>
        <v/>
      </c>
      <c r="F528" s="0">
        <f>IF(D528=1,IFERROR(CHOOSE(MATCH("X",'7815'!G46:L46,0),"①","②","③","④","⑤","⑥"),""),"")</f>
        <v/>
      </c>
      <c r="G528" s="0">
        <f>IF(D528=1,IF('7815'!B46="","",'7815'!B46),"")</f>
        <v/>
      </c>
      <c r="H528" s="0">
        <f>IF(D528=1,'7815'!N46&amp;"","")</f>
        <v/>
      </c>
      <c r="I528" s="0">
        <f>IF(D528=1,'7815'!C46&amp;"","")</f>
        <v/>
      </c>
      <c r="J528" s="0">
        <f>IF(D528=1,'7815'!E46&amp;"","")</f>
        <v/>
      </c>
      <c r="K528" s="0">
        <f>IF(D528=1,'7815'!D46&amp;"","")</f>
        <v/>
      </c>
      <c r="L528" s="0">
        <f>IF(D528=1,IF('7815'!F46="","",'7815'!F46),"")</f>
        <v/>
      </c>
    </row>
    <row r="529">
      <c r="A529" s="0" t="inlineStr">
        <is>
          <t>7815 – Leadership for Diverse Learners</t>
        </is>
      </c>
      <c r="B529" s="0" t="inlineStr">
        <is>
          <t>7815</t>
        </is>
      </c>
      <c r="C529" s="0" t="n">
        <v>47</v>
      </c>
      <c r="D529" s="0">
        <f>IF(AND(UPPER(TRIM('7815'!A47))="CHOICE",LEN(TRIM('7815'!E47&amp;'7815'!F47))&gt;0),1,0)</f>
        <v/>
      </c>
      <c r="E529" s="0">
        <f>IF(D529=1,MAX(E$1:E528)+1,"")</f>
        <v/>
      </c>
      <c r="F529" s="0">
        <f>IF(D529=1,IFERROR(CHOOSE(MATCH("X",'7815'!G47:L47,0),"①","②","③","④","⑤","⑥"),""),"")</f>
        <v/>
      </c>
      <c r="G529" s="0">
        <f>IF(D529=1,IF('7815'!B47="","",'7815'!B47),"")</f>
        <v/>
      </c>
      <c r="H529" s="0">
        <f>IF(D529=1,'7815'!N47&amp;"","")</f>
        <v/>
      </c>
      <c r="I529" s="0">
        <f>IF(D529=1,'7815'!C47&amp;"","")</f>
        <v/>
      </c>
      <c r="J529" s="0">
        <f>IF(D529=1,'7815'!E47&amp;"","")</f>
        <v/>
      </c>
      <c r="K529" s="0">
        <f>IF(D529=1,'7815'!D47&amp;"","")</f>
        <v/>
      </c>
      <c r="L529" s="0">
        <f>IF(D529=1,IF('7815'!F47="","",'7815'!F47),"")</f>
        <v/>
      </c>
    </row>
    <row r="530">
      <c r="A530" s="0" t="inlineStr">
        <is>
          <t>7815 – Leadership for Diverse Learners</t>
        </is>
      </c>
      <c r="B530" s="0" t="inlineStr">
        <is>
          <t>7815</t>
        </is>
      </c>
      <c r="C530" s="0" t="n">
        <v>48</v>
      </c>
      <c r="D530" s="0">
        <f>IF(AND(UPPER(TRIM('7815'!A48))="CHOICE",LEN(TRIM('7815'!E48&amp;'7815'!F48))&gt;0),1,0)</f>
        <v/>
      </c>
      <c r="E530" s="0">
        <f>IF(D530=1,MAX(E$1:E529)+1,"")</f>
        <v/>
      </c>
      <c r="F530" s="0">
        <f>IF(D530=1,IFERROR(CHOOSE(MATCH("X",'7815'!G48:L48,0),"①","②","③","④","⑤","⑥"),""),"")</f>
        <v/>
      </c>
      <c r="G530" s="0">
        <f>IF(D530=1,IF('7815'!B48="","",'7815'!B48),"")</f>
        <v/>
      </c>
      <c r="H530" s="0">
        <f>IF(D530=1,'7815'!N48&amp;"","")</f>
        <v/>
      </c>
      <c r="I530" s="0">
        <f>IF(D530=1,'7815'!C48&amp;"","")</f>
        <v/>
      </c>
      <c r="J530" s="0">
        <f>IF(D530=1,'7815'!E48&amp;"","")</f>
        <v/>
      </c>
      <c r="K530" s="0">
        <f>IF(D530=1,'7815'!D48&amp;"","")</f>
        <v/>
      </c>
      <c r="L530" s="0">
        <f>IF(D530=1,IF('7815'!F48="","",'7815'!F48),"")</f>
        <v/>
      </c>
    </row>
    <row r="531">
      <c r="A531" s="0" t="inlineStr">
        <is>
          <t>7815 – Leadership for Diverse Learners</t>
        </is>
      </c>
      <c r="B531" s="0" t="inlineStr">
        <is>
          <t>7815</t>
        </is>
      </c>
      <c r="C531" s="0" t="n">
        <v>49</v>
      </c>
      <c r="D531" s="0">
        <f>IF(AND(UPPER(TRIM('7815'!A49))="CHOICE",LEN(TRIM('7815'!E49&amp;'7815'!F49))&gt;0),1,0)</f>
        <v/>
      </c>
      <c r="E531" s="0">
        <f>IF(D531=1,MAX(E$1:E530)+1,"")</f>
        <v/>
      </c>
      <c r="F531" s="0">
        <f>IF(D531=1,IFERROR(CHOOSE(MATCH("X",'7815'!G49:L49,0),"①","②","③","④","⑤","⑥"),""),"")</f>
        <v/>
      </c>
      <c r="G531" s="0">
        <f>IF(D531=1,IF('7815'!B49="","",'7815'!B49),"")</f>
        <v/>
      </c>
      <c r="H531" s="0">
        <f>IF(D531=1,'7815'!N49&amp;"","")</f>
        <v/>
      </c>
      <c r="I531" s="0">
        <f>IF(D531=1,'7815'!C49&amp;"","")</f>
        <v/>
      </c>
      <c r="J531" s="0">
        <f>IF(D531=1,'7815'!E49&amp;"","")</f>
        <v/>
      </c>
      <c r="K531" s="0">
        <f>IF(D531=1,'7815'!D49&amp;"","")</f>
        <v/>
      </c>
      <c r="L531" s="0">
        <f>IF(D531=1,IF('7815'!F49="","",'7815'!F49),"")</f>
        <v/>
      </c>
    </row>
    <row r="532">
      <c r="A532" s="0" t="inlineStr">
        <is>
          <t>7815 – Leadership for Diverse Learners</t>
        </is>
      </c>
      <c r="B532" s="0" t="inlineStr">
        <is>
          <t>7815</t>
        </is>
      </c>
      <c r="C532" s="0" t="n">
        <v>50</v>
      </c>
      <c r="D532" s="0">
        <f>IF(AND(UPPER(TRIM('7815'!A50))="CHOICE",LEN(TRIM('7815'!E50&amp;'7815'!F50))&gt;0),1,0)</f>
        <v/>
      </c>
      <c r="E532" s="0">
        <f>IF(D532=1,MAX(E$1:E531)+1,"")</f>
        <v/>
      </c>
      <c r="F532" s="0">
        <f>IF(D532=1,IFERROR(CHOOSE(MATCH("X",'7815'!G50:L50,0),"①","②","③","④","⑤","⑥"),""),"")</f>
        <v/>
      </c>
      <c r="G532" s="0">
        <f>IF(D532=1,IF('7815'!B50="","",'7815'!B50),"")</f>
        <v/>
      </c>
      <c r="H532" s="0">
        <f>IF(D532=1,'7815'!N50&amp;"","")</f>
        <v/>
      </c>
      <c r="I532" s="0">
        <f>IF(D532=1,'7815'!C50&amp;"","")</f>
        <v/>
      </c>
      <c r="J532" s="0">
        <f>IF(D532=1,'7815'!E50&amp;"","")</f>
        <v/>
      </c>
      <c r="K532" s="0">
        <f>IF(D532=1,'7815'!D50&amp;"","")</f>
        <v/>
      </c>
      <c r="L532" s="0">
        <f>IF(D532=1,IF('7815'!F50="","",'7815'!F50),"")</f>
        <v/>
      </c>
    </row>
    <row r="533">
      <c r="A533" s="0" t="inlineStr">
        <is>
          <t>7815 – Leadership for Diverse Learners</t>
        </is>
      </c>
      <c r="B533" s="0" t="inlineStr">
        <is>
          <t>7815</t>
        </is>
      </c>
      <c r="C533" s="0" t="n">
        <v>51</v>
      </c>
      <c r="D533" s="0">
        <f>IF(AND(UPPER(TRIM('7815'!A51))="CHOICE",LEN(TRIM('7815'!E51&amp;'7815'!F51))&gt;0),1,0)</f>
        <v/>
      </c>
      <c r="E533" s="0">
        <f>IF(D533=1,MAX(E$1:E532)+1,"")</f>
        <v/>
      </c>
      <c r="F533" s="0">
        <f>IF(D533=1,IFERROR(CHOOSE(MATCH("X",'7815'!G51:L51,0),"①","②","③","④","⑤","⑥"),""),"")</f>
        <v/>
      </c>
      <c r="G533" s="0">
        <f>IF(D533=1,IF('7815'!B51="","",'7815'!B51),"")</f>
        <v/>
      </c>
      <c r="H533" s="0">
        <f>IF(D533=1,'7815'!N51&amp;"","")</f>
        <v/>
      </c>
      <c r="I533" s="0">
        <f>IF(D533=1,'7815'!C51&amp;"","")</f>
        <v/>
      </c>
      <c r="J533" s="0">
        <f>IF(D533=1,'7815'!E51&amp;"","")</f>
        <v/>
      </c>
      <c r="K533" s="0">
        <f>IF(D533=1,'7815'!D51&amp;"","")</f>
        <v/>
      </c>
      <c r="L533" s="0">
        <f>IF(D533=1,IF('7815'!F51="","",'7815'!F51),"")</f>
        <v/>
      </c>
    </row>
    <row r="534">
      <c r="A534" s="0" t="inlineStr">
        <is>
          <t>7815 – Leadership for Diverse Learners</t>
        </is>
      </c>
      <c r="B534" s="0" t="inlineStr">
        <is>
          <t>7815</t>
        </is>
      </c>
      <c r="C534" s="0" t="n">
        <v>52</v>
      </c>
      <c r="D534" s="0">
        <f>IF(AND(UPPER(TRIM('7815'!A52))="CHOICE",LEN(TRIM('7815'!E52&amp;'7815'!F52))&gt;0),1,0)</f>
        <v/>
      </c>
      <c r="E534" s="0">
        <f>IF(D534=1,MAX(E$1:E533)+1,"")</f>
        <v/>
      </c>
      <c r="F534" s="0">
        <f>IF(D534=1,IFERROR(CHOOSE(MATCH("X",'7815'!G52:L52,0),"①","②","③","④","⑤","⑥"),""),"")</f>
        <v/>
      </c>
      <c r="G534" s="0">
        <f>IF(D534=1,IF('7815'!B52="","",'7815'!B52),"")</f>
        <v/>
      </c>
      <c r="H534" s="0">
        <f>IF(D534=1,'7815'!N52&amp;"","")</f>
        <v/>
      </c>
      <c r="I534" s="0">
        <f>IF(D534=1,'7815'!C52&amp;"","")</f>
        <v/>
      </c>
      <c r="J534" s="0">
        <f>IF(D534=1,'7815'!E52&amp;"","")</f>
        <v/>
      </c>
      <c r="K534" s="0">
        <f>IF(D534=1,'7815'!D52&amp;"","")</f>
        <v/>
      </c>
      <c r="L534" s="0">
        <f>IF(D534=1,IF('7815'!F52="","",'7815'!F52),"")</f>
        <v/>
      </c>
    </row>
    <row r="535">
      <c r="A535" s="0" t="inlineStr">
        <is>
          <t>7815 – Leadership for Diverse Learners</t>
        </is>
      </c>
      <c r="B535" s="0" t="inlineStr">
        <is>
          <t>7815</t>
        </is>
      </c>
      <c r="C535" s="0" t="n">
        <v>53</v>
      </c>
      <c r="D535" s="0">
        <f>IF(AND(UPPER(TRIM('7815'!A53))="CHOICE",LEN(TRIM('7815'!E53&amp;'7815'!F53))&gt;0),1,0)</f>
        <v/>
      </c>
      <c r="E535" s="0">
        <f>IF(D535=1,MAX(E$1:E534)+1,"")</f>
        <v/>
      </c>
      <c r="F535" s="0">
        <f>IF(D535=1,IFERROR(CHOOSE(MATCH("X",'7815'!G53:L53,0),"①","②","③","④","⑤","⑥"),""),"")</f>
        <v/>
      </c>
      <c r="G535" s="0">
        <f>IF(D535=1,IF('7815'!B53="","",'7815'!B53),"")</f>
        <v/>
      </c>
      <c r="H535" s="0">
        <f>IF(D535=1,'7815'!N53&amp;"","")</f>
        <v/>
      </c>
      <c r="I535" s="0">
        <f>IF(D535=1,'7815'!C53&amp;"","")</f>
        <v/>
      </c>
      <c r="J535" s="0">
        <f>IF(D535=1,'7815'!E53&amp;"","")</f>
        <v/>
      </c>
      <c r="K535" s="0">
        <f>IF(D535=1,'7815'!D53&amp;"","")</f>
        <v/>
      </c>
      <c r="L535" s="0">
        <f>IF(D535=1,IF('7815'!F53="","",'7815'!F53),"")</f>
        <v/>
      </c>
    </row>
    <row r="536">
      <c r="A536" s="0" t="inlineStr">
        <is>
          <t>7815 – Leadership for Diverse Learners</t>
        </is>
      </c>
      <c r="B536" s="0" t="inlineStr">
        <is>
          <t>7815</t>
        </is>
      </c>
      <c r="C536" s="0" t="n">
        <v>54</v>
      </c>
      <c r="D536" s="0">
        <f>IF(AND(UPPER(TRIM('7815'!A54))="CHOICE",LEN(TRIM('7815'!E54&amp;'7815'!F54))&gt;0),1,0)</f>
        <v/>
      </c>
      <c r="E536" s="0">
        <f>IF(D536=1,MAX(E$1:E535)+1,"")</f>
        <v/>
      </c>
      <c r="F536" s="0">
        <f>IF(D536=1,IFERROR(CHOOSE(MATCH("X",'7815'!G54:L54,0),"①","②","③","④","⑤","⑥"),""),"")</f>
        <v/>
      </c>
      <c r="G536" s="0">
        <f>IF(D536=1,IF('7815'!B54="","",'7815'!B54),"")</f>
        <v/>
      </c>
      <c r="H536" s="0">
        <f>IF(D536=1,'7815'!N54&amp;"","")</f>
        <v/>
      </c>
      <c r="I536" s="0">
        <f>IF(D536=1,'7815'!C54&amp;"","")</f>
        <v/>
      </c>
      <c r="J536" s="0">
        <f>IF(D536=1,'7815'!E54&amp;"","")</f>
        <v/>
      </c>
      <c r="K536" s="0">
        <f>IF(D536=1,'7815'!D54&amp;"","")</f>
        <v/>
      </c>
      <c r="L536" s="0">
        <f>IF(D536=1,IF('7815'!F54="","",'7815'!F54),"")</f>
        <v/>
      </c>
    </row>
    <row r="537">
      <c r="A537" s="0" t="inlineStr">
        <is>
          <t>7815 – Leadership for Diverse Learners</t>
        </is>
      </c>
      <c r="B537" s="0" t="inlineStr">
        <is>
          <t>7815</t>
        </is>
      </c>
      <c r="C537" s="0" t="n">
        <v>55</v>
      </c>
      <c r="D537" s="0">
        <f>IF(AND(UPPER(TRIM('7815'!A55))="CHOICE",LEN(TRIM('7815'!E55&amp;'7815'!F55))&gt;0),1,0)</f>
        <v/>
      </c>
      <c r="E537" s="0">
        <f>IF(D537=1,MAX(E$1:E536)+1,"")</f>
        <v/>
      </c>
      <c r="F537" s="0">
        <f>IF(D537=1,IFERROR(CHOOSE(MATCH("X",'7815'!G55:L55,0),"①","②","③","④","⑤","⑥"),""),"")</f>
        <v/>
      </c>
      <c r="G537" s="0">
        <f>IF(D537=1,IF('7815'!B55="","",'7815'!B55),"")</f>
        <v/>
      </c>
      <c r="H537" s="0">
        <f>IF(D537=1,'7815'!N55&amp;"","")</f>
        <v/>
      </c>
      <c r="I537" s="0">
        <f>IF(D537=1,'7815'!C55&amp;"","")</f>
        <v/>
      </c>
      <c r="J537" s="0">
        <f>IF(D537=1,'7815'!E55&amp;"","")</f>
        <v/>
      </c>
      <c r="K537" s="0">
        <f>IF(D537=1,'7815'!D55&amp;"","")</f>
        <v/>
      </c>
      <c r="L537" s="0">
        <f>IF(D537=1,IF('7815'!F55="","",'7815'!F55),"")</f>
        <v/>
      </c>
    </row>
    <row r="538">
      <c r="A538" s="0" t="inlineStr">
        <is>
          <t>7815 – Leadership for Diverse Learners</t>
        </is>
      </c>
      <c r="B538" s="0" t="inlineStr">
        <is>
          <t>7815</t>
        </is>
      </c>
      <c r="C538" s="0" t="n">
        <v>56</v>
      </c>
      <c r="D538" s="0">
        <f>IF(AND(UPPER(TRIM('7815'!A56))="CHOICE",LEN(TRIM('7815'!E56&amp;'7815'!F56))&gt;0),1,0)</f>
        <v/>
      </c>
      <c r="E538" s="0">
        <f>IF(D538=1,MAX(E$1:E537)+1,"")</f>
        <v/>
      </c>
      <c r="F538" s="0">
        <f>IF(D538=1,IFERROR(CHOOSE(MATCH("X",'7815'!G56:L56,0),"①","②","③","④","⑤","⑥"),""),"")</f>
        <v/>
      </c>
      <c r="G538" s="0">
        <f>IF(D538=1,IF('7815'!B56="","",'7815'!B56),"")</f>
        <v/>
      </c>
      <c r="H538" s="0">
        <f>IF(D538=1,'7815'!N56&amp;"","")</f>
        <v/>
      </c>
      <c r="I538" s="0">
        <f>IF(D538=1,'7815'!C56&amp;"","")</f>
        <v/>
      </c>
      <c r="J538" s="0">
        <f>IF(D538=1,'7815'!E56&amp;"","")</f>
        <v/>
      </c>
      <c r="K538" s="0">
        <f>IF(D538=1,'7815'!D56&amp;"","")</f>
        <v/>
      </c>
      <c r="L538" s="0">
        <f>IF(D538=1,IF('7815'!F56="","",'7815'!F56),"")</f>
        <v/>
      </c>
    </row>
    <row r="539">
      <c r="A539" s="0" t="inlineStr">
        <is>
          <t>7815 – Leadership for Diverse Learners</t>
        </is>
      </c>
      <c r="B539" s="0" t="inlineStr">
        <is>
          <t>7815</t>
        </is>
      </c>
      <c r="C539" s="0" t="n">
        <v>57</v>
      </c>
      <c r="D539" s="0">
        <f>IF(AND(UPPER(TRIM('7815'!A57))="CHOICE",LEN(TRIM('7815'!E57&amp;'7815'!F57))&gt;0),1,0)</f>
        <v/>
      </c>
      <c r="E539" s="0">
        <f>IF(D539=1,MAX(E$1:E538)+1,"")</f>
        <v/>
      </c>
      <c r="F539" s="0">
        <f>IF(D539=1,IFERROR(CHOOSE(MATCH("X",'7815'!G57:L57,0),"①","②","③","④","⑤","⑥"),""),"")</f>
        <v/>
      </c>
      <c r="G539" s="0">
        <f>IF(D539=1,IF('7815'!B57="","",'7815'!B57),"")</f>
        <v/>
      </c>
      <c r="H539" s="0">
        <f>IF(D539=1,'7815'!N57&amp;"","")</f>
        <v/>
      </c>
      <c r="I539" s="0">
        <f>IF(D539=1,'7815'!C57&amp;"","")</f>
        <v/>
      </c>
      <c r="J539" s="0">
        <f>IF(D539=1,'7815'!E57&amp;"","")</f>
        <v/>
      </c>
      <c r="K539" s="0">
        <f>IF(D539=1,'7815'!D57&amp;"","")</f>
        <v/>
      </c>
      <c r="L539" s="0">
        <f>IF(D539=1,IF('7815'!F57="","",'7815'!F57),"")</f>
        <v/>
      </c>
    </row>
    <row r="540">
      <c r="A540" s="0" t="inlineStr">
        <is>
          <t>7815 – Leadership for Diverse Learners</t>
        </is>
      </c>
      <c r="B540" s="0" t="inlineStr">
        <is>
          <t>7815</t>
        </is>
      </c>
      <c r="C540" s="0" t="n">
        <v>58</v>
      </c>
      <c r="D540" s="0">
        <f>IF(AND(UPPER(TRIM('7815'!A58))="CHOICE",LEN(TRIM('7815'!E58&amp;'7815'!F58))&gt;0),1,0)</f>
        <v/>
      </c>
      <c r="E540" s="0">
        <f>IF(D540=1,MAX(E$1:E539)+1,"")</f>
        <v/>
      </c>
      <c r="F540" s="0">
        <f>IF(D540=1,IFERROR(CHOOSE(MATCH("X",'7815'!G58:L58,0),"①","②","③","④","⑤","⑥"),""),"")</f>
        <v/>
      </c>
      <c r="G540" s="0">
        <f>IF(D540=1,IF('7815'!B58="","",'7815'!B58),"")</f>
        <v/>
      </c>
      <c r="H540" s="0">
        <f>IF(D540=1,'7815'!N58&amp;"","")</f>
        <v/>
      </c>
      <c r="I540" s="0">
        <f>IF(D540=1,'7815'!C58&amp;"","")</f>
        <v/>
      </c>
      <c r="J540" s="0">
        <f>IF(D540=1,'7815'!E58&amp;"","")</f>
        <v/>
      </c>
      <c r="K540" s="0">
        <f>IF(D540=1,'7815'!D58&amp;"","")</f>
        <v/>
      </c>
      <c r="L540" s="0">
        <f>IF(D540=1,IF('7815'!F58="","",'7815'!F58),"")</f>
        <v/>
      </c>
    </row>
    <row r="541">
      <c r="A541" s="0" t="inlineStr">
        <is>
          <t>7815 – Leadership for Diverse Learners</t>
        </is>
      </c>
      <c r="B541" s="0" t="inlineStr">
        <is>
          <t>7815</t>
        </is>
      </c>
      <c r="C541" s="0" t="n">
        <v>59</v>
      </c>
      <c r="D541" s="0">
        <f>IF(AND(UPPER(TRIM('7815'!A59))="CHOICE",LEN(TRIM('7815'!E59&amp;'7815'!F59))&gt;0),1,0)</f>
        <v/>
      </c>
      <c r="E541" s="0">
        <f>IF(D541=1,MAX(E$1:E540)+1,"")</f>
        <v/>
      </c>
      <c r="F541" s="0">
        <f>IF(D541=1,IFERROR(CHOOSE(MATCH("X",'7815'!G59:L59,0),"①","②","③","④","⑤","⑥"),""),"")</f>
        <v/>
      </c>
      <c r="G541" s="0">
        <f>IF(D541=1,IF('7815'!B59="","",'7815'!B59),"")</f>
        <v/>
      </c>
      <c r="H541" s="0">
        <f>IF(D541=1,'7815'!N59&amp;"","")</f>
        <v/>
      </c>
      <c r="I541" s="0">
        <f>IF(D541=1,'7815'!C59&amp;"","")</f>
        <v/>
      </c>
      <c r="J541" s="0">
        <f>IF(D541=1,'7815'!E59&amp;"","")</f>
        <v/>
      </c>
      <c r="K541" s="0">
        <f>IF(D541=1,'7815'!D59&amp;"","")</f>
        <v/>
      </c>
      <c r="L541" s="0">
        <f>IF(D541=1,IF('7815'!F59="","",'7815'!F59),"")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2026-10-22T15:17:31Z</dcterms:created>
  <dcterms:modified xmlns:dcterms="http://purl.org/dc/terms/" xmlns:xsi="http://www.w3.org/2001/XMLSchema-instance" xsi:type="dcterms:W3CDTF">2026-10-22T15:17:34Z</dcterms:modified>
</cp:coreProperties>
</file>